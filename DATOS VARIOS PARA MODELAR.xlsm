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 activeTab="1"/>
  </bookViews>
  <sheets>
    <sheet name="Hoja1" sheetId="1" r:id="rId1"/>
    <sheet name="normal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86" i="2" s="1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217" i="2" s="1"/>
  <c r="L218" i="2" s="1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L338" i="2" s="1"/>
  <c r="L339" i="2" s="1"/>
  <c r="L340" i="2" s="1"/>
  <c r="L341" i="2" s="1"/>
  <c r="L342" i="2" s="1"/>
  <c r="L343" i="2" s="1"/>
  <c r="L344" i="2" s="1"/>
  <c r="L345" i="2" s="1"/>
  <c r="L346" i="2" s="1"/>
  <c r="L347" i="2" s="1"/>
  <c r="L348" i="2" s="1"/>
  <c r="L349" i="2" s="1"/>
  <c r="L350" i="2" s="1"/>
  <c r="L351" i="2" s="1"/>
  <c r="L352" i="2" s="1"/>
  <c r="L353" i="2" s="1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L371" i="2" s="1"/>
  <c r="L372" i="2" s="1"/>
  <c r="L373" i="2" s="1"/>
  <c r="L374" i="2" s="1"/>
  <c r="L375" i="2" s="1"/>
  <c r="L376" i="2" s="1"/>
  <c r="L377" i="2" s="1"/>
  <c r="L378" i="2" s="1"/>
  <c r="L379" i="2" s="1"/>
  <c r="L380" i="2" s="1"/>
  <c r="L381" i="2" s="1"/>
  <c r="L382" i="2" s="1"/>
  <c r="L383" i="2" s="1"/>
  <c r="L384" i="2" s="1"/>
  <c r="L385" i="2" s="1"/>
  <c r="L386" i="2" s="1"/>
  <c r="L387" i="2" s="1"/>
  <c r="L388" i="2" s="1"/>
  <c r="L389" i="2" s="1"/>
  <c r="L390" i="2" s="1"/>
  <c r="L391" i="2" s="1"/>
  <c r="L392" i="2" s="1"/>
  <c r="L393" i="2" s="1"/>
  <c r="L394" i="2" s="1"/>
  <c r="L395" i="2" s="1"/>
  <c r="L396" i="2" s="1"/>
  <c r="L397" i="2" s="1"/>
  <c r="L398" i="2" s="1"/>
  <c r="L399" i="2" s="1"/>
  <c r="L400" i="2" s="1"/>
  <c r="L401" i="2" s="1"/>
  <c r="L402" i="2" s="1"/>
  <c r="L403" i="2" s="1"/>
  <c r="L404" i="2" s="1"/>
  <c r="L405" i="2" s="1"/>
  <c r="L406" i="2" s="1"/>
  <c r="L407" i="2" s="1"/>
  <c r="L408" i="2" s="1"/>
  <c r="L409" i="2" s="1"/>
  <c r="L410" i="2" s="1"/>
  <c r="L411" i="2" s="1"/>
  <c r="L412" i="2" s="1"/>
  <c r="L413" i="2" s="1"/>
  <c r="L414" i="2" s="1"/>
  <c r="L415" i="2" s="1"/>
  <c r="L416" i="2" s="1"/>
  <c r="L417" i="2" s="1"/>
  <c r="L418" i="2" s="1"/>
  <c r="L419" i="2" s="1"/>
  <c r="L420" i="2" s="1"/>
  <c r="L421" i="2" s="1"/>
  <c r="L422" i="2" s="1"/>
  <c r="L423" i="2" s="1"/>
  <c r="L424" i="2" s="1"/>
  <c r="L425" i="2" s="1"/>
  <c r="L426" i="2" s="1"/>
  <c r="L427" i="2" s="1"/>
  <c r="L428" i="2" s="1"/>
  <c r="L429" i="2" s="1"/>
  <c r="L430" i="2" s="1"/>
  <c r="L431" i="2" s="1"/>
  <c r="L432" i="2" s="1"/>
  <c r="L433" i="2" s="1"/>
  <c r="L434" i="2" s="1"/>
  <c r="L435" i="2" s="1"/>
  <c r="L436" i="2" s="1"/>
  <c r="L437" i="2" s="1"/>
  <c r="L438" i="2" s="1"/>
  <c r="L439" i="2" s="1"/>
  <c r="L440" i="2" s="1"/>
  <c r="L441" i="2" s="1"/>
  <c r="L442" i="2" s="1"/>
  <c r="L443" i="2" s="1"/>
  <c r="L444" i="2" s="1"/>
  <c r="L445" i="2" s="1"/>
  <c r="L446" i="2" s="1"/>
  <c r="L447" i="2" s="1"/>
  <c r="L448" i="2" s="1"/>
  <c r="L449" i="2" s="1"/>
  <c r="L450" i="2" s="1"/>
  <c r="L451" i="2" s="1"/>
  <c r="L452" i="2" s="1"/>
  <c r="L453" i="2" s="1"/>
  <c r="L454" i="2" s="1"/>
  <c r="L455" i="2" s="1"/>
  <c r="L456" i="2" s="1"/>
  <c r="L457" i="2" s="1"/>
  <c r="L458" i="2" s="1"/>
  <c r="L459" i="2" s="1"/>
  <c r="L460" i="2" s="1"/>
  <c r="L461" i="2" s="1"/>
  <c r="L462" i="2" s="1"/>
  <c r="L463" i="2" s="1"/>
  <c r="L464" i="2" s="1"/>
  <c r="L465" i="2" s="1"/>
  <c r="L466" i="2" s="1"/>
  <c r="L467" i="2" s="1"/>
  <c r="L468" i="2" s="1"/>
  <c r="L469" i="2" s="1"/>
  <c r="L470" i="2" s="1"/>
  <c r="L471" i="2" s="1"/>
  <c r="L472" i="2" s="1"/>
  <c r="L473" i="2" s="1"/>
  <c r="L474" i="2" s="1"/>
  <c r="L475" i="2" s="1"/>
  <c r="L476" i="2" s="1"/>
  <c r="L477" i="2" s="1"/>
  <c r="L478" i="2" s="1"/>
  <c r="L479" i="2" s="1"/>
  <c r="L480" i="2" s="1"/>
  <c r="L481" i="2" s="1"/>
  <c r="L482" i="2" s="1"/>
  <c r="L483" i="2" s="1"/>
  <c r="L484" i="2" s="1"/>
  <c r="L485" i="2" s="1"/>
  <c r="L486" i="2" s="1"/>
  <c r="L487" i="2" s="1"/>
  <c r="L488" i="2" s="1"/>
  <c r="L489" i="2" s="1"/>
  <c r="L490" i="2" s="1"/>
  <c r="L491" i="2" s="1"/>
  <c r="L492" i="2" s="1"/>
  <c r="L493" i="2" s="1"/>
  <c r="L494" i="2" s="1"/>
  <c r="L495" i="2" s="1"/>
  <c r="L496" i="2" s="1"/>
  <c r="L497" i="2" s="1"/>
  <c r="L498" i="2" s="1"/>
  <c r="L499" i="2" s="1"/>
  <c r="L500" i="2" s="1"/>
  <c r="L501" i="2" s="1"/>
  <c r="L502" i="2" s="1"/>
  <c r="L503" i="2" s="1"/>
  <c r="L504" i="2" s="1"/>
  <c r="L505" i="2" s="1"/>
  <c r="L506" i="2" s="1"/>
  <c r="L507" i="2" s="1"/>
  <c r="L508" i="2" s="1"/>
  <c r="L509" i="2" s="1"/>
  <c r="L510" i="2" s="1"/>
  <c r="L511" i="2" s="1"/>
  <c r="L512" i="2" s="1"/>
  <c r="L513" i="2" s="1"/>
  <c r="L514" i="2" s="1"/>
  <c r="L515" i="2" s="1"/>
  <c r="L516" i="2" s="1"/>
  <c r="L517" i="2" s="1"/>
  <c r="L518" i="2" s="1"/>
  <c r="L519" i="2" s="1"/>
  <c r="L520" i="2" s="1"/>
  <c r="L521" i="2" s="1"/>
  <c r="L522" i="2" s="1"/>
  <c r="L523" i="2" s="1"/>
  <c r="L4" i="2"/>
  <c r="L3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</calcChain>
</file>

<file path=xl/sharedStrings.xml><?xml version="1.0" encoding="utf-8"?>
<sst xmlns="http://schemas.openxmlformats.org/spreadsheetml/2006/main" count="1616" uniqueCount="854">
  <si>
    <t>&lt;&lt;&lt;</t>
  </si>
  <si>
    <t>Investigation Time</t>
  </si>
  <si>
    <t>histograma y diagrama de caja exponencial</t>
  </si>
  <si>
    <t>Variables:</t>
  </si>
  <si>
    <t>Case number</t>
  </si>
  <si>
    <t>Unique number assigned to each case</t>
  </si>
  <si>
    <t>Sender-id</t>
  </si>
  <si>
    <t>ID of customer</t>
  </si>
  <si>
    <t>Type</t>
  </si>
  <si>
    <t>Type of reclaim</t>
  </si>
  <si>
    <t>Total time</t>
  </si>
  <si>
    <t>Total time (in days)</t>
  </si>
  <si>
    <t>Time open</t>
  </si>
  <si>
    <t>Total time at own organisation (in days)</t>
  </si>
  <si>
    <t>Time pending</t>
  </si>
  <si>
    <t>Total time at counter party (in days)</t>
  </si>
  <si>
    <t>Time closed</t>
  </si>
  <si>
    <t>Total time closed (in days)</t>
  </si>
  <si>
    <t>Number of pending iterations</t>
  </si>
  <si>
    <t>Number of iteration with counter party</t>
  </si>
  <si>
    <t>GR0400250011</t>
  </si>
  <si>
    <t>BSABESBB</t>
  </si>
  <si>
    <t>AN</t>
  </si>
  <si>
    <t>GR0400250015</t>
  </si>
  <si>
    <t>BDCCANCU</t>
  </si>
  <si>
    <t>OX</t>
  </si>
  <si>
    <t>GR0400250022</t>
  </si>
  <si>
    <t>CITIUS33</t>
  </si>
  <si>
    <t>NU</t>
  </si>
  <si>
    <t>GR0400250023</t>
  </si>
  <si>
    <t>BOFMCAM2</t>
  </si>
  <si>
    <t>GR0400250024</t>
  </si>
  <si>
    <t>BFICCUHH</t>
  </si>
  <si>
    <t>GR0400250025</t>
  </si>
  <si>
    <t>PNCCUS33</t>
  </si>
  <si>
    <t>GR0400250028</t>
  </si>
  <si>
    <t>BCMAMAMC</t>
  </si>
  <si>
    <t>GR0400250032</t>
  </si>
  <si>
    <t>ROYCCAT2</t>
  </si>
  <si>
    <t>GR0400250035</t>
  </si>
  <si>
    <t>BNMXMXMM</t>
  </si>
  <si>
    <t>GR0400250044</t>
  </si>
  <si>
    <t>GR0400250056</t>
  </si>
  <si>
    <t>IRVTUS3N</t>
  </si>
  <si>
    <t>GR0400250057</t>
  </si>
  <si>
    <t>CHASUS33</t>
  </si>
  <si>
    <t>GR0400250059</t>
  </si>
  <si>
    <t>GR0400250061</t>
  </si>
  <si>
    <t>WFBIUS6S</t>
  </si>
  <si>
    <t>NO</t>
  </si>
  <si>
    <t>GR0400250062</t>
  </si>
  <si>
    <t>GR0400250063</t>
  </si>
  <si>
    <t>GR0400250064</t>
  </si>
  <si>
    <t>BKCHHKHH</t>
  </si>
  <si>
    <t>GR0400250073</t>
  </si>
  <si>
    <t>BSAMLKLX</t>
  </si>
  <si>
    <t>GR0400250074</t>
  </si>
  <si>
    <t>KK</t>
  </si>
  <si>
    <t>GR0400250075</t>
  </si>
  <si>
    <t>GR0400250077</t>
  </si>
  <si>
    <t>SCBLNPKA</t>
  </si>
  <si>
    <t>GR0400250078</t>
  </si>
  <si>
    <t>GR0400250083</t>
  </si>
  <si>
    <t>PALSPS22</t>
  </si>
  <si>
    <t>GR0400250084</t>
  </si>
  <si>
    <t>FIRBILIT</t>
  </si>
  <si>
    <t>BD</t>
  </si>
  <si>
    <t>GR0400250086</t>
  </si>
  <si>
    <t>BNIAIDJA</t>
  </si>
  <si>
    <t>GR0400250087</t>
  </si>
  <si>
    <t>GR0400250088</t>
  </si>
  <si>
    <t>DEUTSGSG</t>
  </si>
  <si>
    <t>GR0400250089</t>
  </si>
  <si>
    <t>CTBAAU2S</t>
  </si>
  <si>
    <t>DD</t>
  </si>
  <si>
    <t>GR0400250091</t>
  </si>
  <si>
    <t>HLBBMYKL</t>
  </si>
  <si>
    <t>GR0400250092</t>
  </si>
  <si>
    <t>POPUESMM</t>
  </si>
  <si>
    <t>GR0400250093</t>
  </si>
  <si>
    <t>CITIGB2L</t>
  </si>
  <si>
    <t>GR0400250095</t>
  </si>
  <si>
    <t>BKCHCNBJ300</t>
  </si>
  <si>
    <t>GR0400250157</t>
  </si>
  <si>
    <t>BKTRUS33</t>
  </si>
  <si>
    <t>GR0400250201</t>
  </si>
  <si>
    <t>IDIBINBBTPR</t>
  </si>
  <si>
    <t>BV</t>
  </si>
  <si>
    <t>GR0400250204</t>
  </si>
  <si>
    <t>CDCFFRPP</t>
  </si>
  <si>
    <t>GR0400250206</t>
  </si>
  <si>
    <t>BOFAUS6SSFX</t>
  </si>
  <si>
    <t>WX</t>
  </si>
  <si>
    <t>GR0400250209</t>
  </si>
  <si>
    <t>SBININBBFXD</t>
  </si>
  <si>
    <t>GR0400250211</t>
  </si>
  <si>
    <t>GR0400250230</t>
  </si>
  <si>
    <t>ALLAINBBMAS</t>
  </si>
  <si>
    <t>GR0400250233</t>
  </si>
  <si>
    <t>BKCHCNBJ600</t>
  </si>
  <si>
    <t>GR0400250256</t>
  </si>
  <si>
    <t>BSCHESMM</t>
  </si>
  <si>
    <t>GR0400250257</t>
  </si>
  <si>
    <t>GTBKINBB</t>
  </si>
  <si>
    <t>BC</t>
  </si>
  <si>
    <t>GR0400250258</t>
  </si>
  <si>
    <t>VUWBDEHH</t>
  </si>
  <si>
    <t>GR0400250263</t>
  </si>
  <si>
    <t>BRLADE22</t>
  </si>
  <si>
    <t>GR0400250264</t>
  </si>
  <si>
    <t>GR0400250265</t>
  </si>
  <si>
    <t>GR0400250266</t>
  </si>
  <si>
    <t>NBEGEGCX599</t>
  </si>
  <si>
    <t>GR0400250268</t>
  </si>
  <si>
    <t>BNDCCAMMINT</t>
  </si>
  <si>
    <t>GR0400250278</t>
  </si>
  <si>
    <t>GR0400250280</t>
  </si>
  <si>
    <t>BKCHCNBJ810</t>
  </si>
  <si>
    <t>GR0400250283</t>
  </si>
  <si>
    <t>UNCRITMM</t>
  </si>
  <si>
    <t>GR0400250288</t>
  </si>
  <si>
    <t>CRRAIT2R</t>
  </si>
  <si>
    <t>XX</t>
  </si>
  <si>
    <t>GR0400250296</t>
  </si>
  <si>
    <t>CCFRFRPP</t>
  </si>
  <si>
    <t>GR0400250297</t>
  </si>
  <si>
    <t>ESSEGB2L</t>
  </si>
  <si>
    <t>GR0400250298</t>
  </si>
  <si>
    <t>HNBNKRSE</t>
  </si>
  <si>
    <t>GR0400250299</t>
  </si>
  <si>
    <t>DRESDEFF300</t>
  </si>
  <si>
    <t>GR0400250300</t>
  </si>
  <si>
    <t>GR0400250304</t>
  </si>
  <si>
    <t>LOYDGB2L</t>
  </si>
  <si>
    <t>GR0400250305</t>
  </si>
  <si>
    <t>SCBKHKHH</t>
  </si>
  <si>
    <t>GR0400250306</t>
  </si>
  <si>
    <t>INGBNL2A</t>
  </si>
  <si>
    <t>GR0400250307</t>
  </si>
  <si>
    <t>KREDBEBB</t>
  </si>
  <si>
    <t>GR0400250316</t>
  </si>
  <si>
    <t>PSPBFIHH</t>
  </si>
  <si>
    <t>GR0400250327</t>
  </si>
  <si>
    <t>GR0400250336</t>
  </si>
  <si>
    <t>GR0400250340</t>
  </si>
  <si>
    <t>BNPAFRPP</t>
  </si>
  <si>
    <t>GR0400250341</t>
  </si>
  <si>
    <t>LECALBBE</t>
  </si>
  <si>
    <t>GR0400250342</t>
  </si>
  <si>
    <t>MIDLGB22</t>
  </si>
  <si>
    <t>GR0400250345</t>
  </si>
  <si>
    <t>RBOSIMD2</t>
  </si>
  <si>
    <t>GR0400250347</t>
  </si>
  <si>
    <t>GKCCBEBB</t>
  </si>
  <si>
    <t>CT</t>
  </si>
  <si>
    <t>GR0400250348</t>
  </si>
  <si>
    <t>BNPAFRPPLPD</t>
  </si>
  <si>
    <t>GR0400250358</t>
  </si>
  <si>
    <t>UOVBSGSG</t>
  </si>
  <si>
    <t>GR0400250359</t>
  </si>
  <si>
    <t>GEBABEBB36A</t>
  </si>
  <si>
    <t>GR0400250361</t>
  </si>
  <si>
    <t>GR0400250363</t>
  </si>
  <si>
    <t>DEUTDEFF</t>
  </si>
  <si>
    <t>GR0400250364</t>
  </si>
  <si>
    <t>SOGEFRPP</t>
  </si>
  <si>
    <t>GR0400250366</t>
  </si>
  <si>
    <t>GR0400250367</t>
  </si>
  <si>
    <t>GR0400250369</t>
  </si>
  <si>
    <t>HVBKKRSE</t>
  </si>
  <si>
    <t>GR0400250371</t>
  </si>
  <si>
    <t>GR0400250375</t>
  </si>
  <si>
    <t>GR0400250376</t>
  </si>
  <si>
    <t>GR0400250377</t>
  </si>
  <si>
    <t>SBZAZAJJ</t>
  </si>
  <si>
    <t>GR0400250383</t>
  </si>
  <si>
    <t>GR0400250389</t>
  </si>
  <si>
    <t>GR0400250390</t>
  </si>
  <si>
    <t>GR0400250392</t>
  </si>
  <si>
    <t>COBACZPX</t>
  </si>
  <si>
    <t>GR0400250401</t>
  </si>
  <si>
    <t>PARXLV22</t>
  </si>
  <si>
    <t>GR0400250405</t>
  </si>
  <si>
    <t>RZBAATWW</t>
  </si>
  <si>
    <t>GR0400250407</t>
  </si>
  <si>
    <t>GR0400250410</t>
  </si>
  <si>
    <t>DEUTDE6F</t>
  </si>
  <si>
    <t>GR0400250411</t>
  </si>
  <si>
    <t>CEKOCZPP</t>
  </si>
  <si>
    <t>GR0400250413</t>
  </si>
  <si>
    <t>GR0400250414</t>
  </si>
  <si>
    <t>PKOPPLPWWA4</t>
  </si>
  <si>
    <t>GR0400250415</t>
  </si>
  <si>
    <t>CRLYFRPP</t>
  </si>
  <si>
    <t>GR0400250426</t>
  </si>
  <si>
    <t>BCITIT22482</t>
  </si>
  <si>
    <t>GR0400250429</t>
  </si>
  <si>
    <t>CMBRFR2B</t>
  </si>
  <si>
    <t>GR0400250433</t>
  </si>
  <si>
    <t>BOFAGB22</t>
  </si>
  <si>
    <t>GR0400250434</t>
  </si>
  <si>
    <t>CGDIPTPL</t>
  </si>
  <si>
    <t>GR0400250439</t>
  </si>
  <si>
    <t>GR0400250440</t>
  </si>
  <si>
    <t>NDEADKKK</t>
  </si>
  <si>
    <t>GR0400250446</t>
  </si>
  <si>
    <t>COBADEFF</t>
  </si>
  <si>
    <t>GR0400250447</t>
  </si>
  <si>
    <t>FLORNL2ATAR</t>
  </si>
  <si>
    <t>GR0400250452</t>
  </si>
  <si>
    <t>GR0400250456</t>
  </si>
  <si>
    <t>HSHNDEHH</t>
  </si>
  <si>
    <t>GR0400250457</t>
  </si>
  <si>
    <t>SBREDE22</t>
  </si>
  <si>
    <t>GR0400250459</t>
  </si>
  <si>
    <t>TRMEZWHA</t>
  </si>
  <si>
    <t>GR0400250461</t>
  </si>
  <si>
    <t>UBSWUS33</t>
  </si>
  <si>
    <t>GR0400250463</t>
  </si>
  <si>
    <t>GR0400250464</t>
  </si>
  <si>
    <t>GR0400250465</t>
  </si>
  <si>
    <t>GR0400250467</t>
  </si>
  <si>
    <t>GR0400250470</t>
  </si>
  <si>
    <t>GR0400250473</t>
  </si>
  <si>
    <t>RABONL2U</t>
  </si>
  <si>
    <t>GR0400250474</t>
  </si>
  <si>
    <t>GR0400250476</t>
  </si>
  <si>
    <t>BKOAES22</t>
  </si>
  <si>
    <t>GR0400250482</t>
  </si>
  <si>
    <t>GR0400250490</t>
  </si>
  <si>
    <t>CHASGB2L</t>
  </si>
  <si>
    <t>GR0400250498</t>
  </si>
  <si>
    <t>TEBUTRIS</t>
  </si>
  <si>
    <t>GR0400250504</t>
  </si>
  <si>
    <t>GR0400250505</t>
  </si>
  <si>
    <t>JVBABE22</t>
  </si>
  <si>
    <t>CS</t>
  </si>
  <si>
    <t>GR0400250509</t>
  </si>
  <si>
    <t>FBMECY2N</t>
  </si>
  <si>
    <t>GR0400250510</t>
  </si>
  <si>
    <t>GR0400250511</t>
  </si>
  <si>
    <t>GR0400250518</t>
  </si>
  <si>
    <t>GR0400250522</t>
  </si>
  <si>
    <t>COBADEFF370</t>
  </si>
  <si>
    <t>GR0400250523</t>
  </si>
  <si>
    <t>ASCBVNVX</t>
  </si>
  <si>
    <t>GR0400250524</t>
  </si>
  <si>
    <t>GR0400250530</t>
  </si>
  <si>
    <t>GR0400250532</t>
  </si>
  <si>
    <t>CEKOSKBX</t>
  </si>
  <si>
    <t>GR0400250535</t>
  </si>
  <si>
    <t>CITINOKX</t>
  </si>
  <si>
    <t>GR0400250537</t>
  </si>
  <si>
    <t>GR0400250538</t>
  </si>
  <si>
    <t>GR0400250539</t>
  </si>
  <si>
    <t>SUBASKBX</t>
  </si>
  <si>
    <t>GR0400250540</t>
  </si>
  <si>
    <t>AIBKIE2D</t>
  </si>
  <si>
    <t>GR0400250546</t>
  </si>
  <si>
    <t>GR0400250549</t>
  </si>
  <si>
    <t>DEUTDE3B472</t>
  </si>
  <si>
    <t>GR0400250553</t>
  </si>
  <si>
    <t>PICTLULX</t>
  </si>
  <si>
    <t>GR0400250558</t>
  </si>
  <si>
    <t>CCBPFRPPGRE</t>
  </si>
  <si>
    <t>GR0400250559</t>
  </si>
  <si>
    <t>GR0400250562</t>
  </si>
  <si>
    <t>RBOSGB2M</t>
  </si>
  <si>
    <t>GR0400250565</t>
  </si>
  <si>
    <t>FLORNL2ADEV</t>
  </si>
  <si>
    <t>GR0400250567</t>
  </si>
  <si>
    <t>GR0400550003</t>
  </si>
  <si>
    <t>GR0400550004</t>
  </si>
  <si>
    <t>SPAKFOTF</t>
  </si>
  <si>
    <t>GR0400550005</t>
  </si>
  <si>
    <t>SCBLUGKA</t>
  </si>
  <si>
    <t>GR0400550008</t>
  </si>
  <si>
    <t>KOMBCZPP</t>
  </si>
  <si>
    <t>GR0400550011</t>
  </si>
  <si>
    <t>GR0400550012</t>
  </si>
  <si>
    <t>GR0400550014</t>
  </si>
  <si>
    <t>BBDEBRSPSPO</t>
  </si>
  <si>
    <t>GR0400550019</t>
  </si>
  <si>
    <t>GR0400550024</t>
  </si>
  <si>
    <t>GR0400550025</t>
  </si>
  <si>
    <t>PNBPUS33PHL</t>
  </si>
  <si>
    <t>GR0400550026</t>
  </si>
  <si>
    <t>AASIUS33</t>
  </si>
  <si>
    <t>GR0400550027</t>
  </si>
  <si>
    <t>RBTTAWAW</t>
  </si>
  <si>
    <t>GR0400550028</t>
  </si>
  <si>
    <t>CIBCCATT</t>
  </si>
  <si>
    <t>GR0400550031</t>
  </si>
  <si>
    <t>GR0400550032</t>
  </si>
  <si>
    <t>CHASDEFX</t>
  </si>
  <si>
    <t>GR0400550035</t>
  </si>
  <si>
    <t>BBDABMHM</t>
  </si>
  <si>
    <t>GR0400550038</t>
  </si>
  <si>
    <t>GR0400550039</t>
  </si>
  <si>
    <t>MARLUS44</t>
  </si>
  <si>
    <t>GR0400550040</t>
  </si>
  <si>
    <t>GR0400550045</t>
  </si>
  <si>
    <t>GR0400550049</t>
  </si>
  <si>
    <t>GR0400550050</t>
  </si>
  <si>
    <t>GR0400550051</t>
  </si>
  <si>
    <t>GR0400550053</t>
  </si>
  <si>
    <t>GR0400550054</t>
  </si>
  <si>
    <t>BCOEESMM</t>
  </si>
  <si>
    <t>GR0400550055</t>
  </si>
  <si>
    <t>GR0400550056</t>
  </si>
  <si>
    <t>CIYUHKHH</t>
  </si>
  <si>
    <t>GR0400550060</t>
  </si>
  <si>
    <t>GR0400550066</t>
  </si>
  <si>
    <t>GR0400550067</t>
  </si>
  <si>
    <t>GR0400550068</t>
  </si>
  <si>
    <t>BBMEAEAD</t>
  </si>
  <si>
    <t>GR0400550070</t>
  </si>
  <si>
    <t>BOMLAEAD</t>
  </si>
  <si>
    <t>GR0400550072</t>
  </si>
  <si>
    <t>EDBIIRTHCEN</t>
  </si>
  <si>
    <t>GR0400550073</t>
  </si>
  <si>
    <t>GR0400550075</t>
  </si>
  <si>
    <t>ARNBSARI</t>
  </si>
  <si>
    <t>GR0400550076</t>
  </si>
  <si>
    <t>MELIIRTH060</t>
  </si>
  <si>
    <t>GR0400550077</t>
  </si>
  <si>
    <t>BBMEJOAX</t>
  </si>
  <si>
    <t>GR0400550081</t>
  </si>
  <si>
    <t>BFTVVNVX</t>
  </si>
  <si>
    <t>GR0400550082</t>
  </si>
  <si>
    <t>GR0400550084</t>
  </si>
  <si>
    <t>NDBSLKLX</t>
  </si>
  <si>
    <t>GR0400550085</t>
  </si>
  <si>
    <t>BEASHKHH</t>
  </si>
  <si>
    <t>GR0400550088</t>
  </si>
  <si>
    <t>SAIBJPJT</t>
  </si>
  <si>
    <t>GR0400550089</t>
  </si>
  <si>
    <t>GR0400550090</t>
  </si>
  <si>
    <t>GR0400550092</t>
  </si>
  <si>
    <t>GR0400550127</t>
  </si>
  <si>
    <t>BOFAUS3N</t>
  </si>
  <si>
    <t>GR0400550130</t>
  </si>
  <si>
    <t>GR0400550131</t>
  </si>
  <si>
    <t>FAYSPKKA</t>
  </si>
  <si>
    <t>GR0400550134</t>
  </si>
  <si>
    <t>AAALSARI</t>
  </si>
  <si>
    <t>GR0400550169</t>
  </si>
  <si>
    <t>CRLYFRPPVRS</t>
  </si>
  <si>
    <t>GR0400550236</t>
  </si>
  <si>
    <t>FTSBNL2R</t>
  </si>
  <si>
    <t>GR0400550262</t>
  </si>
  <si>
    <t>AEIBUS33</t>
  </si>
  <si>
    <t>GR0400550267</t>
  </si>
  <si>
    <t>BKAUATWW</t>
  </si>
  <si>
    <t>GR0400550269</t>
  </si>
  <si>
    <t>BKCHCNBJ95B</t>
  </si>
  <si>
    <t>GR0400550270</t>
  </si>
  <si>
    <t>GR0400550271</t>
  </si>
  <si>
    <t>BKCHCNBJ110</t>
  </si>
  <si>
    <t>GR0400550275</t>
  </si>
  <si>
    <t>GR0400550278</t>
  </si>
  <si>
    <t>GR0400550279</t>
  </si>
  <si>
    <t>ISBKTRIS</t>
  </si>
  <si>
    <t>GR0400550280</t>
  </si>
  <si>
    <t>GR0400550282</t>
  </si>
  <si>
    <t>FIRBCHZZ</t>
  </si>
  <si>
    <t>GR0400550283</t>
  </si>
  <si>
    <t>BKASTHBK</t>
  </si>
  <si>
    <t>GR0400550284</t>
  </si>
  <si>
    <t>GR0400550285</t>
  </si>
  <si>
    <t>DRESDEFF200</t>
  </si>
  <si>
    <t>GR0400550287</t>
  </si>
  <si>
    <t>CHEQFRPRX01</t>
  </si>
  <si>
    <t>GR0400550293</t>
  </si>
  <si>
    <t>UBSWLULL</t>
  </si>
  <si>
    <t>GR0400550295</t>
  </si>
  <si>
    <t>AKBKGB2L</t>
  </si>
  <si>
    <t>GR0400550296</t>
  </si>
  <si>
    <t>GR0400550297</t>
  </si>
  <si>
    <t>GR0400550298</t>
  </si>
  <si>
    <t>TRHBTR2A</t>
  </si>
  <si>
    <t>GR0400550299</t>
  </si>
  <si>
    <t>GR0400550300</t>
  </si>
  <si>
    <t>GR0400550302</t>
  </si>
  <si>
    <t>GR0400550306</t>
  </si>
  <si>
    <t>GR0400550309</t>
  </si>
  <si>
    <t>GR0400550310</t>
  </si>
  <si>
    <t>MBBEMYKL</t>
  </si>
  <si>
    <t>GR0400550311</t>
  </si>
  <si>
    <t>CHEQNLPRX01</t>
  </si>
  <si>
    <t>GR0400550313</t>
  </si>
  <si>
    <t>NORDFRPP</t>
  </si>
  <si>
    <t>GR0400550314</t>
  </si>
  <si>
    <t>GR0400550315</t>
  </si>
  <si>
    <t>GR0400550321</t>
  </si>
  <si>
    <t>GR0400550322</t>
  </si>
  <si>
    <t>GR0400550323</t>
  </si>
  <si>
    <t>CHEQUSPRX01</t>
  </si>
  <si>
    <t>GR0400550324</t>
  </si>
  <si>
    <t>GR0400550325</t>
  </si>
  <si>
    <t>ETHNGRAA</t>
  </si>
  <si>
    <t>GR0400550326</t>
  </si>
  <si>
    <t>GR0400550332</t>
  </si>
  <si>
    <t>OPSKATWW</t>
  </si>
  <si>
    <t>GR0400550334</t>
  </si>
  <si>
    <t>RTMBLV2X</t>
  </si>
  <si>
    <t>GR0400550337</t>
  </si>
  <si>
    <t>CMCIFRPA</t>
  </si>
  <si>
    <t>GR0400550340</t>
  </si>
  <si>
    <t>GR0400550344</t>
  </si>
  <si>
    <t>CZNBKRSE</t>
  </si>
  <si>
    <t>GR0400550345</t>
  </si>
  <si>
    <t>GR0400550346</t>
  </si>
  <si>
    <t>BOTKJPJT</t>
  </si>
  <si>
    <t>GR0400550347</t>
  </si>
  <si>
    <t>GR0400550348</t>
  </si>
  <si>
    <t>GR0400550349</t>
  </si>
  <si>
    <t>SIFRGB2L</t>
  </si>
  <si>
    <t>GR0400550351</t>
  </si>
  <si>
    <t>GR0400550354</t>
  </si>
  <si>
    <t>HASPDEHH</t>
  </si>
  <si>
    <t>GR0400550355</t>
  </si>
  <si>
    <t>GR0400550356</t>
  </si>
  <si>
    <t>BARCGB22</t>
  </si>
  <si>
    <t>GR0400550358</t>
  </si>
  <si>
    <t>ESSESESS</t>
  </si>
  <si>
    <t>GR0400550359</t>
  </si>
  <si>
    <t>GR0400550360</t>
  </si>
  <si>
    <t>GR0400550365</t>
  </si>
  <si>
    <t>BAMNIT22</t>
  </si>
  <si>
    <t>GR0400550367</t>
  </si>
  <si>
    <t>IBSPITTM753</t>
  </si>
  <si>
    <t>GR0400550368</t>
  </si>
  <si>
    <t>GR0400550382</t>
  </si>
  <si>
    <t>GR0400550383</t>
  </si>
  <si>
    <t>SCBLGB2L</t>
  </si>
  <si>
    <t>GR0400550399</t>
  </si>
  <si>
    <t>CAMIIT2B</t>
  </si>
  <si>
    <t>GR0400550403</t>
  </si>
  <si>
    <t>BROMITRDBOX</t>
  </si>
  <si>
    <t>GR0400550404</t>
  </si>
  <si>
    <t>NBDUAEAD</t>
  </si>
  <si>
    <t>GR0400550413</t>
  </si>
  <si>
    <t>UBSIJOAX</t>
  </si>
  <si>
    <t>GR0400550415</t>
  </si>
  <si>
    <t>ALFHPKKA</t>
  </si>
  <si>
    <t>GR0400550419</t>
  </si>
  <si>
    <t>BOFCTWTP</t>
  </si>
  <si>
    <t>GR0400550420</t>
  </si>
  <si>
    <t>RUAMIT22</t>
  </si>
  <si>
    <t>GR0400550424</t>
  </si>
  <si>
    <t>GR0400550427</t>
  </si>
  <si>
    <t>SCBLLKLX</t>
  </si>
  <si>
    <t>GR0400550428</t>
  </si>
  <si>
    <t>GR0400550431</t>
  </si>
  <si>
    <t>GR0400550434</t>
  </si>
  <si>
    <t>GR0400550435</t>
  </si>
  <si>
    <t>GR0400550439</t>
  </si>
  <si>
    <t>UBSWCHZH80A</t>
  </si>
  <si>
    <t>GR0400550441</t>
  </si>
  <si>
    <t>CAZRES2Z</t>
  </si>
  <si>
    <t>GR0400550443</t>
  </si>
  <si>
    <t>GR0400550445</t>
  </si>
  <si>
    <t>AFDBCIAB</t>
  </si>
  <si>
    <t>GR0400550446</t>
  </si>
  <si>
    <t>GR0400550447</t>
  </si>
  <si>
    <t>GR0400550451</t>
  </si>
  <si>
    <t>NWBKGB2L</t>
  </si>
  <si>
    <t>PX</t>
  </si>
  <si>
    <t>GR0400550453</t>
  </si>
  <si>
    <t>GR0400550454</t>
  </si>
  <si>
    <t>GR0400550456</t>
  </si>
  <si>
    <t>GR0400550457</t>
  </si>
  <si>
    <t>FIRNZAJJ</t>
  </si>
  <si>
    <t>GR0400550459</t>
  </si>
  <si>
    <t>GR0400550463</t>
  </si>
  <si>
    <t>GR0400550466</t>
  </si>
  <si>
    <t>GR0400550467</t>
  </si>
  <si>
    <t>GR0400550468</t>
  </si>
  <si>
    <t>GR0400550470</t>
  </si>
  <si>
    <t>GR0400550473</t>
  </si>
  <si>
    <t>GR0400550480</t>
  </si>
  <si>
    <t>CENAIDJA</t>
  </si>
  <si>
    <t>GR0400550481</t>
  </si>
  <si>
    <t>GR0400550482</t>
  </si>
  <si>
    <t>NDEASESS</t>
  </si>
  <si>
    <t>GR0400550483</t>
  </si>
  <si>
    <t>AIBKGB2L</t>
  </si>
  <si>
    <t>GR0400550487</t>
  </si>
  <si>
    <t>BNPANL2A</t>
  </si>
  <si>
    <t>GR0400550488</t>
  </si>
  <si>
    <t>ABSAZAJJCDB</t>
  </si>
  <si>
    <t>GR0400550489</t>
  </si>
  <si>
    <t>MKKBHUHB</t>
  </si>
  <si>
    <t>GR0400550494</t>
  </si>
  <si>
    <t>ABSAZAJJCWI</t>
  </si>
  <si>
    <t>GR0400550495</t>
  </si>
  <si>
    <t>CMCIFR2Y</t>
  </si>
  <si>
    <t>GR0400550497</t>
  </si>
  <si>
    <t>GR0400550498</t>
  </si>
  <si>
    <t>GR0400550499</t>
  </si>
  <si>
    <t>GR0400550501</t>
  </si>
  <si>
    <t>KBLXLULL</t>
  </si>
  <si>
    <t>GR0400550502</t>
  </si>
  <si>
    <t>KRDBPLPW</t>
  </si>
  <si>
    <t>GR0400550503</t>
  </si>
  <si>
    <t>GR0400550505</t>
  </si>
  <si>
    <t>GR0400550508</t>
  </si>
  <si>
    <t>SEKETR2A</t>
  </si>
  <si>
    <t>GR0400550517</t>
  </si>
  <si>
    <t>BOFACATT</t>
  </si>
  <si>
    <t>GR0400550519</t>
  </si>
  <si>
    <t>HANDSESS</t>
  </si>
  <si>
    <t>GR0400550520</t>
  </si>
  <si>
    <t>UBSWCHZH30A</t>
  </si>
  <si>
    <t>GR0400550521</t>
  </si>
  <si>
    <t>BOFIIE2D</t>
  </si>
  <si>
    <t>GR0400550523</t>
  </si>
  <si>
    <t>GR0400550524</t>
  </si>
  <si>
    <t>GR0400550526</t>
  </si>
  <si>
    <t>GR0400550527</t>
  </si>
  <si>
    <t>CBQAQAQA</t>
  </si>
  <si>
    <t>GR0400550529</t>
  </si>
  <si>
    <t>GR0400550531</t>
  </si>
  <si>
    <t>BDOFOMRU</t>
  </si>
  <si>
    <t>GR0400550533</t>
  </si>
  <si>
    <t>CBAFKENX</t>
  </si>
  <si>
    <t>GR0400550534</t>
  </si>
  <si>
    <t>CHAIFR2A</t>
  </si>
  <si>
    <t>GR0400550537</t>
  </si>
  <si>
    <t>HYVEDEMM</t>
  </si>
  <si>
    <t>GR0400550540</t>
  </si>
  <si>
    <t>GR0400550546</t>
  </si>
  <si>
    <t>TANZTZTX</t>
  </si>
  <si>
    <t>GR0400550549</t>
  </si>
  <si>
    <t>GR0400550550</t>
  </si>
  <si>
    <t>DEUTBEBE</t>
  </si>
  <si>
    <t>GR0400550551</t>
  </si>
  <si>
    <t>DEUTTWTP</t>
  </si>
  <si>
    <t>GR0400550553</t>
  </si>
  <si>
    <t>RNCBROBU</t>
  </si>
  <si>
    <t>GR0400550554</t>
  </si>
  <si>
    <t>GR0400550556</t>
  </si>
  <si>
    <t>GR0400550557</t>
  </si>
  <si>
    <t>SWEDSESS</t>
  </si>
  <si>
    <t>GR0400550558</t>
  </si>
  <si>
    <t>GR0400550559</t>
  </si>
  <si>
    <t>SNTRUS3A</t>
  </si>
  <si>
    <t>GR0400550560</t>
  </si>
  <si>
    <t>GR0400550563</t>
  </si>
  <si>
    <t>HSBCGB22</t>
  </si>
  <si>
    <t>N2</t>
  </si>
  <si>
    <t>GR0400550566</t>
  </si>
  <si>
    <t>GR0400550567</t>
  </si>
  <si>
    <t>CAHMESMM</t>
  </si>
  <si>
    <t>GR0400550571</t>
  </si>
  <si>
    <t>DABADKKK</t>
  </si>
  <si>
    <t>GR0400550572</t>
  </si>
  <si>
    <t>GR0400550573</t>
  </si>
  <si>
    <t>CEDELULL</t>
  </si>
  <si>
    <t>GR0400550574</t>
  </si>
  <si>
    <t>WUPSDE33</t>
  </si>
  <si>
    <t>GR0400550576</t>
  </si>
  <si>
    <t>GR0400550577</t>
  </si>
  <si>
    <t>NBKEKENX</t>
  </si>
  <si>
    <t>GR0400550579</t>
  </si>
  <si>
    <t>GR0400550584</t>
  </si>
  <si>
    <t>GR0400550589</t>
  </si>
  <si>
    <t>GR0400550591</t>
  </si>
  <si>
    <t>PIGUCH22</t>
  </si>
  <si>
    <t>GR0400550593</t>
  </si>
  <si>
    <t>GR0400550594</t>
  </si>
  <si>
    <t>TGBATRIS</t>
  </si>
  <si>
    <t>GR0400550595</t>
  </si>
  <si>
    <t>BAIPPTPL</t>
  </si>
  <si>
    <t>GR0400550596</t>
  </si>
  <si>
    <t>GR0400550597</t>
  </si>
  <si>
    <t>BARCGB5G</t>
  </si>
  <si>
    <t>GR0400550598</t>
  </si>
  <si>
    <t>BCITIT33222</t>
  </si>
  <si>
    <t>GR0400550599</t>
  </si>
  <si>
    <t>GR0400550604</t>
  </si>
  <si>
    <t>GR0400550605</t>
  </si>
  <si>
    <t>GR0400550606</t>
  </si>
  <si>
    <t>BCOMPTPL</t>
  </si>
  <si>
    <t>GR0400550608</t>
  </si>
  <si>
    <t>GEBABEBB</t>
  </si>
  <si>
    <t>GR0400550610</t>
  </si>
  <si>
    <t>GR0400550611</t>
  </si>
  <si>
    <t>GR0400550612</t>
  </si>
  <si>
    <t>GR0400550614</t>
  </si>
  <si>
    <t>HABBPKKA007</t>
  </si>
  <si>
    <t>GR0400550617</t>
  </si>
  <si>
    <t>GR0400550622</t>
  </si>
  <si>
    <t>GR0400550624</t>
  </si>
  <si>
    <t>GR0400550625</t>
  </si>
  <si>
    <t>GR0400550627</t>
  </si>
  <si>
    <t>DEUTDEDB380</t>
  </si>
  <si>
    <t>GR0400550628</t>
  </si>
  <si>
    <t>KOEXNL2A</t>
  </si>
  <si>
    <t>GR0400550629</t>
  </si>
  <si>
    <t>CBAOSNDA</t>
  </si>
  <si>
    <t>GR0400550632</t>
  </si>
  <si>
    <t>GR0400550633</t>
  </si>
  <si>
    <t>EWUBLULL</t>
  </si>
  <si>
    <t>GR0400550634</t>
  </si>
  <si>
    <t>SBOSGB2X</t>
  </si>
  <si>
    <t>GR0400550636</t>
  </si>
  <si>
    <t>GR0400550637</t>
  </si>
  <si>
    <t>GR0400550641</t>
  </si>
  <si>
    <t>GR0400550642</t>
  </si>
  <si>
    <t>DRESDEFF600</t>
  </si>
  <si>
    <t>GR0400550643</t>
  </si>
  <si>
    <t>CRBIIT2B</t>
  </si>
  <si>
    <t>GR0400550656</t>
  </si>
  <si>
    <t>CRVGIT2V</t>
  </si>
  <si>
    <t>GR0400550674</t>
  </si>
  <si>
    <t>GR0400550675</t>
  </si>
  <si>
    <t>DEUTGB2L</t>
  </si>
  <si>
    <t>GR0400550676</t>
  </si>
  <si>
    <t>HELADEFF</t>
  </si>
  <si>
    <t>GR0400550680</t>
  </si>
  <si>
    <t>CMBMMCMX</t>
  </si>
  <si>
    <t>GR0400550681</t>
  </si>
  <si>
    <t>GR0400550684</t>
  </si>
  <si>
    <t>GR0400550688</t>
  </si>
  <si>
    <t>GR0400550689</t>
  </si>
  <si>
    <t>GR0400550690</t>
  </si>
  <si>
    <t>GR0400550695</t>
  </si>
  <si>
    <t>GR0400550696</t>
  </si>
  <si>
    <t>ARTEBEBB</t>
  </si>
  <si>
    <t>GR0400650001</t>
  </si>
  <si>
    <t>GR0400650006</t>
  </si>
  <si>
    <t>BEGODEHH</t>
  </si>
  <si>
    <t>GR0400650007</t>
  </si>
  <si>
    <t>GHCBGHAC</t>
  </si>
  <si>
    <t>GR0400650013</t>
  </si>
  <si>
    <t>NBPADEFF</t>
  </si>
  <si>
    <t>GR0400650015</t>
  </si>
  <si>
    <t>GR0400650017</t>
  </si>
  <si>
    <t>BRASBRRJBNU</t>
  </si>
  <si>
    <t>GR0400650018</t>
  </si>
  <si>
    <t>MCBKANCU</t>
  </si>
  <si>
    <t>GR0400650019</t>
  </si>
  <si>
    <t>RBTTSRPA</t>
  </si>
  <si>
    <t>GR0400650020</t>
  </si>
  <si>
    <t>NDEAFIHH</t>
  </si>
  <si>
    <t>GR0400650021</t>
  </si>
  <si>
    <t>EFGBGRAA</t>
  </si>
  <si>
    <t>GR0400650023</t>
  </si>
  <si>
    <t>GR0400650026</t>
  </si>
  <si>
    <t>FNBBUS33</t>
  </si>
  <si>
    <t>GR0400650027</t>
  </si>
  <si>
    <t>WAFAMAMC</t>
  </si>
  <si>
    <t>GR0400650028</t>
  </si>
  <si>
    <t>GR0400650029</t>
  </si>
  <si>
    <t>GR0400650030</t>
  </si>
  <si>
    <t>GR0400650031</t>
  </si>
  <si>
    <t>BNPAGFGX</t>
  </si>
  <si>
    <t>GR0400650033</t>
  </si>
  <si>
    <t>GR0400650037</t>
  </si>
  <si>
    <t>MRMDUS33</t>
  </si>
  <si>
    <t>GR0400650038</t>
  </si>
  <si>
    <t>BECHCLRM</t>
  </si>
  <si>
    <t>GR0400650043</t>
  </si>
  <si>
    <t>RBTTANCU</t>
  </si>
  <si>
    <t>GR0400650052</t>
  </si>
  <si>
    <t>GR0400650055</t>
  </si>
  <si>
    <t>CITCANCU</t>
  </si>
  <si>
    <t>GR0400650056</t>
  </si>
  <si>
    <t>GR0400650057</t>
  </si>
  <si>
    <t>GR0400650058</t>
  </si>
  <si>
    <t>GR0400650059</t>
  </si>
  <si>
    <t>GR0400650060</t>
  </si>
  <si>
    <t>MELNUS3P</t>
  </si>
  <si>
    <t>GR0400650064</t>
  </si>
  <si>
    <t>GR0400650069</t>
  </si>
  <si>
    <t>GR0400650070</t>
  </si>
  <si>
    <t>GR0400650072</t>
  </si>
  <si>
    <t>BKCHCNBJ910</t>
  </si>
  <si>
    <t>GR0400650075</t>
  </si>
  <si>
    <t>BKNZNZ22</t>
  </si>
  <si>
    <t>GR0400650076</t>
  </si>
  <si>
    <t>GR0400650077</t>
  </si>
  <si>
    <t>GR0400650078</t>
  </si>
  <si>
    <t>GR0400650079</t>
  </si>
  <si>
    <t>GR0400650080</t>
  </si>
  <si>
    <t>ANZBAU3M</t>
  </si>
  <si>
    <t>GR0400650081</t>
  </si>
  <si>
    <t>GR0400650082</t>
  </si>
  <si>
    <t>IBBKIDJA</t>
  </si>
  <si>
    <t>GR0400650083</t>
  </si>
  <si>
    <t>HSBCHKHHHKH</t>
  </si>
  <si>
    <t>GR0400650084</t>
  </si>
  <si>
    <t>GR0400650085</t>
  </si>
  <si>
    <t>GR0400650090</t>
  </si>
  <si>
    <t>GR0400650091</t>
  </si>
  <si>
    <t>GR0400650093</t>
  </si>
  <si>
    <t>GR0400650101</t>
  </si>
  <si>
    <t>GR0400650106</t>
  </si>
  <si>
    <t>ANZBFJFX</t>
  </si>
  <si>
    <t>GR0400650109</t>
  </si>
  <si>
    <t>BOFCHKHH</t>
  </si>
  <si>
    <t>GR0400650112</t>
  </si>
  <si>
    <t>GR0400650113</t>
  </si>
  <si>
    <t>TOTAPTPL</t>
  </si>
  <si>
    <t>GR0400650116</t>
  </si>
  <si>
    <t>GR0400650118</t>
  </si>
  <si>
    <t>GR0400650123</t>
  </si>
  <si>
    <t>GR0400650126</t>
  </si>
  <si>
    <t>PNBPUS3NNYC</t>
  </si>
  <si>
    <t>GR0400650127</t>
  </si>
  <si>
    <t>GR0400650129</t>
  </si>
  <si>
    <t>GR0400650130</t>
  </si>
  <si>
    <t>GR0400650131</t>
  </si>
  <si>
    <t>GR0400650132</t>
  </si>
  <si>
    <t>GR0400650133</t>
  </si>
  <si>
    <t>GR0400650138</t>
  </si>
  <si>
    <t>GR0400650140</t>
  </si>
  <si>
    <t>GR0400650162</t>
  </si>
  <si>
    <t>GR0400650232</t>
  </si>
  <si>
    <t>GR0400650233</t>
  </si>
  <si>
    <t>GR0400650236</t>
  </si>
  <si>
    <t>BKCHCNBJ</t>
  </si>
  <si>
    <t>GR0400650237</t>
  </si>
  <si>
    <t>SMBCJPJT</t>
  </si>
  <si>
    <t>GR0400650238</t>
  </si>
  <si>
    <t>SPRONO22</t>
  </si>
  <si>
    <t>GR0400650239</t>
  </si>
  <si>
    <t>BEIIIDJA</t>
  </si>
  <si>
    <t>GR0400650242</t>
  </si>
  <si>
    <t>GR0400650246</t>
  </si>
  <si>
    <t>KCHUJPJY</t>
  </si>
  <si>
    <t>GR0400650285</t>
  </si>
  <si>
    <t>GR0400650286</t>
  </si>
  <si>
    <t>GR0400650287</t>
  </si>
  <si>
    <t>GR0400650296</t>
  </si>
  <si>
    <t>GR0400650301</t>
  </si>
  <si>
    <t>BKTWTWTP106</t>
  </si>
  <si>
    <t>GR0400650303</t>
  </si>
  <si>
    <t>GR0400650304</t>
  </si>
  <si>
    <t>GR0400650305</t>
  </si>
  <si>
    <t>NDEAPLP2</t>
  </si>
  <si>
    <t>GR0400650306</t>
  </si>
  <si>
    <t>KOBBCSBG</t>
  </si>
  <si>
    <t>GR0400650307</t>
  </si>
  <si>
    <t>GR0400650310</t>
  </si>
  <si>
    <t>GR0400650311</t>
  </si>
  <si>
    <t>TFBSTHBK</t>
  </si>
  <si>
    <t>GR0400650312</t>
  </si>
  <si>
    <t>RHBBMYKL</t>
  </si>
  <si>
    <t>GR0400650316</t>
  </si>
  <si>
    <t>GR0400650318</t>
  </si>
  <si>
    <t>GR0400650324</t>
  </si>
  <si>
    <t>OWHBDEFF</t>
  </si>
  <si>
    <t>GR0400650326</t>
  </si>
  <si>
    <t>BKCHCNBJ21A</t>
  </si>
  <si>
    <t>GR0400650327</t>
  </si>
  <si>
    <t>BKKBTHBK</t>
  </si>
  <si>
    <t>GR0400650330</t>
  </si>
  <si>
    <t>GR0400650332</t>
  </si>
  <si>
    <t>GR0400650342</t>
  </si>
  <si>
    <t>BKCHCNBJ73A</t>
  </si>
  <si>
    <t>GR0400650343</t>
  </si>
  <si>
    <t>GR0400650349</t>
  </si>
  <si>
    <t>PBBEMYKL</t>
  </si>
  <si>
    <t>GR0400650366</t>
  </si>
  <si>
    <t>HBUANL2R</t>
  </si>
  <si>
    <t>GR0400650367</t>
  </si>
  <si>
    <t>GR0400650369</t>
  </si>
  <si>
    <t>KASANL2A</t>
  </si>
  <si>
    <t>GR0400650370</t>
  </si>
  <si>
    <t>GR0400650373</t>
  </si>
  <si>
    <t>CITIFRPPPLC</t>
  </si>
  <si>
    <t>GR0400650378</t>
  </si>
  <si>
    <t>GR0400650380</t>
  </si>
  <si>
    <t>GR0400650381</t>
  </si>
  <si>
    <t>CCBPFRPPPAR</t>
  </si>
  <si>
    <t>GR0400650382</t>
  </si>
  <si>
    <t>GR0400650385</t>
  </si>
  <si>
    <t>GR0400650386</t>
  </si>
  <si>
    <t>GR0400650389</t>
  </si>
  <si>
    <t>CHASNL2X</t>
  </si>
  <si>
    <t>GR0400650390</t>
  </si>
  <si>
    <t>DHBKHKHH</t>
  </si>
  <si>
    <t>GR0400650393</t>
  </si>
  <si>
    <t>POSBHUHB</t>
  </si>
  <si>
    <t>GR0400650411</t>
  </si>
  <si>
    <t>GR0400650412</t>
  </si>
  <si>
    <t>GR0400650413</t>
  </si>
  <si>
    <t>GR0400650419</t>
  </si>
  <si>
    <t>GR0400650425</t>
  </si>
  <si>
    <t>GR0400650431</t>
  </si>
  <si>
    <t>GR0400650433</t>
  </si>
  <si>
    <t>GR0400650435</t>
  </si>
  <si>
    <t>UBININBB</t>
  </si>
  <si>
    <t>GR0400650436</t>
  </si>
  <si>
    <t>BGLLLULL</t>
  </si>
  <si>
    <t>GR0400650447</t>
  </si>
  <si>
    <t>RZBJCSBG</t>
  </si>
  <si>
    <t>GR0400650448</t>
  </si>
  <si>
    <t>GR0400650450</t>
  </si>
  <si>
    <t>BBRUBEBB010</t>
  </si>
  <si>
    <t>GR0400650451</t>
  </si>
  <si>
    <t>GR0400650452</t>
  </si>
  <si>
    <t>GR0400650453</t>
  </si>
  <si>
    <t>GR0400650458</t>
  </si>
  <si>
    <t>GR0400650459</t>
  </si>
  <si>
    <t>GR0400650461</t>
  </si>
  <si>
    <t>DRESDEFF</t>
  </si>
  <si>
    <t>GR0400650465</t>
  </si>
  <si>
    <t>GR0400650469</t>
  </si>
  <si>
    <t>OKHBHUHB</t>
  </si>
  <si>
    <t>GR0400650470</t>
  </si>
  <si>
    <t>YAPITRIS</t>
  </si>
  <si>
    <t>GR0400650472</t>
  </si>
  <si>
    <t>GR0400650474</t>
  </si>
  <si>
    <t>GR0400650475</t>
  </si>
  <si>
    <t>GR0400650477</t>
  </si>
  <si>
    <t>KCOOKENA</t>
  </si>
  <si>
    <t>GR0400650478</t>
  </si>
  <si>
    <t>GR0400650489</t>
  </si>
  <si>
    <t>PARBFRPP</t>
  </si>
  <si>
    <t>GR0400650490</t>
  </si>
  <si>
    <t>GR0400650510</t>
  </si>
  <si>
    <t>GR0400650518</t>
  </si>
  <si>
    <t>GR0400650519</t>
  </si>
  <si>
    <t>GR0400650520</t>
  </si>
  <si>
    <t>GR0400650523</t>
  </si>
  <si>
    <t>GR0400650531</t>
  </si>
  <si>
    <t>Clase</t>
  </si>
  <si>
    <t>y mayor...</t>
  </si>
  <si>
    <t>Frecuencia</t>
  </si>
  <si>
    <t>x</t>
  </si>
  <si>
    <t>fo</t>
  </si>
  <si>
    <t>po</t>
  </si>
  <si>
    <t>poa</t>
  </si>
  <si>
    <t>pea</t>
  </si>
  <si>
    <t>abs(poa-pea)</t>
  </si>
  <si>
    <t>generador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</si>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</sst>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u/>
      <sz val="10"/>
      <color indexed="12"/>
      <name val="Arial"/>
      <family val="2"/>
    </font>
    <font>
      <sz val="10"/>
      <color indexed="8"/>
      <name val="MS Sans Serif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0"/>
      <color indexed="8"/>
      <name val="MS Sans Serif"/>
      <family val="2"/>
    </font>
    <font>
      <b/>
      <sz val="10"/>
      <color rgb="FFFF0000"/>
      <name val="Arial"/>
      <family val="2"/>
    </font>
    <font>
      <sz val="10"/>
      <color rgb="FFFF0000"/>
      <name val="MS Sans Serif"/>
      <family val="2"/>
    </font>
    <font>
      <i/>
      <sz val="10"/>
      <color indexed="8"/>
      <name val="MS Sans Serif"/>
      <family val="2"/>
    </font>
    <font>
      <i/>
      <sz val="10"/>
      <name val="Arial"/>
      <family val="2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22">
    <xf numFmtId="0" fontId="0" fillId="0" borderId="0" xfId="0"/>
    <xf numFmtId="0" fontId="2" fillId="0" borderId="0" xfId="1" applyFont="1" applyAlignment="1" applyProtection="1">
      <alignment horizontal="center"/>
    </xf>
    <xf numFmtId="0" fontId="3" fillId="0" borderId="0" xfId="2"/>
    <xf numFmtId="2" fontId="3" fillId="0" borderId="0" xfId="2" applyNumberFormat="1"/>
    <xf numFmtId="0" fontId="4" fillId="0" borderId="0" xfId="1" applyFont="1" applyAlignment="1" applyProtection="1">
      <alignment horizontal="left"/>
    </xf>
    <xf numFmtId="0" fontId="5" fillId="0" borderId="0" xfId="1" applyFont="1" applyAlignment="1" applyProtection="1">
      <alignment horizontal="left"/>
    </xf>
    <xf numFmtId="0" fontId="6" fillId="0" borderId="0" xfId="2" applyFont="1"/>
    <xf numFmtId="0" fontId="3" fillId="0" borderId="0" xfId="2" applyFont="1"/>
    <xf numFmtId="0" fontId="2" fillId="0" borderId="0" xfId="1" applyFont="1" applyAlignment="1" applyProtection="1">
      <alignment horizontal="left"/>
    </xf>
    <xf numFmtId="0" fontId="3" fillId="0" borderId="0" xfId="2" applyFont="1" applyFill="1"/>
    <xf numFmtId="2" fontId="3" fillId="0" borderId="0" xfId="2" applyNumberFormat="1" applyFill="1"/>
    <xf numFmtId="0" fontId="7" fillId="0" borderId="0" xfId="1" applyFont="1" applyFill="1" applyAlignment="1" applyProtection="1">
      <alignment horizontal="left"/>
    </xf>
    <xf numFmtId="0" fontId="8" fillId="0" borderId="0" xfId="2" applyFont="1" applyFill="1"/>
    <xf numFmtId="0" fontId="9" fillId="0" borderId="0" xfId="2" applyFont="1" applyFill="1"/>
    <xf numFmtId="0" fontId="6" fillId="2" borderId="0" xfId="2" applyFont="1" applyFill="1" applyAlignment="1">
      <alignment wrapText="1"/>
    </xf>
    <xf numFmtId="2" fontId="6" fillId="3" borderId="0" xfId="2" applyNumberFormat="1" applyFont="1" applyFill="1" applyAlignment="1">
      <alignment wrapText="1"/>
    </xf>
    <xf numFmtId="0" fontId="0" fillId="0" borderId="0" xfId="0" applyFill="1" applyBorder="1" applyAlignment="1"/>
    <xf numFmtId="0" fontId="10" fillId="0" borderId="0" xfId="0" applyFont="1" applyFill="1" applyBorder="1" applyAlignment="1">
      <alignment horizontal="center"/>
    </xf>
    <xf numFmtId="0" fontId="0" fillId="0" borderId="1" xfId="0" applyFill="1" applyBorder="1" applyAlignment="1"/>
    <xf numFmtId="0" fontId="11" fillId="0" borderId="2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0" borderId="2" xfId="0" applyFont="1" applyFill="1" applyBorder="1" applyAlignment="1">
      <alignment horizontal="centerContinuous"/>
    </xf>
  </cellXfs>
  <cellStyles count="3">
    <cellStyle name="Hipervínculo" xfId="1" builtinId="8"/>
    <cellStyle name="Normal" xfId="0" builtinId="0"/>
    <cellStyle name="Normal_intro_minitab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Hoja1!$J$14:$J$36</c:f>
              <c:strCache>
                <c:ptCount val="23"/>
                <c:pt idx="0">
                  <c:v>0</c:v>
                </c:pt>
                <c:pt idx="1">
                  <c:v>2,718181818</c:v>
                </c:pt>
                <c:pt idx="2">
                  <c:v>5,436363636</c:v>
                </c:pt>
                <c:pt idx="3">
                  <c:v>8,154545455</c:v>
                </c:pt>
                <c:pt idx="4">
                  <c:v>10,87272727</c:v>
                </c:pt>
                <c:pt idx="5">
                  <c:v>13,59090909</c:v>
                </c:pt>
                <c:pt idx="6">
                  <c:v>16,30909091</c:v>
                </c:pt>
                <c:pt idx="7">
                  <c:v>19,02727273</c:v>
                </c:pt>
                <c:pt idx="8">
                  <c:v>21,74545455</c:v>
                </c:pt>
                <c:pt idx="9">
                  <c:v>24,46363636</c:v>
                </c:pt>
                <c:pt idx="10">
                  <c:v>27,18181818</c:v>
                </c:pt>
                <c:pt idx="11">
                  <c:v>29,9</c:v>
                </c:pt>
                <c:pt idx="12">
                  <c:v>32,61818182</c:v>
                </c:pt>
                <c:pt idx="13">
                  <c:v>35,33636364</c:v>
                </c:pt>
                <c:pt idx="14">
                  <c:v>38,05454545</c:v>
                </c:pt>
                <c:pt idx="15">
                  <c:v>40,77272727</c:v>
                </c:pt>
                <c:pt idx="16">
                  <c:v>43,49090909</c:v>
                </c:pt>
                <c:pt idx="17">
                  <c:v>46,20909091</c:v>
                </c:pt>
                <c:pt idx="18">
                  <c:v>48,92727273</c:v>
                </c:pt>
                <c:pt idx="19">
                  <c:v>51,64545455</c:v>
                </c:pt>
                <c:pt idx="20">
                  <c:v>54,36363636</c:v>
                </c:pt>
                <c:pt idx="21">
                  <c:v>57,08181818</c:v>
                </c:pt>
                <c:pt idx="22">
                  <c:v>y mayor...</c:v>
                </c:pt>
              </c:strCache>
            </c:strRef>
          </c:cat>
          <c:val>
            <c:numRef>
              <c:f>Hoja1!$K$14:$K$36</c:f>
              <c:numCache>
                <c:formatCode>General</c:formatCode>
                <c:ptCount val="23"/>
                <c:pt idx="0">
                  <c:v>18</c:v>
                </c:pt>
                <c:pt idx="1">
                  <c:v>183</c:v>
                </c:pt>
                <c:pt idx="2">
                  <c:v>79</c:v>
                </c:pt>
                <c:pt idx="3">
                  <c:v>60</c:v>
                </c:pt>
                <c:pt idx="4">
                  <c:v>43</c:v>
                </c:pt>
                <c:pt idx="5">
                  <c:v>18</c:v>
                </c:pt>
                <c:pt idx="6">
                  <c:v>16</c:v>
                </c:pt>
                <c:pt idx="7">
                  <c:v>22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A3-44C5-96C1-706713F61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350184"/>
        <c:axId val="493354120"/>
      </c:barChart>
      <c:catAx>
        <c:axId val="49335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3354120"/>
        <c:crosses val="autoZero"/>
        <c:auto val="1"/>
        <c:lblAlgn val="ctr"/>
        <c:lblOffset val="100"/>
        <c:noMultiLvlLbl val="0"/>
      </c:catAx>
      <c:valAx>
        <c:axId val="493354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3350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257174</xdr:colOff>
      <xdr:row>14</xdr:row>
      <xdr:rowOff>161925</xdr:rowOff>
    </xdr:from>
    <xdr:to>
      <xdr:col>10</xdr:col>
      <xdr:colOff>57149</xdr:colOff>
      <xdr:row>29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A95540B-5CD8-437C-AA84-0BFA8C79A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533"/>
  <sheetViews>
    <sheetView topLeftCell="C1" workbookViewId="0">
      <selection activeCell="M12" sqref="M12:S12"/>
    </sheetView>
  </sheetViews>
  <sheetFormatPr baseColWidth="10" defaultColWidth="9.140625" defaultRowHeight="12.75" x14ac:dyDescent="0.2"/>
  <cols>
    <col min="1" max="1" width="18" style="2" customWidth="1"/>
    <col min="2" max="2" width="17.140625" style="2" customWidth="1"/>
    <col min="3" max="3" width="7.140625" style="2" customWidth="1"/>
    <col min="4" max="4" width="10.28515625" style="3" customWidth="1"/>
    <col min="5" max="5" width="9.28515625" style="2" customWidth="1"/>
    <col min="6" max="6" width="10.140625" style="2" customWidth="1"/>
    <col min="7" max="7" width="9.140625" style="2" customWidth="1"/>
    <col min="8" max="8" width="14.85546875" style="2" customWidth="1"/>
    <col min="9" max="17" width="9.140625" style="2"/>
    <col min="18" max="18" width="12.7109375" style="2" bestFit="1" customWidth="1"/>
    <col min="19" max="16384" width="9.140625" style="2"/>
  </cols>
  <sheetData>
    <row r="1" spans="1:12" x14ac:dyDescent="0.2">
      <c r="A1" s="1" t="s">
        <v>0</v>
      </c>
    </row>
    <row r="2" spans="1:12" x14ac:dyDescent="0.2">
      <c r="A2" s="4" t="s">
        <v>1</v>
      </c>
      <c r="H2" s="2" t="s">
        <v>2</v>
      </c>
    </row>
    <row r="3" spans="1:12" x14ac:dyDescent="0.2">
      <c r="A3" s="5" t="s">
        <v>3</v>
      </c>
      <c r="B3" s="6" t="s">
        <v>4</v>
      </c>
      <c r="C3" s="7" t="s">
        <v>5</v>
      </c>
    </row>
    <row r="4" spans="1:12" x14ac:dyDescent="0.2">
      <c r="A4" s="8"/>
      <c r="B4" s="6" t="s">
        <v>6</v>
      </c>
      <c r="C4" s="9" t="s">
        <v>7</v>
      </c>
      <c r="D4" s="10"/>
    </row>
    <row r="5" spans="1:12" x14ac:dyDescent="0.2">
      <c r="A5" s="8"/>
      <c r="B5" s="6" t="s">
        <v>8</v>
      </c>
      <c r="C5" s="9" t="s">
        <v>9</v>
      </c>
      <c r="D5" s="10"/>
    </row>
    <row r="6" spans="1:12" x14ac:dyDescent="0.2">
      <c r="A6" s="8"/>
      <c r="B6" s="6" t="s">
        <v>10</v>
      </c>
      <c r="C6" s="9" t="s">
        <v>11</v>
      </c>
      <c r="D6" s="10"/>
    </row>
    <row r="7" spans="1:12" x14ac:dyDescent="0.2">
      <c r="A7" s="8"/>
      <c r="B7" s="6" t="s">
        <v>12</v>
      </c>
      <c r="C7" s="9" t="s">
        <v>13</v>
      </c>
      <c r="D7" s="10"/>
    </row>
    <row r="8" spans="1:12" x14ac:dyDescent="0.2">
      <c r="A8" s="8"/>
      <c r="B8" s="6" t="s">
        <v>14</v>
      </c>
      <c r="C8" s="9" t="s">
        <v>15</v>
      </c>
      <c r="D8" s="10"/>
    </row>
    <row r="9" spans="1:12" x14ac:dyDescent="0.2">
      <c r="A9" s="8"/>
      <c r="B9" s="6" t="s">
        <v>16</v>
      </c>
      <c r="C9" s="9" t="s">
        <v>17</v>
      </c>
      <c r="D9" s="10"/>
    </row>
    <row r="10" spans="1:12" x14ac:dyDescent="0.2">
      <c r="A10" s="8"/>
      <c r="B10" s="6" t="s">
        <v>18</v>
      </c>
      <c r="C10" s="9" t="s">
        <v>19</v>
      </c>
      <c r="D10" s="10"/>
    </row>
    <row r="11" spans="1:12" x14ac:dyDescent="0.2">
      <c r="A11" s="11"/>
      <c r="B11" s="12"/>
      <c r="C11" s="13"/>
      <c r="D11" s="10"/>
    </row>
    <row r="12" spans="1:12" ht="39" thickBot="1" x14ac:dyDescent="0.25">
      <c r="A12" s="14" t="s">
        <v>4</v>
      </c>
      <c r="B12" s="14" t="s">
        <v>6</v>
      </c>
      <c r="C12" s="14" t="s">
        <v>8</v>
      </c>
      <c r="D12" s="15" t="s">
        <v>10</v>
      </c>
      <c r="E12" s="14" t="s">
        <v>12</v>
      </c>
      <c r="F12" s="14" t="s">
        <v>14</v>
      </c>
      <c r="G12" s="14" t="s">
        <v>16</v>
      </c>
      <c r="H12" s="14" t="s">
        <v>18</v>
      </c>
    </row>
    <row r="13" spans="1:12" ht="15" x14ac:dyDescent="0.25">
      <c r="A13" s="2" t="s">
        <v>20</v>
      </c>
      <c r="B13" s="2" t="s">
        <v>21</v>
      </c>
      <c r="C13" s="2" t="s">
        <v>22</v>
      </c>
      <c r="D13" s="3">
        <v>29.73</v>
      </c>
      <c r="E13" s="3">
        <v>20.8</v>
      </c>
      <c r="F13" s="3">
        <v>8.93</v>
      </c>
      <c r="G13" s="3">
        <v>0</v>
      </c>
      <c r="H13" s="2">
        <v>3</v>
      </c>
      <c r="J13" s="19" t="s">
        <v>830</v>
      </c>
      <c r="K13" s="19" t="s">
        <v>832</v>
      </c>
    </row>
    <row r="14" spans="1:12" ht="15" x14ac:dyDescent="0.25">
      <c r="A14" s="2" t="s">
        <v>23</v>
      </c>
      <c r="B14" s="2" t="s">
        <v>24</v>
      </c>
      <c r="C14" s="2" t="s">
        <v>25</v>
      </c>
      <c r="D14" s="3">
        <v>6.83</v>
      </c>
      <c r="E14" s="3">
        <v>5.54</v>
      </c>
      <c r="F14" s="3">
        <v>1.29</v>
      </c>
      <c r="G14" s="3">
        <v>0</v>
      </c>
      <c r="H14" s="2">
        <v>2</v>
      </c>
      <c r="J14" s="16">
        <v>0</v>
      </c>
      <c r="K14" s="16">
        <v>18</v>
      </c>
    </row>
    <row r="15" spans="1:12" ht="15" x14ac:dyDescent="0.25">
      <c r="A15" s="2" t="s">
        <v>26</v>
      </c>
      <c r="B15" s="2" t="s">
        <v>27</v>
      </c>
      <c r="C15" s="2" t="s">
        <v>28</v>
      </c>
      <c r="D15" s="3">
        <v>6.86</v>
      </c>
      <c r="E15" s="3">
        <v>6.86</v>
      </c>
      <c r="F15" s="3">
        <v>0</v>
      </c>
      <c r="G15" s="3">
        <v>0</v>
      </c>
      <c r="H15" s="2">
        <v>0</v>
      </c>
      <c r="J15" s="16">
        <v>2.7181818181818183</v>
      </c>
      <c r="K15" s="16">
        <v>183</v>
      </c>
      <c r="L15" s="17"/>
    </row>
    <row r="16" spans="1:12" ht="15" x14ac:dyDescent="0.25">
      <c r="A16" s="2" t="s">
        <v>29</v>
      </c>
      <c r="B16" s="2" t="s">
        <v>30</v>
      </c>
      <c r="C16" s="2" t="s">
        <v>28</v>
      </c>
      <c r="D16" s="3">
        <v>6.93</v>
      </c>
      <c r="E16" s="3">
        <v>4.7699999999999996</v>
      </c>
      <c r="F16" s="3">
        <v>2.16</v>
      </c>
      <c r="G16" s="3">
        <v>0</v>
      </c>
      <c r="H16" s="2">
        <v>1</v>
      </c>
      <c r="J16" s="16">
        <v>5.4363636363636365</v>
      </c>
      <c r="K16" s="16">
        <v>79</v>
      </c>
      <c r="L16" s="16"/>
    </row>
    <row r="17" spans="1:12" ht="15" x14ac:dyDescent="0.25">
      <c r="A17" s="2" t="s">
        <v>31</v>
      </c>
      <c r="B17" s="2" t="s">
        <v>32</v>
      </c>
      <c r="C17" s="2" t="s">
        <v>25</v>
      </c>
      <c r="D17" s="3">
        <v>19.809999999999999</v>
      </c>
      <c r="E17" s="3">
        <v>0.28000000000000003</v>
      </c>
      <c r="F17" s="3">
        <v>19.52</v>
      </c>
      <c r="G17" s="3">
        <v>0</v>
      </c>
      <c r="H17" s="2">
        <v>4</v>
      </c>
      <c r="J17" s="16">
        <v>8.1545454545454543</v>
      </c>
      <c r="K17" s="16">
        <v>60</v>
      </c>
      <c r="L17" s="16"/>
    </row>
    <row r="18" spans="1:12" ht="15" x14ac:dyDescent="0.25">
      <c r="A18" s="2" t="s">
        <v>33</v>
      </c>
      <c r="B18" s="2" t="s">
        <v>34</v>
      </c>
      <c r="C18" s="2" t="s">
        <v>22</v>
      </c>
      <c r="D18" s="3">
        <v>5.7</v>
      </c>
      <c r="E18" s="3">
        <v>5.7</v>
      </c>
      <c r="F18" s="3">
        <v>0</v>
      </c>
      <c r="G18" s="3">
        <v>0</v>
      </c>
      <c r="H18" s="2">
        <v>0</v>
      </c>
      <c r="J18" s="16">
        <v>10.872727272727273</v>
      </c>
      <c r="K18" s="16">
        <v>43</v>
      </c>
      <c r="L18" s="16"/>
    </row>
    <row r="19" spans="1:12" ht="15" x14ac:dyDescent="0.25">
      <c r="A19" s="2" t="s">
        <v>35</v>
      </c>
      <c r="B19" s="2" t="s">
        <v>36</v>
      </c>
      <c r="C19" s="2" t="s">
        <v>22</v>
      </c>
      <c r="D19" s="3">
        <v>7.63</v>
      </c>
      <c r="E19" s="3">
        <v>6.34</v>
      </c>
      <c r="F19" s="3">
        <v>1.29</v>
      </c>
      <c r="G19" s="3">
        <v>0</v>
      </c>
      <c r="H19" s="2">
        <v>1</v>
      </c>
      <c r="J19" s="16">
        <v>13.590909090909092</v>
      </c>
      <c r="K19" s="16">
        <v>18</v>
      </c>
      <c r="L19" s="16"/>
    </row>
    <row r="20" spans="1:12" ht="15" x14ac:dyDescent="0.25">
      <c r="A20" s="2" t="s">
        <v>37</v>
      </c>
      <c r="B20" s="2" t="s">
        <v>38</v>
      </c>
      <c r="C20" s="2" t="s">
        <v>28</v>
      </c>
      <c r="D20" s="3">
        <v>6.84</v>
      </c>
      <c r="E20" s="3">
        <v>6.84</v>
      </c>
      <c r="F20" s="3">
        <v>0</v>
      </c>
      <c r="G20" s="3">
        <v>0</v>
      </c>
      <c r="H20" s="2">
        <v>0</v>
      </c>
      <c r="J20" s="16">
        <v>16.309090909090909</v>
      </c>
      <c r="K20" s="16">
        <v>16</v>
      </c>
      <c r="L20" s="16"/>
    </row>
    <row r="21" spans="1:12" ht="15" x14ac:dyDescent="0.25">
      <c r="A21" s="2" t="s">
        <v>39</v>
      </c>
      <c r="B21" s="2" t="s">
        <v>40</v>
      </c>
      <c r="C21" s="2" t="s">
        <v>25</v>
      </c>
      <c r="D21" s="3">
        <v>13.55</v>
      </c>
      <c r="E21" s="3">
        <v>1.6</v>
      </c>
      <c r="F21" s="3">
        <v>11.94</v>
      </c>
      <c r="G21" s="3">
        <v>0</v>
      </c>
      <c r="H21" s="2">
        <v>2</v>
      </c>
      <c r="J21" s="16">
        <v>19.027272727272727</v>
      </c>
      <c r="K21" s="16">
        <v>22</v>
      </c>
      <c r="L21" s="16"/>
    </row>
    <row r="22" spans="1:12" ht="15" x14ac:dyDescent="0.25">
      <c r="A22" s="2" t="s">
        <v>41</v>
      </c>
      <c r="B22" s="2" t="s">
        <v>38</v>
      </c>
      <c r="C22" s="2" t="s">
        <v>28</v>
      </c>
      <c r="D22" s="3">
        <v>4.7</v>
      </c>
      <c r="E22" s="3">
        <v>4.7</v>
      </c>
      <c r="F22" s="3">
        <v>0</v>
      </c>
      <c r="G22" s="3">
        <v>0</v>
      </c>
      <c r="H22" s="2">
        <v>0</v>
      </c>
      <c r="J22" s="16">
        <v>21.745454545454546</v>
      </c>
      <c r="K22" s="16">
        <v>18</v>
      </c>
      <c r="L22" s="16"/>
    </row>
    <row r="23" spans="1:12" ht="15" x14ac:dyDescent="0.25">
      <c r="A23" s="2" t="s">
        <v>42</v>
      </c>
      <c r="B23" s="2" t="s">
        <v>43</v>
      </c>
      <c r="C23" s="2" t="s">
        <v>25</v>
      </c>
      <c r="D23" s="3">
        <v>34.450000000000003</v>
      </c>
      <c r="E23" s="3">
        <v>13.65</v>
      </c>
      <c r="F23" s="3">
        <v>18.09</v>
      </c>
      <c r="G23" s="3">
        <v>2.71</v>
      </c>
      <c r="H23" s="2">
        <v>8</v>
      </c>
      <c r="J23" s="16">
        <v>24.463636363636365</v>
      </c>
      <c r="K23" s="16">
        <v>7</v>
      </c>
      <c r="L23" s="16"/>
    </row>
    <row r="24" spans="1:12" ht="15" x14ac:dyDescent="0.25">
      <c r="A24" s="2" t="s">
        <v>44</v>
      </c>
      <c r="B24" s="2" t="s">
        <v>45</v>
      </c>
      <c r="C24" s="2" t="s">
        <v>25</v>
      </c>
      <c r="D24" s="3">
        <v>6.48</v>
      </c>
      <c r="E24" s="3">
        <v>6.16</v>
      </c>
      <c r="F24" s="3">
        <v>0.33</v>
      </c>
      <c r="G24" s="3">
        <v>0</v>
      </c>
      <c r="H24" s="2">
        <v>1</v>
      </c>
      <c r="J24" s="16">
        <v>27.181818181818183</v>
      </c>
      <c r="K24" s="16">
        <v>5</v>
      </c>
      <c r="L24" s="16"/>
    </row>
    <row r="25" spans="1:12" ht="15" x14ac:dyDescent="0.25">
      <c r="A25" s="2" t="s">
        <v>46</v>
      </c>
      <c r="B25" s="2" t="s">
        <v>45</v>
      </c>
      <c r="C25" s="2" t="s">
        <v>28</v>
      </c>
      <c r="D25" s="3">
        <v>20.55</v>
      </c>
      <c r="E25" s="3">
        <v>7.77</v>
      </c>
      <c r="F25" s="3">
        <v>12.77</v>
      </c>
      <c r="G25" s="3">
        <v>0</v>
      </c>
      <c r="H25" s="2">
        <v>6</v>
      </c>
      <c r="J25" s="16">
        <v>29.900000000000002</v>
      </c>
      <c r="K25" s="16">
        <v>8</v>
      </c>
      <c r="L25" s="16"/>
    </row>
    <row r="26" spans="1:12" ht="15" x14ac:dyDescent="0.25">
      <c r="A26" s="2" t="s">
        <v>47</v>
      </c>
      <c r="B26" s="2" t="s">
        <v>48</v>
      </c>
      <c r="C26" s="2" t="s">
        <v>49</v>
      </c>
      <c r="D26" s="3">
        <v>20.56</v>
      </c>
      <c r="E26" s="3">
        <v>5.89</v>
      </c>
      <c r="F26" s="3">
        <v>14.67</v>
      </c>
      <c r="G26" s="3">
        <v>0</v>
      </c>
      <c r="H26" s="2">
        <v>4</v>
      </c>
      <c r="J26" s="16">
        <v>32.618181818181817</v>
      </c>
      <c r="K26" s="16">
        <v>7</v>
      </c>
      <c r="L26" s="16"/>
    </row>
    <row r="27" spans="1:12" ht="15" x14ac:dyDescent="0.25">
      <c r="A27" s="2" t="s">
        <v>50</v>
      </c>
      <c r="B27" s="2" t="s">
        <v>27</v>
      </c>
      <c r="C27" s="2" t="s">
        <v>49</v>
      </c>
      <c r="D27" s="3">
        <v>6.62</v>
      </c>
      <c r="E27" s="3">
        <v>6.62</v>
      </c>
      <c r="F27" s="3">
        <v>0</v>
      </c>
      <c r="G27" s="3">
        <v>0</v>
      </c>
      <c r="H27" s="2">
        <v>0</v>
      </c>
      <c r="J27" s="16">
        <v>35.336363636363636</v>
      </c>
      <c r="K27" s="16">
        <v>6</v>
      </c>
      <c r="L27" s="16"/>
    </row>
    <row r="28" spans="1:12" ht="15" x14ac:dyDescent="0.25">
      <c r="A28" s="2" t="s">
        <v>51</v>
      </c>
      <c r="B28" s="2" t="s">
        <v>48</v>
      </c>
      <c r="C28" s="2" t="s">
        <v>28</v>
      </c>
      <c r="D28" s="3">
        <v>7.58</v>
      </c>
      <c r="E28" s="3">
        <v>6.75</v>
      </c>
      <c r="F28" s="3">
        <v>0</v>
      </c>
      <c r="G28" s="3">
        <v>0.83</v>
      </c>
      <c r="H28" s="2">
        <v>0</v>
      </c>
      <c r="J28" s="16">
        <v>38.054545454545455</v>
      </c>
      <c r="K28" s="16">
        <v>3</v>
      </c>
      <c r="L28" s="16"/>
    </row>
    <row r="29" spans="1:12" ht="15" x14ac:dyDescent="0.25">
      <c r="A29" s="2" t="s">
        <v>52</v>
      </c>
      <c r="B29" s="2" t="s">
        <v>53</v>
      </c>
      <c r="C29" s="2" t="s">
        <v>25</v>
      </c>
      <c r="D29" s="3">
        <v>13.24</v>
      </c>
      <c r="E29" s="3">
        <v>2.59</v>
      </c>
      <c r="F29" s="3">
        <v>3.97</v>
      </c>
      <c r="G29" s="3">
        <v>6.69</v>
      </c>
      <c r="H29" s="2">
        <v>2</v>
      </c>
      <c r="J29" s="16">
        <v>40.772727272727273</v>
      </c>
      <c r="K29" s="16">
        <v>3</v>
      </c>
      <c r="L29" s="16"/>
    </row>
    <row r="30" spans="1:12" ht="15" x14ac:dyDescent="0.25">
      <c r="A30" s="2" t="s">
        <v>54</v>
      </c>
      <c r="B30" s="2" t="s">
        <v>55</v>
      </c>
      <c r="C30" s="2" t="s">
        <v>25</v>
      </c>
      <c r="D30" s="3">
        <v>59.06</v>
      </c>
      <c r="E30" s="3">
        <v>6.22</v>
      </c>
      <c r="F30" s="3">
        <v>52.84</v>
      </c>
      <c r="G30" s="3">
        <v>0</v>
      </c>
      <c r="H30" s="2">
        <v>7</v>
      </c>
      <c r="J30" s="16">
        <v>43.490909090909092</v>
      </c>
      <c r="K30" s="16">
        <v>4</v>
      </c>
      <c r="L30" s="16"/>
    </row>
    <row r="31" spans="1:12" ht="15" x14ac:dyDescent="0.25">
      <c r="A31" s="2" t="s">
        <v>56</v>
      </c>
      <c r="B31" s="2" t="s">
        <v>55</v>
      </c>
      <c r="C31" s="2" t="s">
        <v>57</v>
      </c>
      <c r="D31" s="3">
        <v>0.95</v>
      </c>
      <c r="E31" s="3">
        <v>0.95</v>
      </c>
      <c r="F31" s="3">
        <v>0</v>
      </c>
      <c r="G31" s="3">
        <v>0</v>
      </c>
      <c r="H31" s="2">
        <v>0</v>
      </c>
      <c r="J31" s="16">
        <v>46.209090909090911</v>
      </c>
      <c r="K31" s="16">
        <v>5</v>
      </c>
      <c r="L31" s="16"/>
    </row>
    <row r="32" spans="1:12" ht="15" x14ac:dyDescent="0.25">
      <c r="A32" s="2" t="s">
        <v>58</v>
      </c>
      <c r="B32" s="2" t="s">
        <v>55</v>
      </c>
      <c r="C32" s="2" t="s">
        <v>57</v>
      </c>
      <c r="D32" s="3">
        <v>0.95</v>
      </c>
      <c r="E32" s="3">
        <v>0.95</v>
      </c>
      <c r="F32" s="3">
        <v>0</v>
      </c>
      <c r="G32" s="3">
        <v>0</v>
      </c>
      <c r="H32" s="2">
        <v>0</v>
      </c>
      <c r="J32" s="16">
        <v>48.927272727272729</v>
      </c>
      <c r="K32" s="16">
        <v>1</v>
      </c>
      <c r="L32" s="16"/>
    </row>
    <row r="33" spans="1:12" ht="15" x14ac:dyDescent="0.25">
      <c r="A33" s="2" t="s">
        <v>59</v>
      </c>
      <c r="B33" s="2" t="s">
        <v>60</v>
      </c>
      <c r="C33" s="2" t="s">
        <v>25</v>
      </c>
      <c r="D33" s="3">
        <v>6.03</v>
      </c>
      <c r="E33" s="3">
        <v>0.34</v>
      </c>
      <c r="F33" s="3">
        <v>5.69</v>
      </c>
      <c r="G33" s="3">
        <v>0</v>
      </c>
      <c r="H33" s="2">
        <v>3</v>
      </c>
      <c r="J33" s="16">
        <v>51.645454545454548</v>
      </c>
      <c r="K33" s="16">
        <v>2</v>
      </c>
      <c r="L33" s="16"/>
    </row>
    <row r="34" spans="1:12" ht="15" x14ac:dyDescent="0.25">
      <c r="A34" s="2" t="s">
        <v>61</v>
      </c>
      <c r="B34" s="2" t="s">
        <v>60</v>
      </c>
      <c r="C34" s="2" t="s">
        <v>25</v>
      </c>
      <c r="D34" s="3">
        <v>6.12</v>
      </c>
      <c r="E34" s="3">
        <v>2</v>
      </c>
      <c r="F34" s="3">
        <v>4.12</v>
      </c>
      <c r="G34" s="3">
        <v>0</v>
      </c>
      <c r="H34" s="2">
        <v>3</v>
      </c>
      <c r="J34" s="16">
        <v>54.363636363636367</v>
      </c>
      <c r="K34" s="16">
        <v>4</v>
      </c>
      <c r="L34" s="16"/>
    </row>
    <row r="35" spans="1:12" ht="15" x14ac:dyDescent="0.25">
      <c r="A35" s="2" t="s">
        <v>62</v>
      </c>
      <c r="B35" s="2" t="s">
        <v>63</v>
      </c>
      <c r="C35" s="2" t="s">
        <v>25</v>
      </c>
      <c r="D35" s="3">
        <v>4.67</v>
      </c>
      <c r="E35" s="3">
        <v>1.89</v>
      </c>
      <c r="F35" s="3">
        <v>1.98</v>
      </c>
      <c r="G35" s="3">
        <v>0.79</v>
      </c>
      <c r="H35" s="2">
        <v>1</v>
      </c>
      <c r="J35" s="16">
        <v>57.081818181818186</v>
      </c>
      <c r="K35" s="16">
        <v>4</v>
      </c>
      <c r="L35" s="16"/>
    </row>
    <row r="36" spans="1:12" ht="15.75" thickBot="1" x14ac:dyDescent="0.3">
      <c r="A36" s="2" t="s">
        <v>64</v>
      </c>
      <c r="B36" s="2" t="s">
        <v>65</v>
      </c>
      <c r="C36" s="2" t="s">
        <v>66</v>
      </c>
      <c r="D36" s="3">
        <v>0.84</v>
      </c>
      <c r="E36" s="3">
        <v>0.84</v>
      </c>
      <c r="F36" s="3">
        <v>0</v>
      </c>
      <c r="G36" s="3">
        <v>0</v>
      </c>
      <c r="H36" s="2">
        <v>0</v>
      </c>
      <c r="J36" s="18" t="s">
        <v>831</v>
      </c>
      <c r="K36" s="18">
        <v>5</v>
      </c>
      <c r="L36" s="16"/>
    </row>
    <row r="37" spans="1:12" ht="15" x14ac:dyDescent="0.25">
      <c r="A37" s="2" t="s">
        <v>67</v>
      </c>
      <c r="B37" s="2" t="s">
        <v>68</v>
      </c>
      <c r="C37" s="2" t="s">
        <v>57</v>
      </c>
      <c r="D37" s="3">
        <v>0.24</v>
      </c>
      <c r="E37" s="3">
        <v>0.24</v>
      </c>
      <c r="F37" s="3">
        <v>0</v>
      </c>
      <c r="G37" s="3">
        <v>0</v>
      </c>
      <c r="H37" s="2">
        <v>0</v>
      </c>
      <c r="K37" s="16"/>
      <c r="L37" s="16"/>
    </row>
    <row r="38" spans="1:12" ht="15" x14ac:dyDescent="0.25">
      <c r="A38" s="2" t="s">
        <v>69</v>
      </c>
      <c r="B38" s="2" t="s">
        <v>68</v>
      </c>
      <c r="C38" s="2" t="s">
        <v>57</v>
      </c>
      <c r="D38" s="3">
        <v>5.33</v>
      </c>
      <c r="E38" s="3">
        <v>5.26</v>
      </c>
      <c r="F38" s="3">
        <v>0</v>
      </c>
      <c r="G38" s="3">
        <v>7.0000000000000007E-2</v>
      </c>
      <c r="H38" s="2">
        <v>0</v>
      </c>
      <c r="K38" s="16"/>
      <c r="L38" s="16"/>
    </row>
    <row r="39" spans="1:12" x14ac:dyDescent="0.2">
      <c r="A39" s="2" t="s">
        <v>70</v>
      </c>
      <c r="B39" s="2" t="s">
        <v>71</v>
      </c>
      <c r="C39" s="2" t="s">
        <v>25</v>
      </c>
      <c r="D39" s="3">
        <v>5.43</v>
      </c>
      <c r="E39" s="3">
        <v>5.43</v>
      </c>
      <c r="F39" s="3">
        <v>0</v>
      </c>
      <c r="G39" s="3">
        <v>0</v>
      </c>
      <c r="H39" s="2">
        <v>0</v>
      </c>
    </row>
    <row r="40" spans="1:12" x14ac:dyDescent="0.2">
      <c r="A40" s="2" t="s">
        <v>72</v>
      </c>
      <c r="B40" s="2" t="s">
        <v>73</v>
      </c>
      <c r="C40" s="2" t="s">
        <v>74</v>
      </c>
      <c r="D40" s="3">
        <v>4.1900000000000004</v>
      </c>
      <c r="E40" s="3">
        <v>0.23</v>
      </c>
      <c r="F40" s="3">
        <v>3.96</v>
      </c>
      <c r="G40" s="3">
        <v>0</v>
      </c>
      <c r="H40" s="2">
        <v>2</v>
      </c>
    </row>
    <row r="41" spans="1:12" x14ac:dyDescent="0.2">
      <c r="A41" s="2" t="s">
        <v>75</v>
      </c>
      <c r="B41" s="2" t="s">
        <v>76</v>
      </c>
      <c r="C41" s="2" t="s">
        <v>25</v>
      </c>
      <c r="D41" s="3">
        <v>18.170000000000002</v>
      </c>
      <c r="E41" s="3">
        <v>2.63</v>
      </c>
      <c r="F41" s="3">
        <v>15.55</v>
      </c>
      <c r="G41" s="3">
        <v>0</v>
      </c>
      <c r="H41" s="2">
        <v>7</v>
      </c>
    </row>
    <row r="42" spans="1:12" x14ac:dyDescent="0.2">
      <c r="A42" s="2" t="s">
        <v>77</v>
      </c>
      <c r="B42" s="2" t="s">
        <v>78</v>
      </c>
      <c r="C42" s="2" t="s">
        <v>25</v>
      </c>
      <c r="D42" s="3">
        <v>24.08</v>
      </c>
      <c r="E42" s="3">
        <v>9.27</v>
      </c>
      <c r="F42" s="3">
        <v>0</v>
      </c>
      <c r="G42" s="3">
        <v>14.81</v>
      </c>
      <c r="H42" s="2">
        <v>0</v>
      </c>
    </row>
    <row r="43" spans="1:12" x14ac:dyDescent="0.2">
      <c r="A43" s="2" t="s">
        <v>79</v>
      </c>
      <c r="B43" s="2" t="s">
        <v>80</v>
      </c>
      <c r="C43" s="2" t="s">
        <v>74</v>
      </c>
      <c r="D43" s="3">
        <v>0.17</v>
      </c>
      <c r="E43" s="3">
        <v>0.17</v>
      </c>
      <c r="F43" s="3">
        <v>0</v>
      </c>
      <c r="G43" s="3">
        <v>0</v>
      </c>
      <c r="H43" s="2">
        <v>0</v>
      </c>
    </row>
    <row r="44" spans="1:12" x14ac:dyDescent="0.2">
      <c r="A44" s="2" t="s">
        <v>81</v>
      </c>
      <c r="B44" s="2" t="s">
        <v>82</v>
      </c>
      <c r="C44" s="2" t="s">
        <v>25</v>
      </c>
      <c r="D44" s="3">
        <v>10.27</v>
      </c>
      <c r="E44" s="3">
        <v>3.01</v>
      </c>
      <c r="F44" s="3">
        <v>7.25</v>
      </c>
      <c r="G44" s="3">
        <v>0</v>
      </c>
      <c r="H44" s="2">
        <v>3</v>
      </c>
    </row>
    <row r="45" spans="1:12" x14ac:dyDescent="0.2">
      <c r="A45" s="2" t="s">
        <v>83</v>
      </c>
      <c r="B45" s="2" t="s">
        <v>84</v>
      </c>
      <c r="C45" s="2" t="s">
        <v>74</v>
      </c>
      <c r="D45" s="3">
        <v>0</v>
      </c>
      <c r="E45" s="3">
        <v>0</v>
      </c>
      <c r="F45" s="3">
        <v>0</v>
      </c>
      <c r="G45" s="3">
        <v>0</v>
      </c>
      <c r="H45" s="2">
        <v>0</v>
      </c>
    </row>
    <row r="46" spans="1:12" x14ac:dyDescent="0.2">
      <c r="A46" s="2" t="s">
        <v>85</v>
      </c>
      <c r="B46" s="2" t="s">
        <v>86</v>
      </c>
      <c r="C46" s="2" t="s">
        <v>87</v>
      </c>
      <c r="D46" s="3">
        <v>5.26</v>
      </c>
      <c r="E46" s="3">
        <v>5.26</v>
      </c>
      <c r="F46" s="3">
        <v>0</v>
      </c>
      <c r="G46" s="3">
        <v>0</v>
      </c>
      <c r="H46" s="2">
        <v>0</v>
      </c>
    </row>
    <row r="47" spans="1:12" x14ac:dyDescent="0.2">
      <c r="A47" s="2" t="s">
        <v>88</v>
      </c>
      <c r="B47" s="2" t="s">
        <v>89</v>
      </c>
      <c r="C47" s="2" t="s">
        <v>25</v>
      </c>
      <c r="D47" s="3">
        <v>4.1100000000000003</v>
      </c>
      <c r="E47" s="3">
        <v>3.74</v>
      </c>
      <c r="F47" s="3">
        <v>0</v>
      </c>
      <c r="G47" s="3">
        <v>0.36</v>
      </c>
      <c r="H47" s="2">
        <v>0</v>
      </c>
    </row>
    <row r="48" spans="1:12" x14ac:dyDescent="0.2">
      <c r="A48" s="2" t="s">
        <v>90</v>
      </c>
      <c r="B48" s="2" t="s">
        <v>91</v>
      </c>
      <c r="C48" s="2" t="s">
        <v>92</v>
      </c>
      <c r="D48" s="3">
        <v>11.3</v>
      </c>
      <c r="E48" s="3">
        <v>3.65</v>
      </c>
      <c r="F48" s="3">
        <v>0</v>
      </c>
      <c r="G48" s="3">
        <v>7.65</v>
      </c>
      <c r="H48" s="2">
        <v>0</v>
      </c>
    </row>
    <row r="49" spans="1:8" x14ac:dyDescent="0.2">
      <c r="A49" s="2" t="s">
        <v>93</v>
      </c>
      <c r="B49" s="2" t="s">
        <v>94</v>
      </c>
      <c r="C49" s="2" t="s">
        <v>25</v>
      </c>
      <c r="D49" s="3">
        <v>28</v>
      </c>
      <c r="E49" s="3">
        <v>3.41</v>
      </c>
      <c r="F49" s="3">
        <v>24.59</v>
      </c>
      <c r="G49" s="3">
        <v>0</v>
      </c>
      <c r="H49" s="2">
        <v>6</v>
      </c>
    </row>
    <row r="50" spans="1:8" x14ac:dyDescent="0.2">
      <c r="A50" s="2" t="s">
        <v>95</v>
      </c>
      <c r="B50" s="2" t="s">
        <v>82</v>
      </c>
      <c r="C50" s="2" t="s">
        <v>25</v>
      </c>
      <c r="D50" s="3">
        <v>20.190000000000001</v>
      </c>
      <c r="E50" s="3">
        <v>1.0900000000000001</v>
      </c>
      <c r="F50" s="3">
        <v>19.100000000000001</v>
      </c>
      <c r="G50" s="3">
        <v>0</v>
      </c>
      <c r="H50" s="2">
        <v>5</v>
      </c>
    </row>
    <row r="51" spans="1:8" x14ac:dyDescent="0.2">
      <c r="A51" s="2" t="s">
        <v>96</v>
      </c>
      <c r="B51" s="2" t="s">
        <v>97</v>
      </c>
      <c r="C51" s="2" t="s">
        <v>74</v>
      </c>
      <c r="D51" s="3">
        <v>0</v>
      </c>
      <c r="E51" s="3">
        <v>0</v>
      </c>
      <c r="F51" s="3">
        <v>0</v>
      </c>
      <c r="G51" s="3">
        <v>0</v>
      </c>
      <c r="H51" s="2">
        <v>0</v>
      </c>
    </row>
    <row r="52" spans="1:8" x14ac:dyDescent="0.2">
      <c r="A52" s="2" t="s">
        <v>98</v>
      </c>
      <c r="B52" s="2" t="s">
        <v>99</v>
      </c>
      <c r="C52" s="2" t="s">
        <v>25</v>
      </c>
      <c r="D52" s="3">
        <v>33.049999999999997</v>
      </c>
      <c r="E52" s="3">
        <v>0.97</v>
      </c>
      <c r="F52" s="3">
        <v>32.090000000000003</v>
      </c>
      <c r="G52" s="3">
        <v>0</v>
      </c>
      <c r="H52" s="2">
        <v>8</v>
      </c>
    </row>
    <row r="53" spans="1:8" x14ac:dyDescent="0.2">
      <c r="A53" s="2" t="s">
        <v>100</v>
      </c>
      <c r="B53" s="2" t="s">
        <v>101</v>
      </c>
      <c r="C53" s="2" t="s">
        <v>57</v>
      </c>
      <c r="D53" s="3">
        <v>0.04</v>
      </c>
      <c r="E53" s="3">
        <v>0.04</v>
      </c>
      <c r="F53" s="3">
        <v>0</v>
      </c>
      <c r="G53" s="3">
        <v>0</v>
      </c>
      <c r="H53" s="2">
        <v>0</v>
      </c>
    </row>
    <row r="54" spans="1:8" x14ac:dyDescent="0.2">
      <c r="A54" s="2" t="s">
        <v>102</v>
      </c>
      <c r="B54" s="2" t="s">
        <v>103</v>
      </c>
      <c r="C54" s="2" t="s">
        <v>104</v>
      </c>
      <c r="D54" s="3">
        <v>3</v>
      </c>
      <c r="E54" s="3">
        <v>3</v>
      </c>
      <c r="F54" s="3">
        <v>0</v>
      </c>
      <c r="G54" s="3">
        <v>0</v>
      </c>
      <c r="H54" s="2">
        <v>0</v>
      </c>
    </row>
    <row r="55" spans="1:8" x14ac:dyDescent="0.2">
      <c r="A55" s="2" t="s">
        <v>105</v>
      </c>
      <c r="B55" s="2" t="s">
        <v>106</v>
      </c>
      <c r="C55" s="2" t="s">
        <v>49</v>
      </c>
      <c r="D55" s="3">
        <v>0.16</v>
      </c>
      <c r="E55" s="3">
        <v>0.16</v>
      </c>
      <c r="F55" s="3">
        <v>0</v>
      </c>
      <c r="G55" s="3">
        <v>0</v>
      </c>
      <c r="H55" s="2">
        <v>0</v>
      </c>
    </row>
    <row r="56" spans="1:8" x14ac:dyDescent="0.2">
      <c r="A56" s="2" t="s">
        <v>107</v>
      </c>
      <c r="B56" s="2" t="s">
        <v>108</v>
      </c>
      <c r="C56" s="2" t="s">
        <v>57</v>
      </c>
      <c r="D56" s="3">
        <v>0.02</v>
      </c>
      <c r="E56" s="3">
        <v>0.02</v>
      </c>
      <c r="F56" s="3">
        <v>0</v>
      </c>
      <c r="G56" s="3">
        <v>0</v>
      </c>
      <c r="H56" s="2">
        <v>0</v>
      </c>
    </row>
    <row r="57" spans="1:8" x14ac:dyDescent="0.2">
      <c r="A57" s="2" t="s">
        <v>109</v>
      </c>
      <c r="B57" s="2" t="s">
        <v>108</v>
      </c>
      <c r="C57" s="2" t="s">
        <v>57</v>
      </c>
      <c r="D57" s="3">
        <v>40.03</v>
      </c>
      <c r="E57" s="3">
        <v>1.03</v>
      </c>
      <c r="F57" s="3">
        <v>0.81</v>
      </c>
      <c r="G57" s="3">
        <v>38.18</v>
      </c>
      <c r="H57" s="2">
        <v>1</v>
      </c>
    </row>
    <row r="58" spans="1:8" x14ac:dyDescent="0.2">
      <c r="A58" s="2" t="s">
        <v>110</v>
      </c>
      <c r="B58" s="2" t="s">
        <v>94</v>
      </c>
      <c r="C58" s="2" t="s">
        <v>22</v>
      </c>
      <c r="D58" s="3">
        <v>25.15</v>
      </c>
      <c r="E58" s="3">
        <v>8.57</v>
      </c>
      <c r="F58" s="3">
        <v>9.0299999999999994</v>
      </c>
      <c r="G58" s="3">
        <v>7.56</v>
      </c>
      <c r="H58" s="2">
        <v>7</v>
      </c>
    </row>
    <row r="59" spans="1:8" x14ac:dyDescent="0.2">
      <c r="A59" s="2" t="s">
        <v>111</v>
      </c>
      <c r="B59" s="2" t="s">
        <v>112</v>
      </c>
      <c r="C59" s="2" t="s">
        <v>104</v>
      </c>
      <c r="D59" s="3">
        <v>6.01</v>
      </c>
      <c r="E59" s="3">
        <v>6.01</v>
      </c>
      <c r="F59" s="3">
        <v>0</v>
      </c>
      <c r="G59" s="3">
        <v>0</v>
      </c>
      <c r="H59" s="2">
        <v>0</v>
      </c>
    </row>
    <row r="60" spans="1:8" x14ac:dyDescent="0.2">
      <c r="A60" s="2" t="s">
        <v>113</v>
      </c>
      <c r="B60" s="2" t="s">
        <v>114</v>
      </c>
      <c r="C60" s="2" t="s">
        <v>25</v>
      </c>
      <c r="D60" s="3">
        <v>5.97</v>
      </c>
      <c r="E60" s="3">
        <v>2.65</v>
      </c>
      <c r="F60" s="3">
        <v>3.32</v>
      </c>
      <c r="G60" s="3">
        <v>0</v>
      </c>
      <c r="H60" s="2">
        <v>2</v>
      </c>
    </row>
    <row r="61" spans="1:8" x14ac:dyDescent="0.2">
      <c r="A61" s="2" t="s">
        <v>115</v>
      </c>
      <c r="B61" s="2" t="s">
        <v>82</v>
      </c>
      <c r="C61" s="2" t="s">
        <v>25</v>
      </c>
      <c r="D61" s="3">
        <v>19.100000000000001</v>
      </c>
      <c r="E61" s="3">
        <v>0.87</v>
      </c>
      <c r="F61" s="3">
        <v>18.25</v>
      </c>
      <c r="G61" s="3">
        <v>0</v>
      </c>
      <c r="H61" s="2">
        <v>6</v>
      </c>
    </row>
    <row r="62" spans="1:8" x14ac:dyDescent="0.2">
      <c r="A62" s="2" t="s">
        <v>116</v>
      </c>
      <c r="B62" s="2" t="s">
        <v>117</v>
      </c>
      <c r="C62" s="2" t="s">
        <v>25</v>
      </c>
      <c r="D62" s="3">
        <v>31.05</v>
      </c>
      <c r="E62" s="3">
        <v>8.84</v>
      </c>
      <c r="F62" s="3">
        <v>7.81</v>
      </c>
      <c r="G62" s="3">
        <v>14.39</v>
      </c>
      <c r="H62" s="2">
        <v>3</v>
      </c>
    </row>
    <row r="63" spans="1:8" x14ac:dyDescent="0.2">
      <c r="A63" s="2" t="s">
        <v>118</v>
      </c>
      <c r="B63" s="2" t="s">
        <v>119</v>
      </c>
      <c r="C63" s="2" t="s">
        <v>25</v>
      </c>
      <c r="D63" s="3">
        <v>3.24</v>
      </c>
      <c r="E63" s="3">
        <v>3.24</v>
      </c>
      <c r="F63" s="3">
        <v>0</v>
      </c>
      <c r="G63" s="3">
        <v>0</v>
      </c>
      <c r="H63" s="2">
        <v>0</v>
      </c>
    </row>
    <row r="64" spans="1:8" x14ac:dyDescent="0.2">
      <c r="A64" s="2" t="s">
        <v>120</v>
      </c>
      <c r="B64" s="2" t="s">
        <v>121</v>
      </c>
      <c r="C64" s="2" t="s">
        <v>122</v>
      </c>
      <c r="D64" s="3">
        <v>0.2</v>
      </c>
      <c r="E64" s="3">
        <v>0.2</v>
      </c>
      <c r="F64" s="3">
        <v>0</v>
      </c>
      <c r="G64" s="3">
        <v>0</v>
      </c>
      <c r="H64" s="2">
        <v>0</v>
      </c>
    </row>
    <row r="65" spans="1:8" x14ac:dyDescent="0.2">
      <c r="A65" s="2" t="s">
        <v>123</v>
      </c>
      <c r="B65" s="2" t="s">
        <v>124</v>
      </c>
      <c r="C65" s="2" t="s">
        <v>28</v>
      </c>
      <c r="D65" s="3">
        <v>41.26</v>
      </c>
      <c r="E65" s="3">
        <v>8.1300000000000008</v>
      </c>
      <c r="F65" s="3">
        <v>2.87</v>
      </c>
      <c r="G65" s="3">
        <v>30.27</v>
      </c>
      <c r="H65" s="2">
        <v>2</v>
      </c>
    </row>
    <row r="66" spans="1:8" x14ac:dyDescent="0.2">
      <c r="A66" s="2" t="s">
        <v>125</v>
      </c>
      <c r="B66" s="2" t="s">
        <v>126</v>
      </c>
      <c r="C66" s="2" t="s">
        <v>92</v>
      </c>
      <c r="D66" s="3">
        <v>3.05</v>
      </c>
      <c r="E66" s="3">
        <v>3.05</v>
      </c>
      <c r="F66" s="3">
        <v>0</v>
      </c>
      <c r="G66" s="3">
        <v>0</v>
      </c>
      <c r="H66" s="2">
        <v>0</v>
      </c>
    </row>
    <row r="67" spans="1:8" x14ac:dyDescent="0.2">
      <c r="A67" s="2" t="s">
        <v>127</v>
      </c>
      <c r="B67" s="2" t="s">
        <v>128</v>
      </c>
      <c r="C67" s="2" t="s">
        <v>92</v>
      </c>
      <c r="D67" s="3">
        <v>0.25</v>
      </c>
      <c r="E67" s="3">
        <v>0.25</v>
      </c>
      <c r="F67" s="3">
        <v>0</v>
      </c>
      <c r="G67" s="3">
        <v>0</v>
      </c>
      <c r="H67" s="2">
        <v>0</v>
      </c>
    </row>
    <row r="68" spans="1:8" x14ac:dyDescent="0.2">
      <c r="A68" s="2" t="s">
        <v>129</v>
      </c>
      <c r="B68" s="2" t="s">
        <v>130</v>
      </c>
      <c r="C68" s="2" t="s">
        <v>87</v>
      </c>
      <c r="D68" s="3">
        <v>5.77</v>
      </c>
      <c r="E68" s="3">
        <v>4.96</v>
      </c>
      <c r="F68" s="3">
        <v>0</v>
      </c>
      <c r="G68" s="3">
        <v>0.82</v>
      </c>
      <c r="H68" s="2">
        <v>0</v>
      </c>
    </row>
    <row r="69" spans="1:8" x14ac:dyDescent="0.2">
      <c r="A69" s="2" t="s">
        <v>131</v>
      </c>
      <c r="B69" s="2" t="s">
        <v>106</v>
      </c>
      <c r="C69" s="2" t="s">
        <v>49</v>
      </c>
      <c r="D69" s="3">
        <v>0.16</v>
      </c>
      <c r="E69" s="3">
        <v>0.16</v>
      </c>
      <c r="F69" s="3">
        <v>0</v>
      </c>
      <c r="G69" s="3">
        <v>0</v>
      </c>
      <c r="H69" s="2">
        <v>0</v>
      </c>
    </row>
    <row r="70" spans="1:8" x14ac:dyDescent="0.2">
      <c r="A70" s="2" t="s">
        <v>132</v>
      </c>
      <c r="B70" s="2" t="s">
        <v>133</v>
      </c>
      <c r="C70" s="2" t="s">
        <v>28</v>
      </c>
      <c r="D70" s="3">
        <v>6.94</v>
      </c>
      <c r="E70" s="3">
        <v>6.07</v>
      </c>
      <c r="F70" s="3">
        <v>0.87</v>
      </c>
      <c r="G70" s="3">
        <v>0</v>
      </c>
      <c r="H70" s="2">
        <v>1</v>
      </c>
    </row>
    <row r="71" spans="1:8" x14ac:dyDescent="0.2">
      <c r="A71" s="2" t="s">
        <v>134</v>
      </c>
      <c r="B71" s="2" t="s">
        <v>135</v>
      </c>
      <c r="C71" s="2" t="s">
        <v>25</v>
      </c>
      <c r="D71" s="3">
        <v>5.93</v>
      </c>
      <c r="E71" s="3">
        <v>5.93</v>
      </c>
      <c r="F71" s="3">
        <v>0</v>
      </c>
      <c r="G71" s="3">
        <v>0</v>
      </c>
      <c r="H71" s="2">
        <v>0</v>
      </c>
    </row>
    <row r="72" spans="1:8" x14ac:dyDescent="0.2">
      <c r="A72" s="2" t="s">
        <v>136</v>
      </c>
      <c r="B72" s="2" t="s">
        <v>137</v>
      </c>
      <c r="C72" s="2" t="s">
        <v>22</v>
      </c>
      <c r="D72" s="3">
        <v>23.92</v>
      </c>
      <c r="E72" s="3">
        <v>6.15</v>
      </c>
      <c r="F72" s="3">
        <v>17.77</v>
      </c>
      <c r="G72" s="3">
        <v>0</v>
      </c>
      <c r="H72" s="2">
        <v>6</v>
      </c>
    </row>
    <row r="73" spans="1:8" x14ac:dyDescent="0.2">
      <c r="A73" s="2" t="s">
        <v>138</v>
      </c>
      <c r="B73" s="2" t="s">
        <v>139</v>
      </c>
      <c r="C73" s="2" t="s">
        <v>74</v>
      </c>
      <c r="D73" s="3">
        <v>0.11</v>
      </c>
      <c r="E73" s="3">
        <v>0.11</v>
      </c>
      <c r="F73" s="3">
        <v>0</v>
      </c>
      <c r="G73" s="3">
        <v>0</v>
      </c>
      <c r="H73" s="2">
        <v>0</v>
      </c>
    </row>
    <row r="74" spans="1:8" x14ac:dyDescent="0.2">
      <c r="A74" s="2" t="s">
        <v>140</v>
      </c>
      <c r="B74" s="2" t="s">
        <v>141</v>
      </c>
      <c r="C74" s="2" t="s">
        <v>25</v>
      </c>
      <c r="D74" s="3">
        <v>24.97</v>
      </c>
      <c r="E74" s="3">
        <v>2.86</v>
      </c>
      <c r="F74" s="3">
        <v>22.1</v>
      </c>
      <c r="G74" s="3">
        <v>0.02</v>
      </c>
      <c r="H74" s="2">
        <v>7</v>
      </c>
    </row>
    <row r="75" spans="1:8" x14ac:dyDescent="0.2">
      <c r="A75" s="2" t="s">
        <v>142</v>
      </c>
      <c r="B75" s="2" t="s">
        <v>101</v>
      </c>
      <c r="C75" s="2" t="s">
        <v>25</v>
      </c>
      <c r="D75" s="3">
        <v>0.17</v>
      </c>
      <c r="E75" s="3">
        <v>0.17</v>
      </c>
      <c r="F75" s="3">
        <v>0</v>
      </c>
      <c r="G75" s="3">
        <v>0</v>
      </c>
      <c r="H75" s="2">
        <v>0</v>
      </c>
    </row>
    <row r="76" spans="1:8" x14ac:dyDescent="0.2">
      <c r="A76" s="2" t="s">
        <v>143</v>
      </c>
      <c r="B76" s="2" t="s">
        <v>124</v>
      </c>
      <c r="C76" s="2" t="s">
        <v>25</v>
      </c>
      <c r="D76" s="3">
        <v>6.01</v>
      </c>
      <c r="E76" s="3">
        <v>1.28</v>
      </c>
      <c r="F76" s="3">
        <v>3.77</v>
      </c>
      <c r="G76" s="3">
        <v>0.96</v>
      </c>
      <c r="H76" s="2">
        <v>2</v>
      </c>
    </row>
    <row r="77" spans="1:8" x14ac:dyDescent="0.2">
      <c r="A77" s="2" t="s">
        <v>144</v>
      </c>
      <c r="B77" s="2" t="s">
        <v>145</v>
      </c>
      <c r="C77" s="2" t="s">
        <v>25</v>
      </c>
      <c r="D77" s="3">
        <v>31.12</v>
      </c>
      <c r="E77" s="3">
        <v>8.6300000000000008</v>
      </c>
      <c r="F77" s="3">
        <v>19.399999999999999</v>
      </c>
      <c r="G77" s="3">
        <v>3.09</v>
      </c>
      <c r="H77" s="2">
        <v>8</v>
      </c>
    </row>
    <row r="78" spans="1:8" x14ac:dyDescent="0.2">
      <c r="A78" s="2" t="s">
        <v>146</v>
      </c>
      <c r="B78" s="2" t="s">
        <v>147</v>
      </c>
      <c r="C78" s="2" t="s">
        <v>25</v>
      </c>
      <c r="D78" s="3">
        <v>9.9600000000000009</v>
      </c>
      <c r="E78" s="3">
        <v>3.03</v>
      </c>
      <c r="F78" s="3">
        <v>6.93</v>
      </c>
      <c r="G78" s="3">
        <v>0</v>
      </c>
      <c r="H78" s="2">
        <v>3</v>
      </c>
    </row>
    <row r="79" spans="1:8" x14ac:dyDescent="0.2">
      <c r="A79" s="2" t="s">
        <v>148</v>
      </c>
      <c r="B79" s="2" t="s">
        <v>149</v>
      </c>
      <c r="C79" s="2" t="s">
        <v>28</v>
      </c>
      <c r="D79" s="3">
        <v>4.0599999999999996</v>
      </c>
      <c r="E79" s="3">
        <v>4.0599999999999996</v>
      </c>
      <c r="F79" s="3">
        <v>0</v>
      </c>
      <c r="G79" s="3">
        <v>0</v>
      </c>
      <c r="H79" s="2">
        <v>0</v>
      </c>
    </row>
    <row r="80" spans="1:8" x14ac:dyDescent="0.2">
      <c r="A80" s="2" t="s">
        <v>150</v>
      </c>
      <c r="B80" s="2" t="s">
        <v>151</v>
      </c>
      <c r="C80" s="2" t="s">
        <v>25</v>
      </c>
      <c r="D80" s="3">
        <v>11.05</v>
      </c>
      <c r="E80" s="3">
        <v>5.23</v>
      </c>
      <c r="F80" s="3">
        <v>5.82</v>
      </c>
      <c r="G80" s="3">
        <v>0</v>
      </c>
      <c r="H80" s="2">
        <v>3</v>
      </c>
    </row>
    <row r="81" spans="1:8" x14ac:dyDescent="0.2">
      <c r="A81" s="2" t="s">
        <v>152</v>
      </c>
      <c r="B81" s="2" t="s">
        <v>153</v>
      </c>
      <c r="C81" s="2" t="s">
        <v>154</v>
      </c>
      <c r="D81" s="3">
        <v>51.05</v>
      </c>
      <c r="E81" s="3">
        <v>3.36</v>
      </c>
      <c r="F81" s="3">
        <v>47.68</v>
      </c>
      <c r="G81" s="3">
        <v>0</v>
      </c>
      <c r="H81" s="2">
        <v>8</v>
      </c>
    </row>
    <row r="82" spans="1:8" x14ac:dyDescent="0.2">
      <c r="A82" s="2" t="s">
        <v>155</v>
      </c>
      <c r="B82" s="2" t="s">
        <v>156</v>
      </c>
      <c r="C82" s="2" t="s">
        <v>28</v>
      </c>
      <c r="D82" s="3">
        <v>7.14</v>
      </c>
      <c r="E82" s="3">
        <v>7.14</v>
      </c>
      <c r="F82" s="3">
        <v>0</v>
      </c>
      <c r="G82" s="3">
        <v>0</v>
      </c>
      <c r="H82" s="2">
        <v>0</v>
      </c>
    </row>
    <row r="83" spans="1:8" x14ac:dyDescent="0.2">
      <c r="A83" s="2" t="s">
        <v>157</v>
      </c>
      <c r="B83" s="2" t="s">
        <v>158</v>
      </c>
      <c r="C83" s="2" t="s">
        <v>25</v>
      </c>
      <c r="D83" s="3">
        <v>28.11</v>
      </c>
      <c r="E83" s="3">
        <v>8.51</v>
      </c>
      <c r="F83" s="3">
        <v>16.940000000000001</v>
      </c>
      <c r="G83" s="3">
        <v>2.65</v>
      </c>
      <c r="H83" s="2">
        <v>8</v>
      </c>
    </row>
    <row r="84" spans="1:8" x14ac:dyDescent="0.2">
      <c r="A84" s="2" t="s">
        <v>159</v>
      </c>
      <c r="B84" s="2" t="s">
        <v>160</v>
      </c>
      <c r="C84" s="2" t="s">
        <v>104</v>
      </c>
      <c r="D84" s="3">
        <v>6.18</v>
      </c>
      <c r="E84" s="3">
        <v>3.43</v>
      </c>
      <c r="F84" s="3">
        <v>0</v>
      </c>
      <c r="G84" s="3">
        <v>2.75</v>
      </c>
      <c r="H84" s="2">
        <v>0</v>
      </c>
    </row>
    <row r="85" spans="1:8" x14ac:dyDescent="0.2">
      <c r="A85" s="2" t="s">
        <v>161</v>
      </c>
      <c r="B85" s="2" t="s">
        <v>149</v>
      </c>
      <c r="C85" s="2" t="s">
        <v>25</v>
      </c>
      <c r="D85" s="3">
        <v>38.1</v>
      </c>
      <c r="E85" s="3">
        <v>2.94</v>
      </c>
      <c r="F85" s="3">
        <v>35.159999999999997</v>
      </c>
      <c r="G85" s="3">
        <v>0</v>
      </c>
      <c r="H85" s="2">
        <v>2</v>
      </c>
    </row>
    <row r="86" spans="1:8" x14ac:dyDescent="0.2">
      <c r="A86" s="2" t="s">
        <v>162</v>
      </c>
      <c r="B86" s="2" t="s">
        <v>163</v>
      </c>
      <c r="C86" s="2" t="s">
        <v>104</v>
      </c>
      <c r="D86" s="3">
        <v>53.17</v>
      </c>
      <c r="E86" s="3">
        <v>14</v>
      </c>
      <c r="F86" s="3">
        <v>15.23</v>
      </c>
      <c r="G86" s="3">
        <v>23.94</v>
      </c>
      <c r="H86" s="2">
        <v>6</v>
      </c>
    </row>
    <row r="87" spans="1:8" x14ac:dyDescent="0.2">
      <c r="A87" s="2" t="s">
        <v>164</v>
      </c>
      <c r="B87" s="2" t="s">
        <v>165</v>
      </c>
      <c r="C87" s="2" t="s">
        <v>66</v>
      </c>
      <c r="D87" s="3">
        <v>3.21</v>
      </c>
      <c r="E87" s="3">
        <v>3.21</v>
      </c>
      <c r="F87" s="3">
        <v>0</v>
      </c>
      <c r="G87" s="3">
        <v>0</v>
      </c>
      <c r="H87" s="2">
        <v>0</v>
      </c>
    </row>
    <row r="88" spans="1:8" x14ac:dyDescent="0.2">
      <c r="A88" s="2" t="s">
        <v>166</v>
      </c>
      <c r="B88" s="2" t="s">
        <v>165</v>
      </c>
      <c r="C88" s="2" t="s">
        <v>104</v>
      </c>
      <c r="D88" s="3">
        <v>0.01</v>
      </c>
      <c r="E88" s="3">
        <v>0.01</v>
      </c>
      <c r="F88" s="3">
        <v>0</v>
      </c>
      <c r="G88" s="3">
        <v>0</v>
      </c>
      <c r="H88" s="2">
        <v>0</v>
      </c>
    </row>
    <row r="89" spans="1:8" x14ac:dyDescent="0.2">
      <c r="A89" s="2" t="s">
        <v>167</v>
      </c>
      <c r="B89" s="2" t="s">
        <v>165</v>
      </c>
      <c r="C89" s="2" t="s">
        <v>25</v>
      </c>
      <c r="D89" s="3">
        <v>6.12</v>
      </c>
      <c r="E89" s="3">
        <v>6.12</v>
      </c>
      <c r="F89" s="3">
        <v>0</v>
      </c>
      <c r="G89" s="3">
        <v>0</v>
      </c>
      <c r="H89" s="2">
        <v>0</v>
      </c>
    </row>
    <row r="90" spans="1:8" x14ac:dyDescent="0.2">
      <c r="A90" s="2" t="s">
        <v>168</v>
      </c>
      <c r="B90" s="2" t="s">
        <v>169</v>
      </c>
      <c r="C90" s="2" t="s">
        <v>104</v>
      </c>
      <c r="D90" s="3">
        <v>9.92</v>
      </c>
      <c r="E90" s="3">
        <v>5.67</v>
      </c>
      <c r="F90" s="3">
        <v>0</v>
      </c>
      <c r="G90" s="3">
        <v>4.25</v>
      </c>
      <c r="H90" s="2">
        <v>0</v>
      </c>
    </row>
    <row r="91" spans="1:8" x14ac:dyDescent="0.2">
      <c r="A91" s="2" t="s">
        <v>170</v>
      </c>
      <c r="B91" s="2" t="s">
        <v>160</v>
      </c>
      <c r="C91" s="2" t="s">
        <v>104</v>
      </c>
      <c r="D91" s="3">
        <v>5.2</v>
      </c>
      <c r="E91" s="3">
        <v>3.25</v>
      </c>
      <c r="F91" s="3">
        <v>0</v>
      </c>
      <c r="G91" s="3">
        <v>1.95</v>
      </c>
      <c r="H91" s="2">
        <v>0</v>
      </c>
    </row>
    <row r="92" spans="1:8" x14ac:dyDescent="0.2">
      <c r="A92" s="2" t="s">
        <v>171</v>
      </c>
      <c r="B92" s="2" t="s">
        <v>165</v>
      </c>
      <c r="C92" s="2" t="s">
        <v>25</v>
      </c>
      <c r="D92" s="3">
        <v>3.79</v>
      </c>
      <c r="E92" s="3">
        <v>3.79</v>
      </c>
      <c r="F92" s="3">
        <v>0</v>
      </c>
      <c r="G92" s="3">
        <v>0</v>
      </c>
      <c r="H92" s="2">
        <v>0</v>
      </c>
    </row>
    <row r="93" spans="1:8" x14ac:dyDescent="0.2">
      <c r="A93" s="2" t="s">
        <v>172</v>
      </c>
      <c r="B93" s="2" t="s">
        <v>165</v>
      </c>
      <c r="C93" s="2" t="s">
        <v>25</v>
      </c>
      <c r="D93" s="3">
        <v>3.93</v>
      </c>
      <c r="E93" s="3">
        <v>3.93</v>
      </c>
      <c r="F93" s="3">
        <v>0</v>
      </c>
      <c r="G93" s="3">
        <v>0</v>
      </c>
      <c r="H93" s="2">
        <v>0</v>
      </c>
    </row>
    <row r="94" spans="1:8" x14ac:dyDescent="0.2">
      <c r="A94" s="2" t="s">
        <v>173</v>
      </c>
      <c r="B94" s="2" t="s">
        <v>174</v>
      </c>
      <c r="C94" s="2" t="s">
        <v>25</v>
      </c>
      <c r="D94" s="3">
        <v>33.93</v>
      </c>
      <c r="E94" s="3">
        <v>7.5</v>
      </c>
      <c r="F94" s="3">
        <v>26.42</v>
      </c>
      <c r="G94" s="3">
        <v>0</v>
      </c>
      <c r="H94" s="2">
        <v>6</v>
      </c>
    </row>
    <row r="95" spans="1:8" x14ac:dyDescent="0.2">
      <c r="A95" s="2" t="s">
        <v>175</v>
      </c>
      <c r="B95" s="2" t="s">
        <v>149</v>
      </c>
      <c r="C95" s="2" t="s">
        <v>25</v>
      </c>
      <c r="D95" s="3">
        <v>17</v>
      </c>
      <c r="E95" s="3">
        <v>5.98</v>
      </c>
      <c r="F95" s="3">
        <v>11.03</v>
      </c>
      <c r="G95" s="3">
        <v>0</v>
      </c>
      <c r="H95" s="2">
        <v>2</v>
      </c>
    </row>
    <row r="96" spans="1:8" x14ac:dyDescent="0.2">
      <c r="A96" s="2" t="s">
        <v>176</v>
      </c>
      <c r="B96" s="2" t="s">
        <v>68</v>
      </c>
      <c r="C96" s="2" t="s">
        <v>57</v>
      </c>
      <c r="D96" s="3">
        <v>0</v>
      </c>
      <c r="E96" s="3">
        <v>0</v>
      </c>
      <c r="F96" s="3">
        <v>0</v>
      </c>
      <c r="G96" s="3">
        <v>0</v>
      </c>
      <c r="H96" s="2">
        <v>0</v>
      </c>
    </row>
    <row r="97" spans="1:8" x14ac:dyDescent="0.2">
      <c r="A97" s="2" t="s">
        <v>177</v>
      </c>
      <c r="B97" s="2" t="s">
        <v>68</v>
      </c>
      <c r="C97" s="2" t="s">
        <v>57</v>
      </c>
      <c r="D97" s="3">
        <v>0</v>
      </c>
      <c r="E97" s="3">
        <v>0</v>
      </c>
      <c r="F97" s="3">
        <v>0</v>
      </c>
      <c r="G97" s="3">
        <v>0</v>
      </c>
      <c r="H97" s="2">
        <v>0</v>
      </c>
    </row>
    <row r="98" spans="1:8" x14ac:dyDescent="0.2">
      <c r="A98" s="2" t="s">
        <v>178</v>
      </c>
      <c r="B98" s="2" t="s">
        <v>179</v>
      </c>
      <c r="C98" s="2" t="s">
        <v>25</v>
      </c>
      <c r="D98" s="3">
        <v>7.86</v>
      </c>
      <c r="E98" s="3">
        <v>5.8</v>
      </c>
      <c r="F98" s="3">
        <v>1.95</v>
      </c>
      <c r="G98" s="3">
        <v>0.12</v>
      </c>
      <c r="H98" s="2">
        <v>2</v>
      </c>
    </row>
    <row r="99" spans="1:8" x14ac:dyDescent="0.2">
      <c r="A99" s="2" t="s">
        <v>180</v>
      </c>
      <c r="B99" s="2" t="s">
        <v>181</v>
      </c>
      <c r="C99" s="2" t="s">
        <v>25</v>
      </c>
      <c r="D99" s="3">
        <v>13.15</v>
      </c>
      <c r="E99" s="3">
        <v>0.08</v>
      </c>
      <c r="F99" s="3">
        <v>13.07</v>
      </c>
      <c r="G99" s="3">
        <v>0</v>
      </c>
      <c r="H99" s="2">
        <v>2</v>
      </c>
    </row>
    <row r="100" spans="1:8" x14ac:dyDescent="0.2">
      <c r="A100" s="2" t="s">
        <v>182</v>
      </c>
      <c r="B100" s="2" t="s">
        <v>183</v>
      </c>
      <c r="C100" s="2" t="s">
        <v>57</v>
      </c>
      <c r="D100" s="3">
        <v>0.02</v>
      </c>
      <c r="E100" s="3">
        <v>0.02</v>
      </c>
      <c r="F100" s="3">
        <v>0</v>
      </c>
      <c r="G100" s="3">
        <v>0</v>
      </c>
      <c r="H100" s="2">
        <v>0</v>
      </c>
    </row>
    <row r="101" spans="1:8" x14ac:dyDescent="0.2">
      <c r="A101" s="2" t="s">
        <v>184</v>
      </c>
      <c r="B101" s="2" t="s">
        <v>119</v>
      </c>
      <c r="C101" s="2" t="s">
        <v>25</v>
      </c>
      <c r="D101" s="3">
        <v>46.88</v>
      </c>
      <c r="E101" s="3">
        <v>4.17</v>
      </c>
      <c r="F101" s="3">
        <v>0</v>
      </c>
      <c r="G101" s="3">
        <v>42.7</v>
      </c>
      <c r="H101" s="2">
        <v>0</v>
      </c>
    </row>
    <row r="102" spans="1:8" x14ac:dyDescent="0.2">
      <c r="A102" s="2" t="s">
        <v>185</v>
      </c>
      <c r="B102" s="2" t="s">
        <v>186</v>
      </c>
      <c r="C102" s="2" t="s">
        <v>92</v>
      </c>
      <c r="D102" s="3">
        <v>0.17</v>
      </c>
      <c r="E102" s="3">
        <v>0.17</v>
      </c>
      <c r="F102" s="3">
        <v>0</v>
      </c>
      <c r="G102" s="3">
        <v>0</v>
      </c>
      <c r="H102" s="2">
        <v>0</v>
      </c>
    </row>
    <row r="103" spans="1:8" x14ac:dyDescent="0.2">
      <c r="A103" s="2" t="s">
        <v>187</v>
      </c>
      <c r="B103" s="2" t="s">
        <v>188</v>
      </c>
      <c r="C103" s="2" t="s">
        <v>25</v>
      </c>
      <c r="D103" s="3">
        <v>17.09</v>
      </c>
      <c r="E103" s="3">
        <v>0.08</v>
      </c>
      <c r="F103" s="3">
        <v>17</v>
      </c>
      <c r="G103" s="3">
        <v>0</v>
      </c>
      <c r="H103" s="2">
        <v>3</v>
      </c>
    </row>
    <row r="104" spans="1:8" x14ac:dyDescent="0.2">
      <c r="A104" s="2" t="s">
        <v>189</v>
      </c>
      <c r="B104" s="2" t="s">
        <v>163</v>
      </c>
      <c r="C104" s="2" t="s">
        <v>25</v>
      </c>
      <c r="D104" s="3">
        <v>24.95</v>
      </c>
      <c r="E104" s="3">
        <v>8.18</v>
      </c>
      <c r="F104" s="3">
        <v>12.79</v>
      </c>
      <c r="G104" s="3">
        <v>3.98</v>
      </c>
      <c r="H104" s="2">
        <v>2</v>
      </c>
    </row>
    <row r="105" spans="1:8" x14ac:dyDescent="0.2">
      <c r="A105" s="2" t="s">
        <v>190</v>
      </c>
      <c r="B105" s="2" t="s">
        <v>191</v>
      </c>
      <c r="C105" s="2" t="s">
        <v>92</v>
      </c>
      <c r="D105" s="3">
        <v>2.85</v>
      </c>
      <c r="E105" s="3">
        <v>2.85</v>
      </c>
      <c r="F105" s="3">
        <v>0</v>
      </c>
      <c r="G105" s="3">
        <v>0</v>
      </c>
      <c r="H105" s="2">
        <v>0</v>
      </c>
    </row>
    <row r="106" spans="1:8" x14ac:dyDescent="0.2">
      <c r="A106" s="2" t="s">
        <v>192</v>
      </c>
      <c r="B106" s="2" t="s">
        <v>193</v>
      </c>
      <c r="C106" s="2" t="s">
        <v>66</v>
      </c>
      <c r="D106" s="3">
        <v>3.09</v>
      </c>
      <c r="E106" s="3">
        <v>3.09</v>
      </c>
      <c r="F106" s="3">
        <v>0</v>
      </c>
      <c r="G106" s="3">
        <v>0</v>
      </c>
      <c r="H106" s="2">
        <v>0</v>
      </c>
    </row>
    <row r="107" spans="1:8" x14ac:dyDescent="0.2">
      <c r="A107" s="2" t="s">
        <v>194</v>
      </c>
      <c r="B107" s="2" t="s">
        <v>195</v>
      </c>
      <c r="C107" s="2" t="s">
        <v>49</v>
      </c>
      <c r="D107" s="3">
        <v>55.13</v>
      </c>
      <c r="E107" s="3">
        <v>5.04</v>
      </c>
      <c r="F107" s="3">
        <v>0</v>
      </c>
      <c r="G107" s="3">
        <v>50.1</v>
      </c>
      <c r="H107" s="2">
        <v>0</v>
      </c>
    </row>
    <row r="108" spans="1:8" x14ac:dyDescent="0.2">
      <c r="A108" s="2" t="s">
        <v>196</v>
      </c>
      <c r="B108" s="2" t="s">
        <v>197</v>
      </c>
      <c r="C108" s="2" t="s">
        <v>92</v>
      </c>
      <c r="D108" s="3">
        <v>0.06</v>
      </c>
      <c r="E108" s="3">
        <v>0.06</v>
      </c>
      <c r="F108" s="3">
        <v>0</v>
      </c>
      <c r="G108" s="3">
        <v>0</v>
      </c>
      <c r="H108" s="2">
        <v>0</v>
      </c>
    </row>
    <row r="109" spans="1:8" x14ac:dyDescent="0.2">
      <c r="A109" s="2" t="s">
        <v>198</v>
      </c>
      <c r="B109" s="2" t="s">
        <v>199</v>
      </c>
      <c r="C109" s="2" t="s">
        <v>92</v>
      </c>
      <c r="D109" s="3">
        <v>5.85</v>
      </c>
      <c r="E109" s="3">
        <v>5.85</v>
      </c>
      <c r="F109" s="3">
        <v>0</v>
      </c>
      <c r="G109" s="3">
        <v>0</v>
      </c>
      <c r="H109" s="2">
        <v>0</v>
      </c>
    </row>
    <row r="110" spans="1:8" x14ac:dyDescent="0.2">
      <c r="A110" s="2" t="s">
        <v>200</v>
      </c>
      <c r="B110" s="2" t="s">
        <v>201</v>
      </c>
      <c r="C110" s="2" t="s">
        <v>49</v>
      </c>
      <c r="D110" s="3">
        <v>3.01</v>
      </c>
      <c r="E110" s="3">
        <v>3.01</v>
      </c>
      <c r="F110" s="3">
        <v>0</v>
      </c>
      <c r="G110" s="3">
        <v>0</v>
      </c>
      <c r="H110" s="2">
        <v>0</v>
      </c>
    </row>
    <row r="111" spans="1:8" x14ac:dyDescent="0.2">
      <c r="A111" s="2" t="s">
        <v>202</v>
      </c>
      <c r="B111" s="2" t="s">
        <v>163</v>
      </c>
      <c r="C111" s="2" t="s">
        <v>104</v>
      </c>
      <c r="D111" s="3">
        <v>6.93</v>
      </c>
      <c r="E111" s="3">
        <v>6.93</v>
      </c>
      <c r="F111" s="3">
        <v>0</v>
      </c>
      <c r="G111" s="3">
        <v>0</v>
      </c>
      <c r="H111" s="2">
        <v>0</v>
      </c>
    </row>
    <row r="112" spans="1:8" x14ac:dyDescent="0.2">
      <c r="A112" s="2" t="s">
        <v>203</v>
      </c>
      <c r="B112" s="2" t="s">
        <v>204</v>
      </c>
      <c r="C112" s="2" t="s">
        <v>92</v>
      </c>
      <c r="D112" s="3">
        <v>17.87</v>
      </c>
      <c r="E112" s="3">
        <v>1.32</v>
      </c>
      <c r="F112" s="3">
        <v>4.79</v>
      </c>
      <c r="G112" s="3">
        <v>11.75</v>
      </c>
      <c r="H112" s="2">
        <v>2</v>
      </c>
    </row>
    <row r="113" spans="1:8" x14ac:dyDescent="0.2">
      <c r="A113" s="2" t="s">
        <v>205</v>
      </c>
      <c r="B113" s="2" t="s">
        <v>206</v>
      </c>
      <c r="C113" s="2" t="s">
        <v>25</v>
      </c>
      <c r="D113" s="3">
        <v>5.03</v>
      </c>
      <c r="E113" s="3">
        <v>0.02</v>
      </c>
      <c r="F113" s="3">
        <v>5.01</v>
      </c>
      <c r="G113" s="3">
        <v>0</v>
      </c>
      <c r="H113" s="2">
        <v>2</v>
      </c>
    </row>
    <row r="114" spans="1:8" x14ac:dyDescent="0.2">
      <c r="A114" s="2" t="s">
        <v>207</v>
      </c>
      <c r="B114" s="2" t="s">
        <v>208</v>
      </c>
      <c r="C114" s="2" t="s">
        <v>74</v>
      </c>
      <c r="D114" s="3">
        <v>0.01</v>
      </c>
      <c r="E114" s="3">
        <v>0.01</v>
      </c>
      <c r="F114" s="3">
        <v>0</v>
      </c>
      <c r="G114" s="3">
        <v>0</v>
      </c>
      <c r="H114" s="2">
        <v>0</v>
      </c>
    </row>
    <row r="115" spans="1:8" x14ac:dyDescent="0.2">
      <c r="A115" s="2" t="s">
        <v>209</v>
      </c>
      <c r="B115" s="2" t="s">
        <v>94</v>
      </c>
      <c r="C115" s="2" t="s">
        <v>25</v>
      </c>
      <c r="D115" s="3">
        <v>18.98</v>
      </c>
      <c r="E115" s="3">
        <v>6.17</v>
      </c>
      <c r="F115" s="3">
        <v>10.89</v>
      </c>
      <c r="G115" s="3">
        <v>1.92</v>
      </c>
      <c r="H115" s="2">
        <v>3</v>
      </c>
    </row>
    <row r="116" spans="1:8" x14ac:dyDescent="0.2">
      <c r="A116" s="2" t="s">
        <v>210</v>
      </c>
      <c r="B116" s="2" t="s">
        <v>211</v>
      </c>
      <c r="C116" s="2" t="s">
        <v>22</v>
      </c>
      <c r="D116" s="3">
        <v>9.94</v>
      </c>
      <c r="E116" s="3">
        <v>4.9000000000000004</v>
      </c>
      <c r="F116" s="3">
        <v>5.04</v>
      </c>
      <c r="G116" s="3">
        <v>0</v>
      </c>
      <c r="H116" s="2">
        <v>2</v>
      </c>
    </row>
    <row r="117" spans="1:8" x14ac:dyDescent="0.2">
      <c r="A117" s="2" t="s">
        <v>212</v>
      </c>
      <c r="B117" s="2" t="s">
        <v>213</v>
      </c>
      <c r="C117" s="2" t="s">
        <v>74</v>
      </c>
      <c r="D117" s="3">
        <v>0</v>
      </c>
      <c r="E117" s="3">
        <v>0</v>
      </c>
      <c r="F117" s="3">
        <v>0</v>
      </c>
      <c r="G117" s="3">
        <v>0</v>
      </c>
      <c r="H117" s="2">
        <v>0</v>
      </c>
    </row>
    <row r="118" spans="1:8" x14ac:dyDescent="0.2">
      <c r="A118" s="2" t="s">
        <v>214</v>
      </c>
      <c r="B118" s="2" t="s">
        <v>215</v>
      </c>
      <c r="C118" s="2" t="s">
        <v>104</v>
      </c>
      <c r="D118" s="3">
        <v>11.01</v>
      </c>
      <c r="E118" s="3">
        <v>4.09</v>
      </c>
      <c r="F118" s="3">
        <v>6.92</v>
      </c>
      <c r="G118" s="3">
        <v>0</v>
      </c>
      <c r="H118" s="2">
        <v>1</v>
      </c>
    </row>
    <row r="119" spans="1:8" x14ac:dyDescent="0.2">
      <c r="A119" s="2" t="s">
        <v>216</v>
      </c>
      <c r="B119" s="2" t="s">
        <v>217</v>
      </c>
      <c r="C119" s="2" t="s">
        <v>22</v>
      </c>
      <c r="D119" s="3">
        <v>7.04</v>
      </c>
      <c r="E119" s="3">
        <v>6.6</v>
      </c>
      <c r="F119" s="3">
        <v>0.44</v>
      </c>
      <c r="G119" s="3">
        <v>0</v>
      </c>
      <c r="H119" s="2">
        <v>1</v>
      </c>
    </row>
    <row r="120" spans="1:8" x14ac:dyDescent="0.2">
      <c r="A120" s="2" t="s">
        <v>218</v>
      </c>
      <c r="B120" s="2" t="s">
        <v>27</v>
      </c>
      <c r="C120" s="2" t="s">
        <v>25</v>
      </c>
      <c r="D120" s="3">
        <v>20.74</v>
      </c>
      <c r="E120" s="3">
        <v>4.51</v>
      </c>
      <c r="F120" s="3">
        <v>8.2799999999999994</v>
      </c>
      <c r="G120" s="3">
        <v>7.96</v>
      </c>
      <c r="H120" s="2">
        <v>3</v>
      </c>
    </row>
    <row r="121" spans="1:8" x14ac:dyDescent="0.2">
      <c r="A121" s="2" t="s">
        <v>219</v>
      </c>
      <c r="B121" s="2" t="s">
        <v>149</v>
      </c>
      <c r="C121" s="2" t="s">
        <v>25</v>
      </c>
      <c r="D121" s="3">
        <v>2.77</v>
      </c>
      <c r="E121" s="3">
        <v>2.77</v>
      </c>
      <c r="F121" s="3">
        <v>0</v>
      </c>
      <c r="G121" s="3">
        <v>0</v>
      </c>
      <c r="H121" s="2">
        <v>0</v>
      </c>
    </row>
    <row r="122" spans="1:8" x14ac:dyDescent="0.2">
      <c r="A122" s="2" t="s">
        <v>220</v>
      </c>
      <c r="B122" s="2" t="s">
        <v>160</v>
      </c>
      <c r="C122" s="2" t="s">
        <v>25</v>
      </c>
      <c r="D122" s="3">
        <v>7.05</v>
      </c>
      <c r="E122" s="3">
        <v>5.03</v>
      </c>
      <c r="F122" s="3">
        <v>2.02</v>
      </c>
      <c r="G122" s="3">
        <v>0</v>
      </c>
      <c r="H122" s="2">
        <v>3</v>
      </c>
    </row>
    <row r="123" spans="1:8" x14ac:dyDescent="0.2">
      <c r="A123" s="2" t="s">
        <v>221</v>
      </c>
      <c r="B123" s="2" t="s">
        <v>145</v>
      </c>
      <c r="C123" s="2" t="s">
        <v>25</v>
      </c>
      <c r="D123" s="3">
        <v>9.98</v>
      </c>
      <c r="E123" s="3">
        <v>5</v>
      </c>
      <c r="F123" s="3">
        <v>2.1</v>
      </c>
      <c r="G123" s="3">
        <v>2.88</v>
      </c>
      <c r="H123" s="2">
        <v>2</v>
      </c>
    </row>
    <row r="124" spans="1:8" x14ac:dyDescent="0.2">
      <c r="A124" s="2" t="s">
        <v>222</v>
      </c>
      <c r="B124" s="2" t="s">
        <v>208</v>
      </c>
      <c r="C124" s="2" t="s">
        <v>74</v>
      </c>
      <c r="D124" s="3">
        <v>18.72</v>
      </c>
      <c r="E124" s="3">
        <v>5.77</v>
      </c>
      <c r="F124" s="3">
        <v>0</v>
      </c>
      <c r="G124" s="3">
        <v>12.94</v>
      </c>
      <c r="H124" s="2">
        <v>0</v>
      </c>
    </row>
    <row r="125" spans="1:8" x14ac:dyDescent="0.2">
      <c r="A125" s="2" t="s">
        <v>223</v>
      </c>
      <c r="B125" s="2" t="s">
        <v>224</v>
      </c>
      <c r="C125" s="2" t="s">
        <v>25</v>
      </c>
      <c r="D125" s="3">
        <v>11.85</v>
      </c>
      <c r="E125" s="3">
        <v>4.6100000000000003</v>
      </c>
      <c r="F125" s="3">
        <v>7.23</v>
      </c>
      <c r="G125" s="3">
        <v>0</v>
      </c>
      <c r="H125" s="2">
        <v>2</v>
      </c>
    </row>
    <row r="126" spans="1:8" x14ac:dyDescent="0.2">
      <c r="A126" s="2" t="s">
        <v>225</v>
      </c>
      <c r="B126" s="2" t="s">
        <v>163</v>
      </c>
      <c r="C126" s="2" t="s">
        <v>25</v>
      </c>
      <c r="D126" s="3">
        <v>2.81</v>
      </c>
      <c r="E126" s="3">
        <v>2.81</v>
      </c>
      <c r="F126" s="3">
        <v>0</v>
      </c>
      <c r="G126" s="3">
        <v>0</v>
      </c>
      <c r="H126" s="2">
        <v>0</v>
      </c>
    </row>
    <row r="127" spans="1:8" x14ac:dyDescent="0.2">
      <c r="A127" s="2" t="s">
        <v>226</v>
      </c>
      <c r="B127" s="2" t="s">
        <v>227</v>
      </c>
      <c r="C127" s="2" t="s">
        <v>25</v>
      </c>
      <c r="D127" s="3">
        <v>6.67</v>
      </c>
      <c r="E127" s="3">
        <v>3.55</v>
      </c>
      <c r="F127" s="3">
        <v>3.12</v>
      </c>
      <c r="G127" s="3">
        <v>0</v>
      </c>
      <c r="H127" s="2">
        <v>2</v>
      </c>
    </row>
    <row r="128" spans="1:8" x14ac:dyDescent="0.2">
      <c r="A128" s="2" t="s">
        <v>228</v>
      </c>
      <c r="B128" s="2" t="s">
        <v>106</v>
      </c>
      <c r="C128" s="2" t="s">
        <v>22</v>
      </c>
      <c r="D128" s="3">
        <v>20.98</v>
      </c>
      <c r="E128" s="3">
        <v>5.04</v>
      </c>
      <c r="F128" s="3">
        <v>7.82</v>
      </c>
      <c r="G128" s="3">
        <v>8.1199999999999992</v>
      </c>
      <c r="H128" s="2">
        <v>3</v>
      </c>
    </row>
    <row r="129" spans="1:8" x14ac:dyDescent="0.2">
      <c r="A129" s="2" t="s">
        <v>229</v>
      </c>
      <c r="B129" s="2" t="s">
        <v>230</v>
      </c>
      <c r="C129" s="2" t="s">
        <v>28</v>
      </c>
      <c r="D129" s="3">
        <v>2.75</v>
      </c>
      <c r="E129" s="3">
        <v>2.75</v>
      </c>
      <c r="F129" s="3">
        <v>0</v>
      </c>
      <c r="G129" s="3">
        <v>0</v>
      </c>
      <c r="H129" s="2">
        <v>0</v>
      </c>
    </row>
    <row r="130" spans="1:8" x14ac:dyDescent="0.2">
      <c r="A130" s="2" t="s">
        <v>231</v>
      </c>
      <c r="B130" s="2" t="s">
        <v>232</v>
      </c>
      <c r="C130" s="2" t="s">
        <v>104</v>
      </c>
      <c r="D130" s="3">
        <v>0</v>
      </c>
      <c r="E130" s="3">
        <v>0</v>
      </c>
      <c r="F130" s="3">
        <v>0</v>
      </c>
      <c r="G130" s="3">
        <v>0</v>
      </c>
      <c r="H130" s="2">
        <v>0</v>
      </c>
    </row>
    <row r="131" spans="1:8" x14ac:dyDescent="0.2">
      <c r="A131" s="2" t="s">
        <v>233</v>
      </c>
      <c r="B131" s="2" t="s">
        <v>84</v>
      </c>
      <c r="C131" s="2" t="s">
        <v>28</v>
      </c>
      <c r="D131" s="3">
        <v>2.82</v>
      </c>
      <c r="E131" s="3">
        <v>2.82</v>
      </c>
      <c r="F131" s="3">
        <v>0</v>
      </c>
      <c r="G131" s="3">
        <v>0</v>
      </c>
      <c r="H131" s="2">
        <v>0</v>
      </c>
    </row>
    <row r="132" spans="1:8" x14ac:dyDescent="0.2">
      <c r="A132" s="2" t="s">
        <v>234</v>
      </c>
      <c r="B132" s="2" t="s">
        <v>235</v>
      </c>
      <c r="C132" s="2" t="s">
        <v>236</v>
      </c>
      <c r="D132" s="3">
        <v>2.92</v>
      </c>
      <c r="E132" s="3">
        <v>2.92</v>
      </c>
      <c r="F132" s="3">
        <v>0</v>
      </c>
      <c r="G132" s="3">
        <v>0</v>
      </c>
      <c r="H132" s="2">
        <v>0</v>
      </c>
    </row>
    <row r="133" spans="1:8" x14ac:dyDescent="0.2">
      <c r="A133" s="2" t="s">
        <v>237</v>
      </c>
      <c r="B133" s="2" t="s">
        <v>238</v>
      </c>
      <c r="C133" s="2" t="s">
        <v>104</v>
      </c>
      <c r="D133" s="3">
        <v>59.8</v>
      </c>
      <c r="E133" s="3">
        <v>12.26</v>
      </c>
      <c r="F133" s="3">
        <v>17.59</v>
      </c>
      <c r="G133" s="3">
        <v>29.96</v>
      </c>
      <c r="H133" s="2">
        <v>8</v>
      </c>
    </row>
    <row r="134" spans="1:8" x14ac:dyDescent="0.2">
      <c r="A134" s="2" t="s">
        <v>239</v>
      </c>
      <c r="B134" s="2" t="s">
        <v>163</v>
      </c>
      <c r="C134" s="2" t="s">
        <v>28</v>
      </c>
      <c r="D134" s="3">
        <v>6.79</v>
      </c>
      <c r="E134" s="3">
        <v>6.69</v>
      </c>
      <c r="F134" s="3">
        <v>0.1</v>
      </c>
      <c r="G134" s="3">
        <v>0</v>
      </c>
      <c r="H134" s="2">
        <v>2</v>
      </c>
    </row>
    <row r="135" spans="1:8" x14ac:dyDescent="0.2">
      <c r="A135" s="2" t="s">
        <v>240</v>
      </c>
      <c r="B135" s="2" t="s">
        <v>230</v>
      </c>
      <c r="C135" s="2" t="s">
        <v>25</v>
      </c>
      <c r="D135" s="3">
        <v>3.64</v>
      </c>
      <c r="E135" s="3">
        <v>3.64</v>
      </c>
      <c r="F135" s="3">
        <v>0</v>
      </c>
      <c r="G135" s="3">
        <v>0</v>
      </c>
      <c r="H135" s="2">
        <v>0</v>
      </c>
    </row>
    <row r="136" spans="1:8" x14ac:dyDescent="0.2">
      <c r="A136" s="2" t="s">
        <v>241</v>
      </c>
      <c r="B136" s="2" t="s">
        <v>230</v>
      </c>
      <c r="C136" s="2" t="s">
        <v>25</v>
      </c>
      <c r="D136" s="3">
        <v>3.63</v>
      </c>
      <c r="E136" s="3">
        <v>3.63</v>
      </c>
      <c r="F136" s="3">
        <v>0</v>
      </c>
      <c r="G136" s="3">
        <v>0</v>
      </c>
      <c r="H136" s="2">
        <v>0</v>
      </c>
    </row>
    <row r="137" spans="1:8" x14ac:dyDescent="0.2">
      <c r="A137" s="2" t="s">
        <v>242</v>
      </c>
      <c r="B137" s="2" t="s">
        <v>243</v>
      </c>
      <c r="C137" s="2" t="s">
        <v>74</v>
      </c>
      <c r="D137" s="3">
        <v>12.76</v>
      </c>
      <c r="E137" s="3">
        <v>7.99</v>
      </c>
      <c r="F137" s="3">
        <v>0</v>
      </c>
      <c r="G137" s="3">
        <v>4.76</v>
      </c>
      <c r="H137" s="2">
        <v>0</v>
      </c>
    </row>
    <row r="138" spans="1:8" x14ac:dyDescent="0.2">
      <c r="A138" s="2" t="s">
        <v>244</v>
      </c>
      <c r="B138" s="2" t="s">
        <v>245</v>
      </c>
      <c r="C138" s="2" t="s">
        <v>25</v>
      </c>
      <c r="D138" s="3">
        <v>5.85</v>
      </c>
      <c r="E138" s="3">
        <v>5.85</v>
      </c>
      <c r="F138" s="3">
        <v>0</v>
      </c>
      <c r="G138" s="3">
        <v>0</v>
      </c>
      <c r="H138" s="2">
        <v>0</v>
      </c>
    </row>
    <row r="139" spans="1:8" x14ac:dyDescent="0.2">
      <c r="A139" s="2" t="s">
        <v>246</v>
      </c>
      <c r="B139" s="2" t="s">
        <v>230</v>
      </c>
      <c r="C139" s="2" t="s">
        <v>25</v>
      </c>
      <c r="D139" s="3">
        <v>2.93</v>
      </c>
      <c r="E139" s="3">
        <v>2.93</v>
      </c>
      <c r="F139" s="3">
        <v>0</v>
      </c>
      <c r="G139" s="3">
        <v>0</v>
      </c>
      <c r="H139" s="2">
        <v>0</v>
      </c>
    </row>
    <row r="140" spans="1:8" x14ac:dyDescent="0.2">
      <c r="A140" s="2" t="s">
        <v>247</v>
      </c>
      <c r="B140" s="2" t="s">
        <v>224</v>
      </c>
      <c r="C140" s="2" t="s">
        <v>25</v>
      </c>
      <c r="D140" s="3">
        <v>4.8</v>
      </c>
      <c r="E140" s="3">
        <v>2.81</v>
      </c>
      <c r="F140" s="3">
        <v>1.99</v>
      </c>
      <c r="G140" s="3">
        <v>0</v>
      </c>
      <c r="H140" s="2">
        <v>1</v>
      </c>
    </row>
    <row r="141" spans="1:8" x14ac:dyDescent="0.2">
      <c r="A141" s="2" t="s">
        <v>248</v>
      </c>
      <c r="B141" s="2" t="s">
        <v>249</v>
      </c>
      <c r="C141" s="2" t="s">
        <v>25</v>
      </c>
      <c r="D141" s="3">
        <v>16.97</v>
      </c>
      <c r="E141" s="3">
        <v>5.65</v>
      </c>
      <c r="F141" s="3">
        <v>11.33</v>
      </c>
      <c r="G141" s="3">
        <v>0</v>
      </c>
      <c r="H141" s="2">
        <v>2</v>
      </c>
    </row>
    <row r="142" spans="1:8" x14ac:dyDescent="0.2">
      <c r="A142" s="2" t="s">
        <v>250</v>
      </c>
      <c r="B142" s="2" t="s">
        <v>251</v>
      </c>
      <c r="C142" s="2" t="s">
        <v>22</v>
      </c>
      <c r="D142" s="3">
        <v>13.83</v>
      </c>
      <c r="E142" s="3">
        <v>2.92</v>
      </c>
      <c r="F142" s="3">
        <v>10.91</v>
      </c>
      <c r="G142" s="3">
        <v>0</v>
      </c>
      <c r="H142" s="2">
        <v>3</v>
      </c>
    </row>
    <row r="143" spans="1:8" x14ac:dyDescent="0.2">
      <c r="A143" s="2" t="s">
        <v>252</v>
      </c>
      <c r="B143" s="2" t="s">
        <v>84</v>
      </c>
      <c r="C143" s="2" t="s">
        <v>25</v>
      </c>
      <c r="D143" s="3">
        <v>9.94</v>
      </c>
      <c r="E143" s="3">
        <v>5.67</v>
      </c>
      <c r="F143" s="3">
        <v>0</v>
      </c>
      <c r="G143" s="3">
        <v>4.2699999999999996</v>
      </c>
      <c r="H143" s="2">
        <v>0</v>
      </c>
    </row>
    <row r="144" spans="1:8" x14ac:dyDescent="0.2">
      <c r="A144" s="2" t="s">
        <v>253</v>
      </c>
      <c r="B144" s="2" t="s">
        <v>149</v>
      </c>
      <c r="C144" s="2" t="s">
        <v>154</v>
      </c>
      <c r="D144" s="3">
        <v>2.84</v>
      </c>
      <c r="E144" s="3">
        <v>2.84</v>
      </c>
      <c r="F144" s="3">
        <v>0</v>
      </c>
      <c r="G144" s="3">
        <v>0</v>
      </c>
      <c r="H144" s="2">
        <v>0</v>
      </c>
    </row>
    <row r="145" spans="1:8" x14ac:dyDescent="0.2">
      <c r="A145" s="2" t="s">
        <v>254</v>
      </c>
      <c r="B145" s="2" t="s">
        <v>255</v>
      </c>
      <c r="C145" s="2" t="s">
        <v>22</v>
      </c>
      <c r="D145" s="3">
        <v>19.88</v>
      </c>
      <c r="E145" s="3">
        <v>6.93</v>
      </c>
      <c r="F145" s="3">
        <v>12.96</v>
      </c>
      <c r="G145" s="3">
        <v>0</v>
      </c>
      <c r="H145" s="2">
        <v>3</v>
      </c>
    </row>
    <row r="146" spans="1:8" x14ac:dyDescent="0.2">
      <c r="A146" s="2" t="s">
        <v>256</v>
      </c>
      <c r="B146" s="2" t="s">
        <v>257</v>
      </c>
      <c r="C146" s="2" t="s">
        <v>49</v>
      </c>
      <c r="D146" s="3">
        <v>15.93</v>
      </c>
      <c r="E146" s="3">
        <v>8.98</v>
      </c>
      <c r="F146" s="3">
        <v>6.94</v>
      </c>
      <c r="G146" s="3">
        <v>0</v>
      </c>
      <c r="H146" s="2">
        <v>4</v>
      </c>
    </row>
    <row r="147" spans="1:8" x14ac:dyDescent="0.2">
      <c r="A147" s="2" t="s">
        <v>258</v>
      </c>
      <c r="B147" s="2" t="s">
        <v>80</v>
      </c>
      <c r="C147" s="2" t="s">
        <v>57</v>
      </c>
      <c r="D147" s="3">
        <v>2.61</v>
      </c>
      <c r="E147" s="3">
        <v>2.61</v>
      </c>
      <c r="F147" s="3">
        <v>0</v>
      </c>
      <c r="G147" s="3">
        <v>0</v>
      </c>
      <c r="H147" s="2">
        <v>0</v>
      </c>
    </row>
    <row r="148" spans="1:8" x14ac:dyDescent="0.2">
      <c r="A148" s="2" t="s">
        <v>259</v>
      </c>
      <c r="B148" s="2" t="s">
        <v>260</v>
      </c>
      <c r="C148" s="2" t="s">
        <v>25</v>
      </c>
      <c r="D148" s="3">
        <v>5.82</v>
      </c>
      <c r="E148" s="3">
        <v>2.96</v>
      </c>
      <c r="F148" s="3">
        <v>2.86</v>
      </c>
      <c r="G148" s="3">
        <v>0</v>
      </c>
      <c r="H148" s="2">
        <v>2</v>
      </c>
    </row>
    <row r="149" spans="1:8" x14ac:dyDescent="0.2">
      <c r="A149" s="2" t="s">
        <v>261</v>
      </c>
      <c r="B149" s="2" t="s">
        <v>262</v>
      </c>
      <c r="C149" s="2" t="s">
        <v>74</v>
      </c>
      <c r="D149" s="3">
        <v>2.69</v>
      </c>
      <c r="E149" s="3">
        <v>2.69</v>
      </c>
      <c r="F149" s="3">
        <v>0</v>
      </c>
      <c r="G149" s="3">
        <v>0</v>
      </c>
      <c r="H149" s="2">
        <v>0</v>
      </c>
    </row>
    <row r="150" spans="1:8" x14ac:dyDescent="0.2">
      <c r="A150" s="2" t="s">
        <v>263</v>
      </c>
      <c r="B150" s="2" t="s">
        <v>264</v>
      </c>
      <c r="C150" s="2" t="s">
        <v>49</v>
      </c>
      <c r="D150" s="3">
        <v>3.85</v>
      </c>
      <c r="E150" s="3">
        <v>3.8</v>
      </c>
      <c r="F150" s="3">
        <v>0</v>
      </c>
      <c r="G150" s="3">
        <v>0.05</v>
      </c>
      <c r="H150" s="2">
        <v>0</v>
      </c>
    </row>
    <row r="151" spans="1:8" x14ac:dyDescent="0.2">
      <c r="A151" s="2" t="s">
        <v>265</v>
      </c>
      <c r="B151" s="2" t="s">
        <v>133</v>
      </c>
      <c r="C151" s="2" t="s">
        <v>49</v>
      </c>
      <c r="D151" s="3">
        <v>58.71</v>
      </c>
      <c r="E151" s="3">
        <v>12.37</v>
      </c>
      <c r="F151" s="3">
        <v>40.33</v>
      </c>
      <c r="G151" s="3">
        <v>6</v>
      </c>
      <c r="H151" s="2">
        <v>4</v>
      </c>
    </row>
    <row r="152" spans="1:8" x14ac:dyDescent="0.2">
      <c r="A152" s="2" t="s">
        <v>266</v>
      </c>
      <c r="B152" s="2" t="s">
        <v>267</v>
      </c>
      <c r="C152" s="2" t="s">
        <v>22</v>
      </c>
      <c r="D152" s="3">
        <v>16.739999999999998</v>
      </c>
      <c r="E152" s="3">
        <v>5.4</v>
      </c>
      <c r="F152" s="3">
        <v>11.34</v>
      </c>
      <c r="G152" s="3">
        <v>0</v>
      </c>
      <c r="H152" s="2">
        <v>2</v>
      </c>
    </row>
    <row r="153" spans="1:8" x14ac:dyDescent="0.2">
      <c r="A153" s="2" t="s">
        <v>268</v>
      </c>
      <c r="B153" s="2" t="s">
        <v>269</v>
      </c>
      <c r="C153" s="2" t="s">
        <v>28</v>
      </c>
      <c r="D153" s="3">
        <v>38.869999999999997</v>
      </c>
      <c r="E153" s="3">
        <v>9.3800000000000008</v>
      </c>
      <c r="F153" s="3">
        <v>22.67</v>
      </c>
      <c r="G153" s="3">
        <v>6.82</v>
      </c>
      <c r="H153" s="2">
        <v>5</v>
      </c>
    </row>
    <row r="154" spans="1:8" x14ac:dyDescent="0.2">
      <c r="A154" s="2" t="s">
        <v>270</v>
      </c>
      <c r="B154" s="2" t="s">
        <v>84</v>
      </c>
      <c r="C154" s="2" t="s">
        <v>49</v>
      </c>
      <c r="D154" s="3">
        <v>4.79</v>
      </c>
      <c r="E154" s="3">
        <v>4.79</v>
      </c>
      <c r="F154" s="3">
        <v>0</v>
      </c>
      <c r="G154" s="3">
        <v>0</v>
      </c>
      <c r="H154" s="2">
        <v>0</v>
      </c>
    </row>
    <row r="155" spans="1:8" x14ac:dyDescent="0.2">
      <c r="A155" s="2" t="s">
        <v>271</v>
      </c>
      <c r="B155" s="2" t="s">
        <v>30</v>
      </c>
      <c r="C155" s="2" t="s">
        <v>49</v>
      </c>
      <c r="D155" s="3">
        <v>5.8</v>
      </c>
      <c r="E155" s="3">
        <v>5.8</v>
      </c>
      <c r="F155" s="3">
        <v>0</v>
      </c>
      <c r="G155" s="3">
        <v>0</v>
      </c>
      <c r="H155" s="2">
        <v>0</v>
      </c>
    </row>
    <row r="156" spans="1:8" x14ac:dyDescent="0.2">
      <c r="A156" s="2" t="s">
        <v>272</v>
      </c>
      <c r="B156" s="2" t="s">
        <v>273</v>
      </c>
      <c r="C156" s="2" t="s">
        <v>28</v>
      </c>
      <c r="D156" s="3">
        <v>2.59</v>
      </c>
      <c r="E156" s="3">
        <v>2.59</v>
      </c>
      <c r="F156" s="3">
        <v>0</v>
      </c>
      <c r="G156" s="3">
        <v>0</v>
      </c>
      <c r="H156" s="2">
        <v>0</v>
      </c>
    </row>
    <row r="157" spans="1:8" x14ac:dyDescent="0.2">
      <c r="A157" s="2" t="s">
        <v>274</v>
      </c>
      <c r="B157" s="2" t="s">
        <v>275</v>
      </c>
      <c r="C157" s="2" t="s">
        <v>25</v>
      </c>
      <c r="D157" s="3">
        <v>5.81</v>
      </c>
      <c r="E157" s="3">
        <v>4.4000000000000004</v>
      </c>
      <c r="F157" s="3">
        <v>1.42</v>
      </c>
      <c r="G157" s="3">
        <v>0</v>
      </c>
      <c r="H157" s="2">
        <v>1</v>
      </c>
    </row>
    <row r="158" spans="1:8" x14ac:dyDescent="0.2">
      <c r="A158" s="2" t="s">
        <v>276</v>
      </c>
      <c r="B158" s="2" t="s">
        <v>277</v>
      </c>
      <c r="C158" s="2" t="s">
        <v>57</v>
      </c>
      <c r="D158" s="3">
        <v>2.59</v>
      </c>
      <c r="E158" s="3">
        <v>2.59</v>
      </c>
      <c r="F158" s="3">
        <v>0</v>
      </c>
      <c r="G158" s="3">
        <v>0</v>
      </c>
      <c r="H158" s="2">
        <v>0</v>
      </c>
    </row>
    <row r="159" spans="1:8" x14ac:dyDescent="0.2">
      <c r="A159" s="2" t="s">
        <v>278</v>
      </c>
      <c r="B159" s="2" t="s">
        <v>277</v>
      </c>
      <c r="C159" s="2" t="s">
        <v>57</v>
      </c>
      <c r="D159" s="3">
        <v>2.59</v>
      </c>
      <c r="E159" s="3">
        <v>2.59</v>
      </c>
      <c r="F159" s="3">
        <v>0</v>
      </c>
      <c r="G159" s="3">
        <v>0</v>
      </c>
      <c r="H159" s="2">
        <v>0</v>
      </c>
    </row>
    <row r="160" spans="1:8" x14ac:dyDescent="0.2">
      <c r="A160" s="2" t="s">
        <v>279</v>
      </c>
      <c r="B160" s="2" t="s">
        <v>193</v>
      </c>
      <c r="C160" s="2" t="s">
        <v>22</v>
      </c>
      <c r="D160" s="3">
        <v>10.76</v>
      </c>
      <c r="E160" s="3">
        <v>3.13</v>
      </c>
      <c r="F160" s="3">
        <v>6.86</v>
      </c>
      <c r="G160" s="3">
        <v>0.77</v>
      </c>
      <c r="H160" s="2">
        <v>3</v>
      </c>
    </row>
    <row r="161" spans="1:8" x14ac:dyDescent="0.2">
      <c r="A161" s="2" t="s">
        <v>280</v>
      </c>
      <c r="B161" s="2" t="s">
        <v>281</v>
      </c>
      <c r="C161" s="2" t="s">
        <v>25</v>
      </c>
      <c r="D161" s="3">
        <v>6.65</v>
      </c>
      <c r="E161" s="3">
        <v>3.37</v>
      </c>
      <c r="F161" s="3">
        <v>3.28</v>
      </c>
      <c r="G161" s="3">
        <v>0</v>
      </c>
      <c r="H161" s="2">
        <v>1</v>
      </c>
    </row>
    <row r="162" spans="1:8" x14ac:dyDescent="0.2">
      <c r="A162" s="2" t="s">
        <v>282</v>
      </c>
      <c r="B162" s="2" t="s">
        <v>43</v>
      </c>
      <c r="C162" s="2" t="s">
        <v>25</v>
      </c>
      <c r="D162" s="3">
        <v>9.6199999999999992</v>
      </c>
      <c r="E162" s="3">
        <v>7.22</v>
      </c>
      <c r="F162" s="3">
        <v>2.4</v>
      </c>
      <c r="G162" s="3">
        <v>0</v>
      </c>
      <c r="H162" s="2">
        <v>4</v>
      </c>
    </row>
    <row r="163" spans="1:8" x14ac:dyDescent="0.2">
      <c r="A163" s="2" t="s">
        <v>283</v>
      </c>
      <c r="B163" s="2" t="s">
        <v>80</v>
      </c>
      <c r="C163" s="2" t="s">
        <v>49</v>
      </c>
      <c r="D163" s="3">
        <v>51.89</v>
      </c>
      <c r="E163" s="3">
        <v>11.43</v>
      </c>
      <c r="F163" s="3">
        <v>33.380000000000003</v>
      </c>
      <c r="G163" s="3">
        <v>7.08</v>
      </c>
      <c r="H163" s="2">
        <v>5</v>
      </c>
    </row>
    <row r="164" spans="1:8" x14ac:dyDescent="0.2">
      <c r="A164" s="2" t="s">
        <v>284</v>
      </c>
      <c r="B164" s="2" t="s">
        <v>285</v>
      </c>
      <c r="C164" s="2" t="s">
        <v>25</v>
      </c>
      <c r="D164" s="3">
        <v>31.61</v>
      </c>
      <c r="E164" s="3">
        <v>7.79</v>
      </c>
      <c r="F164" s="3">
        <v>23.54</v>
      </c>
      <c r="G164" s="3">
        <v>0.27</v>
      </c>
      <c r="H164" s="2">
        <v>7</v>
      </c>
    </row>
    <row r="165" spans="1:8" x14ac:dyDescent="0.2">
      <c r="A165" s="2" t="s">
        <v>286</v>
      </c>
      <c r="B165" s="2" t="s">
        <v>287</v>
      </c>
      <c r="C165" s="2" t="s">
        <v>104</v>
      </c>
      <c r="D165" s="3">
        <v>9.73</v>
      </c>
      <c r="E165" s="3">
        <v>4.74</v>
      </c>
      <c r="F165" s="3">
        <v>0</v>
      </c>
      <c r="G165" s="3">
        <v>4.9800000000000004</v>
      </c>
      <c r="H165" s="2">
        <v>0</v>
      </c>
    </row>
    <row r="166" spans="1:8" x14ac:dyDescent="0.2">
      <c r="A166" s="2" t="s">
        <v>288</v>
      </c>
      <c r="B166" s="2" t="s">
        <v>289</v>
      </c>
      <c r="C166" s="2" t="s">
        <v>22</v>
      </c>
      <c r="D166" s="3">
        <v>20.8</v>
      </c>
      <c r="E166" s="3">
        <v>6.39</v>
      </c>
      <c r="F166" s="3">
        <v>14.22</v>
      </c>
      <c r="G166" s="3">
        <v>0.19</v>
      </c>
      <c r="H166" s="2">
        <v>8</v>
      </c>
    </row>
    <row r="167" spans="1:8" x14ac:dyDescent="0.2">
      <c r="A167" s="2" t="s">
        <v>290</v>
      </c>
      <c r="B167" s="2" t="s">
        <v>291</v>
      </c>
      <c r="C167" s="2" t="s">
        <v>25</v>
      </c>
      <c r="D167" s="3">
        <v>4.66</v>
      </c>
      <c r="E167" s="3">
        <v>4.66</v>
      </c>
      <c r="F167" s="3">
        <v>0</v>
      </c>
      <c r="G167" s="3">
        <v>0</v>
      </c>
      <c r="H167" s="2">
        <v>0</v>
      </c>
    </row>
    <row r="168" spans="1:8" x14ac:dyDescent="0.2">
      <c r="A168" s="2" t="s">
        <v>292</v>
      </c>
      <c r="B168" s="2" t="s">
        <v>27</v>
      </c>
      <c r="C168" s="2" t="s">
        <v>28</v>
      </c>
      <c r="D168" s="3">
        <v>5.62</v>
      </c>
      <c r="E168" s="3">
        <v>5.62</v>
      </c>
      <c r="F168" s="3">
        <v>0</v>
      </c>
      <c r="G168" s="3">
        <v>0</v>
      </c>
      <c r="H168" s="2">
        <v>0</v>
      </c>
    </row>
    <row r="169" spans="1:8" x14ac:dyDescent="0.2">
      <c r="A169" s="2" t="s">
        <v>293</v>
      </c>
      <c r="B169" s="2" t="s">
        <v>294</v>
      </c>
      <c r="C169" s="2" t="s">
        <v>22</v>
      </c>
      <c r="D169" s="3">
        <v>13.47</v>
      </c>
      <c r="E169" s="3">
        <v>5.34</v>
      </c>
      <c r="F169" s="3">
        <v>0</v>
      </c>
      <c r="G169" s="3">
        <v>8.1300000000000008</v>
      </c>
      <c r="H169" s="2">
        <v>0</v>
      </c>
    </row>
    <row r="170" spans="1:8" x14ac:dyDescent="0.2">
      <c r="A170" s="2" t="s">
        <v>295</v>
      </c>
      <c r="B170" s="2" t="s">
        <v>296</v>
      </c>
      <c r="C170" s="2" t="s">
        <v>28</v>
      </c>
      <c r="D170" s="3">
        <v>10.73</v>
      </c>
      <c r="E170" s="3">
        <v>5.6</v>
      </c>
      <c r="F170" s="3">
        <v>5.12</v>
      </c>
      <c r="G170" s="3">
        <v>0</v>
      </c>
      <c r="H170" s="2">
        <v>2</v>
      </c>
    </row>
    <row r="171" spans="1:8" x14ac:dyDescent="0.2">
      <c r="A171" s="2" t="s">
        <v>297</v>
      </c>
      <c r="B171" s="2" t="s">
        <v>230</v>
      </c>
      <c r="C171" s="2" t="s">
        <v>92</v>
      </c>
      <c r="D171" s="3">
        <v>2.58</v>
      </c>
      <c r="E171" s="3">
        <v>2.58</v>
      </c>
      <c r="F171" s="3">
        <v>0</v>
      </c>
      <c r="G171" s="3">
        <v>0</v>
      </c>
      <c r="H171" s="2">
        <v>0</v>
      </c>
    </row>
    <row r="172" spans="1:8" x14ac:dyDescent="0.2">
      <c r="A172" s="2" t="s">
        <v>298</v>
      </c>
      <c r="B172" s="2" t="s">
        <v>299</v>
      </c>
      <c r="C172" s="2" t="s">
        <v>25</v>
      </c>
      <c r="D172" s="3">
        <v>3.47</v>
      </c>
      <c r="E172" s="3">
        <v>2.61</v>
      </c>
      <c r="F172" s="3">
        <v>0.03</v>
      </c>
      <c r="G172" s="3">
        <v>0.82</v>
      </c>
      <c r="H172" s="2">
        <v>1</v>
      </c>
    </row>
    <row r="173" spans="1:8" x14ac:dyDescent="0.2">
      <c r="A173" s="2" t="s">
        <v>300</v>
      </c>
      <c r="B173" s="2" t="s">
        <v>80</v>
      </c>
      <c r="C173" s="2" t="s">
        <v>25</v>
      </c>
      <c r="D173" s="3">
        <v>3.38</v>
      </c>
      <c r="E173" s="3">
        <v>3.38</v>
      </c>
      <c r="F173" s="3">
        <v>0</v>
      </c>
      <c r="G173" s="3">
        <v>0</v>
      </c>
      <c r="H173" s="2">
        <v>0</v>
      </c>
    </row>
    <row r="174" spans="1:8" x14ac:dyDescent="0.2">
      <c r="A174" s="2" t="s">
        <v>301</v>
      </c>
      <c r="B174" s="2" t="s">
        <v>43</v>
      </c>
      <c r="C174" s="2" t="s">
        <v>25</v>
      </c>
      <c r="D174" s="3">
        <v>5.42</v>
      </c>
      <c r="E174" s="3">
        <v>5.42</v>
      </c>
      <c r="F174" s="3">
        <v>0</v>
      </c>
      <c r="G174" s="3">
        <v>0</v>
      </c>
      <c r="H174" s="2">
        <v>0</v>
      </c>
    </row>
    <row r="175" spans="1:8" x14ac:dyDescent="0.2">
      <c r="A175" s="2" t="s">
        <v>302</v>
      </c>
      <c r="B175" s="2" t="s">
        <v>91</v>
      </c>
      <c r="C175" s="2" t="s">
        <v>49</v>
      </c>
      <c r="D175" s="3">
        <v>5.4</v>
      </c>
      <c r="E175" s="3">
        <v>4.96</v>
      </c>
      <c r="F175" s="3">
        <v>0.05</v>
      </c>
      <c r="G175" s="3">
        <v>0.39</v>
      </c>
      <c r="H175" s="2">
        <v>1</v>
      </c>
    </row>
    <row r="176" spans="1:8" x14ac:dyDescent="0.2">
      <c r="A176" s="2" t="s">
        <v>303</v>
      </c>
      <c r="B176" s="2" t="s">
        <v>91</v>
      </c>
      <c r="C176" s="2" t="s">
        <v>49</v>
      </c>
      <c r="D176" s="3">
        <v>4.6100000000000003</v>
      </c>
      <c r="E176" s="3">
        <v>4.6100000000000003</v>
      </c>
      <c r="F176" s="3">
        <v>0</v>
      </c>
      <c r="G176" s="3">
        <v>0</v>
      </c>
      <c r="H176" s="2">
        <v>0</v>
      </c>
    </row>
    <row r="177" spans="1:8" x14ac:dyDescent="0.2">
      <c r="A177" s="2" t="s">
        <v>304</v>
      </c>
      <c r="B177" s="2" t="s">
        <v>80</v>
      </c>
      <c r="C177" s="2" t="s">
        <v>49</v>
      </c>
      <c r="D177" s="3">
        <v>5.42</v>
      </c>
      <c r="E177" s="3">
        <v>5.42</v>
      </c>
      <c r="F177" s="3">
        <v>0</v>
      </c>
      <c r="G177" s="3">
        <v>0</v>
      </c>
      <c r="H177" s="2">
        <v>0</v>
      </c>
    </row>
    <row r="178" spans="1:8" x14ac:dyDescent="0.2">
      <c r="A178" s="2" t="s">
        <v>305</v>
      </c>
      <c r="B178" s="2" t="s">
        <v>53</v>
      </c>
      <c r="C178" s="2" t="s">
        <v>25</v>
      </c>
      <c r="D178" s="3">
        <v>6.26</v>
      </c>
      <c r="E178" s="3">
        <v>2.2999999999999998</v>
      </c>
      <c r="F178" s="3">
        <v>3.96</v>
      </c>
      <c r="G178" s="3">
        <v>0</v>
      </c>
      <c r="H178" s="2">
        <v>1</v>
      </c>
    </row>
    <row r="179" spans="1:8" x14ac:dyDescent="0.2">
      <c r="A179" s="2" t="s">
        <v>306</v>
      </c>
      <c r="B179" s="2" t="s">
        <v>307</v>
      </c>
      <c r="C179" s="2" t="s">
        <v>57</v>
      </c>
      <c r="D179" s="3">
        <v>2.15</v>
      </c>
      <c r="E179" s="3">
        <v>2.15</v>
      </c>
      <c r="F179" s="3">
        <v>0</v>
      </c>
      <c r="G179" s="3">
        <v>0</v>
      </c>
      <c r="H179" s="2">
        <v>0</v>
      </c>
    </row>
    <row r="180" spans="1:8" x14ac:dyDescent="0.2">
      <c r="A180" s="2" t="s">
        <v>308</v>
      </c>
      <c r="B180" s="2" t="s">
        <v>163</v>
      </c>
      <c r="C180" s="2" t="s">
        <v>28</v>
      </c>
      <c r="D180" s="3">
        <v>18.21</v>
      </c>
      <c r="E180" s="3">
        <v>2.31</v>
      </c>
      <c r="F180" s="3">
        <v>15.9</v>
      </c>
      <c r="G180" s="3">
        <v>0</v>
      </c>
      <c r="H180" s="2">
        <v>4</v>
      </c>
    </row>
    <row r="181" spans="1:8" x14ac:dyDescent="0.2">
      <c r="A181" s="2" t="s">
        <v>309</v>
      </c>
      <c r="B181" s="2" t="s">
        <v>310</v>
      </c>
      <c r="C181" s="2" t="s">
        <v>57</v>
      </c>
      <c r="D181" s="3">
        <v>2.14</v>
      </c>
      <c r="E181" s="3">
        <v>2.14</v>
      </c>
      <c r="F181" s="3">
        <v>0</v>
      </c>
      <c r="G181" s="3">
        <v>0</v>
      </c>
      <c r="H181" s="2">
        <v>0</v>
      </c>
    </row>
    <row r="182" spans="1:8" x14ac:dyDescent="0.2">
      <c r="A182" s="2" t="s">
        <v>311</v>
      </c>
      <c r="B182" s="2" t="s">
        <v>80</v>
      </c>
      <c r="C182" s="2" t="s">
        <v>74</v>
      </c>
      <c r="D182" s="3">
        <v>5.24</v>
      </c>
      <c r="E182" s="3">
        <v>3.22</v>
      </c>
      <c r="F182" s="3">
        <v>0</v>
      </c>
      <c r="G182" s="3">
        <v>2.02</v>
      </c>
      <c r="H182" s="2">
        <v>0</v>
      </c>
    </row>
    <row r="183" spans="1:8" x14ac:dyDescent="0.2">
      <c r="A183" s="2" t="s">
        <v>312</v>
      </c>
      <c r="B183" s="2" t="s">
        <v>94</v>
      </c>
      <c r="C183" s="2" t="s">
        <v>49</v>
      </c>
      <c r="D183" s="3">
        <v>53.17</v>
      </c>
      <c r="E183" s="3">
        <v>13.98</v>
      </c>
      <c r="F183" s="3">
        <v>26.3</v>
      </c>
      <c r="G183" s="3">
        <v>12.9</v>
      </c>
      <c r="H183" s="2">
        <v>8</v>
      </c>
    </row>
    <row r="184" spans="1:8" x14ac:dyDescent="0.2">
      <c r="A184" s="2" t="s">
        <v>313</v>
      </c>
      <c r="B184" s="2" t="s">
        <v>80</v>
      </c>
      <c r="C184" s="2" t="s">
        <v>104</v>
      </c>
      <c r="D184" s="3">
        <v>2.84</v>
      </c>
      <c r="E184" s="3">
        <v>2.84</v>
      </c>
      <c r="F184" s="3">
        <v>0</v>
      </c>
      <c r="G184" s="3">
        <v>0</v>
      </c>
      <c r="H184" s="2">
        <v>0</v>
      </c>
    </row>
    <row r="185" spans="1:8" x14ac:dyDescent="0.2">
      <c r="A185" s="2" t="s">
        <v>314</v>
      </c>
      <c r="B185" s="2" t="s">
        <v>315</v>
      </c>
      <c r="C185" s="2" t="s">
        <v>25</v>
      </c>
      <c r="D185" s="3">
        <v>19.79</v>
      </c>
      <c r="E185" s="3">
        <v>5.8</v>
      </c>
      <c r="F185" s="3">
        <v>11.67</v>
      </c>
      <c r="G185" s="3">
        <v>2.3199999999999998</v>
      </c>
      <c r="H185" s="2">
        <v>4</v>
      </c>
    </row>
    <row r="186" spans="1:8" x14ac:dyDescent="0.2">
      <c r="A186" s="2" t="s">
        <v>316</v>
      </c>
      <c r="B186" s="2" t="s">
        <v>317</v>
      </c>
      <c r="C186" s="2" t="s">
        <v>25</v>
      </c>
      <c r="D186" s="3">
        <v>12.84</v>
      </c>
      <c r="E186" s="3">
        <v>4.3899999999999997</v>
      </c>
      <c r="F186" s="3">
        <v>8.4499999999999993</v>
      </c>
      <c r="G186" s="3">
        <v>0</v>
      </c>
      <c r="H186" s="2">
        <v>4</v>
      </c>
    </row>
    <row r="187" spans="1:8" x14ac:dyDescent="0.2">
      <c r="A187" s="2" t="s">
        <v>318</v>
      </c>
      <c r="B187" s="2" t="s">
        <v>319</v>
      </c>
      <c r="C187" s="2" t="s">
        <v>25</v>
      </c>
      <c r="D187" s="3">
        <v>14.87</v>
      </c>
      <c r="E187" s="3">
        <v>4.8099999999999996</v>
      </c>
      <c r="F187" s="3">
        <v>10.050000000000001</v>
      </c>
      <c r="G187" s="3">
        <v>0</v>
      </c>
      <c r="H187" s="2">
        <v>3</v>
      </c>
    </row>
    <row r="188" spans="1:8" x14ac:dyDescent="0.2">
      <c r="A188" s="2" t="s">
        <v>320</v>
      </c>
      <c r="B188" s="2" t="s">
        <v>319</v>
      </c>
      <c r="C188" s="2" t="s">
        <v>25</v>
      </c>
      <c r="D188" s="3">
        <v>4.9400000000000004</v>
      </c>
      <c r="E188" s="3">
        <v>1.9</v>
      </c>
      <c r="F188" s="3">
        <v>3.04</v>
      </c>
      <c r="G188" s="3">
        <v>0</v>
      </c>
      <c r="H188" s="2">
        <v>1</v>
      </c>
    </row>
    <row r="189" spans="1:8" x14ac:dyDescent="0.2">
      <c r="A189" s="2" t="s">
        <v>321</v>
      </c>
      <c r="B189" s="2" t="s">
        <v>322</v>
      </c>
      <c r="C189" s="2" t="s">
        <v>25</v>
      </c>
      <c r="D189" s="3">
        <v>26.06</v>
      </c>
      <c r="E189" s="3">
        <v>6.7</v>
      </c>
      <c r="F189" s="3">
        <v>19.36</v>
      </c>
      <c r="G189" s="3">
        <v>0</v>
      </c>
      <c r="H189" s="2">
        <v>8</v>
      </c>
    </row>
    <row r="190" spans="1:8" x14ac:dyDescent="0.2">
      <c r="A190" s="2" t="s">
        <v>323</v>
      </c>
      <c r="B190" s="2" t="s">
        <v>324</v>
      </c>
      <c r="C190" s="2" t="s">
        <v>25</v>
      </c>
      <c r="D190" s="3">
        <v>21.86</v>
      </c>
      <c r="E190" s="3">
        <v>0.85</v>
      </c>
      <c r="F190" s="3">
        <v>21.01</v>
      </c>
      <c r="G190" s="3">
        <v>0</v>
      </c>
      <c r="H190" s="2">
        <v>4</v>
      </c>
    </row>
    <row r="191" spans="1:8" x14ac:dyDescent="0.2">
      <c r="A191" s="2" t="s">
        <v>325</v>
      </c>
      <c r="B191" s="2" t="s">
        <v>326</v>
      </c>
      <c r="C191" s="2" t="s">
        <v>57</v>
      </c>
      <c r="D191" s="3">
        <v>0.73</v>
      </c>
      <c r="E191" s="3">
        <v>0.73</v>
      </c>
      <c r="F191" s="3">
        <v>0</v>
      </c>
      <c r="G191" s="3">
        <v>0</v>
      </c>
      <c r="H191" s="2">
        <v>0</v>
      </c>
    </row>
    <row r="192" spans="1:8" x14ac:dyDescent="0.2">
      <c r="A192" s="2" t="s">
        <v>327</v>
      </c>
      <c r="B192" s="2" t="s">
        <v>328</v>
      </c>
      <c r="C192" s="2" t="s">
        <v>25</v>
      </c>
      <c r="D192" s="3">
        <v>3.38</v>
      </c>
      <c r="E192" s="3">
        <v>1.63</v>
      </c>
      <c r="F192" s="3">
        <v>1.75</v>
      </c>
      <c r="G192" s="3">
        <v>0</v>
      </c>
      <c r="H192" s="2">
        <v>1</v>
      </c>
    </row>
    <row r="193" spans="1:8" x14ac:dyDescent="0.2">
      <c r="A193" s="2" t="s">
        <v>329</v>
      </c>
      <c r="B193" s="2" t="s">
        <v>328</v>
      </c>
      <c r="C193" s="2" t="s">
        <v>25</v>
      </c>
      <c r="D193" s="3">
        <v>7.37</v>
      </c>
      <c r="E193" s="3">
        <v>4.95</v>
      </c>
      <c r="F193" s="3">
        <v>2.42</v>
      </c>
      <c r="G193" s="3">
        <v>0</v>
      </c>
      <c r="H193" s="2">
        <v>2</v>
      </c>
    </row>
    <row r="194" spans="1:8" x14ac:dyDescent="0.2">
      <c r="A194" s="2" t="s">
        <v>330</v>
      </c>
      <c r="B194" s="2" t="s">
        <v>331</v>
      </c>
      <c r="C194" s="2" t="s">
        <v>49</v>
      </c>
      <c r="D194" s="3">
        <v>8.31</v>
      </c>
      <c r="E194" s="3">
        <v>3.55</v>
      </c>
      <c r="F194" s="3">
        <v>4.7699999999999996</v>
      </c>
      <c r="G194" s="3">
        <v>0</v>
      </c>
      <c r="H194" s="2">
        <v>4</v>
      </c>
    </row>
    <row r="195" spans="1:8" x14ac:dyDescent="0.2">
      <c r="A195" s="2" t="s">
        <v>332</v>
      </c>
      <c r="B195" s="2" t="s">
        <v>333</v>
      </c>
      <c r="C195" s="2" t="s">
        <v>28</v>
      </c>
      <c r="D195" s="3">
        <v>8.39</v>
      </c>
      <c r="E195" s="3">
        <v>3.28</v>
      </c>
      <c r="F195" s="3">
        <v>5.12</v>
      </c>
      <c r="G195" s="3">
        <v>0</v>
      </c>
      <c r="H195" s="2">
        <v>2</v>
      </c>
    </row>
    <row r="196" spans="1:8" x14ac:dyDescent="0.2">
      <c r="A196" s="2" t="s">
        <v>334</v>
      </c>
      <c r="B196" s="2" t="s">
        <v>335</v>
      </c>
      <c r="C196" s="2" t="s">
        <v>104</v>
      </c>
      <c r="D196" s="3">
        <v>32.36</v>
      </c>
      <c r="E196" s="3">
        <v>2.41</v>
      </c>
      <c r="F196" s="3">
        <v>0</v>
      </c>
      <c r="G196" s="3">
        <v>29.94</v>
      </c>
      <c r="H196" s="2">
        <v>0</v>
      </c>
    </row>
    <row r="197" spans="1:8" x14ac:dyDescent="0.2">
      <c r="A197" s="2" t="s">
        <v>336</v>
      </c>
      <c r="B197" s="2" t="s">
        <v>208</v>
      </c>
      <c r="C197" s="2" t="s">
        <v>28</v>
      </c>
      <c r="D197" s="3">
        <v>1.2</v>
      </c>
      <c r="E197" s="3">
        <v>1.2</v>
      </c>
      <c r="F197" s="3">
        <v>0</v>
      </c>
      <c r="G197" s="3">
        <v>0</v>
      </c>
      <c r="H197" s="2">
        <v>0</v>
      </c>
    </row>
    <row r="198" spans="1:8" x14ac:dyDescent="0.2">
      <c r="A198" s="2" t="s">
        <v>337</v>
      </c>
      <c r="B198" s="2" t="s">
        <v>137</v>
      </c>
      <c r="C198" s="2" t="s">
        <v>104</v>
      </c>
      <c r="D198" s="3">
        <v>21.12</v>
      </c>
      <c r="E198" s="3">
        <v>4.83</v>
      </c>
      <c r="F198" s="3">
        <v>13.91</v>
      </c>
      <c r="G198" s="3">
        <v>2.4</v>
      </c>
      <c r="H198" s="2">
        <v>2</v>
      </c>
    </row>
    <row r="199" spans="1:8" x14ac:dyDescent="0.2">
      <c r="A199" s="2" t="s">
        <v>338</v>
      </c>
      <c r="B199" s="2" t="s">
        <v>149</v>
      </c>
      <c r="C199" s="2" t="s">
        <v>66</v>
      </c>
      <c r="D199" s="3">
        <v>0.17</v>
      </c>
      <c r="E199" s="3">
        <v>0.17</v>
      </c>
      <c r="F199" s="3">
        <v>0</v>
      </c>
      <c r="G199" s="3">
        <v>0</v>
      </c>
      <c r="H199" s="2">
        <v>0</v>
      </c>
    </row>
    <row r="200" spans="1:8" x14ac:dyDescent="0.2">
      <c r="A200" s="2" t="s">
        <v>339</v>
      </c>
      <c r="B200" s="2" t="s">
        <v>340</v>
      </c>
      <c r="C200" s="2" t="s">
        <v>74</v>
      </c>
      <c r="D200" s="3">
        <v>1.04</v>
      </c>
      <c r="E200" s="3">
        <v>0.33</v>
      </c>
      <c r="F200" s="3">
        <v>0</v>
      </c>
      <c r="G200" s="3">
        <v>0.71</v>
      </c>
      <c r="H200" s="2">
        <v>0</v>
      </c>
    </row>
    <row r="201" spans="1:8" x14ac:dyDescent="0.2">
      <c r="A201" s="2" t="s">
        <v>341</v>
      </c>
      <c r="B201" s="2" t="s">
        <v>27</v>
      </c>
      <c r="C201" s="2" t="s">
        <v>104</v>
      </c>
      <c r="D201" s="3">
        <v>0.28000000000000003</v>
      </c>
      <c r="E201" s="3">
        <v>0.28000000000000003</v>
      </c>
      <c r="F201" s="3">
        <v>0</v>
      </c>
      <c r="G201" s="3">
        <v>0</v>
      </c>
      <c r="H201" s="2">
        <v>0</v>
      </c>
    </row>
    <row r="202" spans="1:8" x14ac:dyDescent="0.2">
      <c r="A202" s="2" t="s">
        <v>342</v>
      </c>
      <c r="B202" s="2" t="s">
        <v>343</v>
      </c>
      <c r="C202" s="2" t="s">
        <v>104</v>
      </c>
      <c r="D202" s="3">
        <v>0.31</v>
      </c>
      <c r="E202" s="3">
        <v>0.31</v>
      </c>
      <c r="F202" s="3">
        <v>0</v>
      </c>
      <c r="G202" s="3">
        <v>0</v>
      </c>
      <c r="H202" s="2">
        <v>0</v>
      </c>
    </row>
    <row r="203" spans="1:8" x14ac:dyDescent="0.2">
      <c r="A203" s="2" t="s">
        <v>344</v>
      </c>
      <c r="B203" s="2" t="s">
        <v>345</v>
      </c>
      <c r="C203" s="2" t="s">
        <v>104</v>
      </c>
      <c r="D203" s="3">
        <v>22.34</v>
      </c>
      <c r="E203" s="3">
        <v>0.24</v>
      </c>
      <c r="F203" s="3">
        <v>0</v>
      </c>
      <c r="G203" s="3">
        <v>22.1</v>
      </c>
      <c r="H203" s="2">
        <v>0</v>
      </c>
    </row>
    <row r="204" spans="1:8" x14ac:dyDescent="0.2">
      <c r="A204" s="2" t="s">
        <v>346</v>
      </c>
      <c r="B204" s="2" t="s">
        <v>347</v>
      </c>
      <c r="C204" s="2" t="s">
        <v>104</v>
      </c>
      <c r="D204" s="3">
        <v>1.25</v>
      </c>
      <c r="E204" s="3">
        <v>0.1</v>
      </c>
      <c r="F204" s="3">
        <v>0</v>
      </c>
      <c r="G204" s="3">
        <v>1.1599999999999999</v>
      </c>
      <c r="H204" s="2">
        <v>0</v>
      </c>
    </row>
    <row r="205" spans="1:8" x14ac:dyDescent="0.2">
      <c r="A205" s="2" t="s">
        <v>348</v>
      </c>
      <c r="B205" s="2" t="s">
        <v>349</v>
      </c>
      <c r="C205" s="2" t="s">
        <v>25</v>
      </c>
      <c r="D205" s="3">
        <v>8.19</v>
      </c>
      <c r="E205" s="3">
        <v>2.1</v>
      </c>
      <c r="F205" s="3">
        <v>6.09</v>
      </c>
      <c r="G205" s="3">
        <v>0</v>
      </c>
      <c r="H205" s="2">
        <v>2</v>
      </c>
    </row>
    <row r="206" spans="1:8" x14ac:dyDescent="0.2">
      <c r="A206" s="2" t="s">
        <v>350</v>
      </c>
      <c r="B206" s="2" t="s">
        <v>351</v>
      </c>
      <c r="C206" s="2" t="s">
        <v>104</v>
      </c>
      <c r="D206" s="3">
        <v>3.14</v>
      </c>
      <c r="E206" s="3">
        <v>3.14</v>
      </c>
      <c r="F206" s="3">
        <v>0</v>
      </c>
      <c r="G206" s="3">
        <v>0</v>
      </c>
      <c r="H206" s="2">
        <v>0</v>
      </c>
    </row>
    <row r="207" spans="1:8" x14ac:dyDescent="0.2">
      <c r="A207" s="2" t="s">
        <v>352</v>
      </c>
      <c r="B207" s="2" t="s">
        <v>353</v>
      </c>
      <c r="C207" s="2" t="s">
        <v>25</v>
      </c>
      <c r="D207" s="3">
        <v>2.13</v>
      </c>
      <c r="E207" s="3">
        <v>2.13</v>
      </c>
      <c r="F207" s="3">
        <v>0</v>
      </c>
      <c r="G207" s="3">
        <v>0</v>
      </c>
      <c r="H207" s="2">
        <v>0</v>
      </c>
    </row>
    <row r="208" spans="1:8" x14ac:dyDescent="0.2">
      <c r="A208" s="2" t="s">
        <v>354</v>
      </c>
      <c r="B208" s="2" t="s">
        <v>355</v>
      </c>
      <c r="C208" s="2" t="s">
        <v>74</v>
      </c>
      <c r="D208" s="3">
        <v>0</v>
      </c>
      <c r="E208" s="3">
        <v>0</v>
      </c>
      <c r="F208" s="3">
        <v>0</v>
      </c>
      <c r="G208" s="3">
        <v>0</v>
      </c>
      <c r="H208" s="2">
        <v>0</v>
      </c>
    </row>
    <row r="209" spans="1:8" x14ac:dyDescent="0.2">
      <c r="A209" s="2" t="s">
        <v>356</v>
      </c>
      <c r="B209" s="2" t="s">
        <v>163</v>
      </c>
      <c r="C209" s="2" t="s">
        <v>74</v>
      </c>
      <c r="D209" s="3">
        <v>10.199999999999999</v>
      </c>
      <c r="E209" s="3">
        <v>4.01</v>
      </c>
      <c r="F209" s="3">
        <v>6.19</v>
      </c>
      <c r="G209" s="3">
        <v>0</v>
      </c>
      <c r="H209" s="2">
        <v>6</v>
      </c>
    </row>
    <row r="210" spans="1:8" x14ac:dyDescent="0.2">
      <c r="A210" s="2" t="s">
        <v>357</v>
      </c>
      <c r="B210" s="2" t="s">
        <v>358</v>
      </c>
      <c r="C210" s="2" t="s">
        <v>25</v>
      </c>
      <c r="D210" s="3">
        <v>22.96</v>
      </c>
      <c r="E210" s="3">
        <v>4.5199999999999996</v>
      </c>
      <c r="F210" s="3">
        <v>16.96</v>
      </c>
      <c r="G210" s="3">
        <v>1.48</v>
      </c>
      <c r="H210" s="2">
        <v>5</v>
      </c>
    </row>
    <row r="211" spans="1:8" x14ac:dyDescent="0.2">
      <c r="A211" s="2" t="s">
        <v>359</v>
      </c>
      <c r="B211" s="2" t="s">
        <v>94</v>
      </c>
      <c r="C211" s="2" t="s">
        <v>25</v>
      </c>
      <c r="D211" s="3">
        <v>8.16</v>
      </c>
      <c r="E211" s="3">
        <v>8.16</v>
      </c>
      <c r="F211" s="3">
        <v>0</v>
      </c>
      <c r="G211" s="3">
        <v>0</v>
      </c>
      <c r="H211" s="2">
        <v>0</v>
      </c>
    </row>
    <row r="212" spans="1:8" x14ac:dyDescent="0.2">
      <c r="A212" s="2" t="s">
        <v>360</v>
      </c>
      <c r="B212" s="2" t="s">
        <v>80</v>
      </c>
      <c r="C212" s="2" t="s">
        <v>25</v>
      </c>
      <c r="D212" s="3">
        <v>20.2</v>
      </c>
      <c r="E212" s="3">
        <v>0.16</v>
      </c>
      <c r="F212" s="3">
        <v>20.04</v>
      </c>
      <c r="G212" s="3">
        <v>0</v>
      </c>
      <c r="H212" s="2">
        <v>4</v>
      </c>
    </row>
    <row r="213" spans="1:8" x14ac:dyDescent="0.2">
      <c r="A213" s="2" t="s">
        <v>361</v>
      </c>
      <c r="B213" s="2" t="s">
        <v>362</v>
      </c>
      <c r="C213" s="2" t="s">
        <v>66</v>
      </c>
      <c r="D213" s="3">
        <v>7.25</v>
      </c>
      <c r="E213" s="3">
        <v>0.32</v>
      </c>
      <c r="F213" s="3">
        <v>6.93</v>
      </c>
      <c r="G213" s="3">
        <v>0</v>
      </c>
      <c r="H213" s="2">
        <v>2</v>
      </c>
    </row>
    <row r="214" spans="1:8" x14ac:dyDescent="0.2">
      <c r="A214" s="2" t="s">
        <v>363</v>
      </c>
      <c r="B214" s="2" t="s">
        <v>119</v>
      </c>
      <c r="C214" s="2" t="s">
        <v>154</v>
      </c>
      <c r="D214" s="3">
        <v>1.32</v>
      </c>
      <c r="E214" s="3">
        <v>1.32</v>
      </c>
      <c r="F214" s="3">
        <v>0</v>
      </c>
      <c r="G214" s="3">
        <v>0</v>
      </c>
      <c r="H214" s="2">
        <v>0</v>
      </c>
    </row>
    <row r="215" spans="1:8" x14ac:dyDescent="0.2">
      <c r="A215" s="2" t="s">
        <v>364</v>
      </c>
      <c r="B215" s="2" t="s">
        <v>365</v>
      </c>
      <c r="C215" s="2" t="s">
        <v>104</v>
      </c>
      <c r="D215" s="3">
        <v>2.11</v>
      </c>
      <c r="E215" s="3">
        <v>2.11</v>
      </c>
      <c r="F215" s="3">
        <v>0</v>
      </c>
      <c r="G215" s="3">
        <v>0</v>
      </c>
      <c r="H215" s="2">
        <v>0</v>
      </c>
    </row>
    <row r="216" spans="1:8" x14ac:dyDescent="0.2">
      <c r="A216" s="2" t="s">
        <v>366</v>
      </c>
      <c r="B216" s="2" t="s">
        <v>367</v>
      </c>
      <c r="C216" s="2" t="s">
        <v>57</v>
      </c>
      <c r="D216" s="3">
        <v>0.02</v>
      </c>
      <c r="E216" s="3">
        <v>0.02</v>
      </c>
      <c r="F216" s="3">
        <v>0</v>
      </c>
      <c r="G216" s="3">
        <v>0</v>
      </c>
      <c r="H216" s="2">
        <v>0</v>
      </c>
    </row>
    <row r="217" spans="1:8" x14ac:dyDescent="0.2">
      <c r="A217" s="2" t="s">
        <v>368</v>
      </c>
      <c r="B217" s="2" t="s">
        <v>367</v>
      </c>
      <c r="C217" s="2" t="s">
        <v>57</v>
      </c>
      <c r="D217" s="3">
        <v>0.01</v>
      </c>
      <c r="E217" s="3">
        <v>0.01</v>
      </c>
      <c r="F217" s="3">
        <v>0</v>
      </c>
      <c r="G217" s="3">
        <v>0</v>
      </c>
      <c r="H217" s="2">
        <v>0</v>
      </c>
    </row>
    <row r="218" spans="1:8" x14ac:dyDescent="0.2">
      <c r="A218" s="2" t="s">
        <v>369</v>
      </c>
      <c r="B218" s="2" t="s">
        <v>370</v>
      </c>
      <c r="C218" s="2" t="s">
        <v>25</v>
      </c>
      <c r="D218" s="3">
        <v>3.11</v>
      </c>
      <c r="E218" s="3">
        <v>3.05</v>
      </c>
      <c r="F218" s="3">
        <v>7.0000000000000007E-2</v>
      </c>
      <c r="G218" s="3">
        <v>0</v>
      </c>
      <c r="H218" s="2">
        <v>1</v>
      </c>
    </row>
    <row r="219" spans="1:8" x14ac:dyDescent="0.2">
      <c r="A219" s="2" t="s">
        <v>371</v>
      </c>
      <c r="B219" s="2" t="s">
        <v>372</v>
      </c>
      <c r="C219" s="2" t="s">
        <v>154</v>
      </c>
      <c r="D219" s="3">
        <v>0.27</v>
      </c>
      <c r="E219" s="3">
        <v>0.27</v>
      </c>
      <c r="F219" s="3">
        <v>0</v>
      </c>
      <c r="G219" s="3">
        <v>0</v>
      </c>
      <c r="H219" s="2">
        <v>0</v>
      </c>
    </row>
    <row r="220" spans="1:8" x14ac:dyDescent="0.2">
      <c r="A220" s="2" t="s">
        <v>373</v>
      </c>
      <c r="B220" s="2" t="s">
        <v>374</v>
      </c>
      <c r="C220" s="2" t="s">
        <v>22</v>
      </c>
      <c r="D220" s="3">
        <v>17.07</v>
      </c>
      <c r="E220" s="3">
        <v>3.94</v>
      </c>
      <c r="F220" s="3">
        <v>13.13</v>
      </c>
      <c r="G220" s="3">
        <v>0</v>
      </c>
      <c r="H220" s="2">
        <v>3</v>
      </c>
    </row>
    <row r="221" spans="1:8" x14ac:dyDescent="0.2">
      <c r="A221" s="2" t="s">
        <v>375</v>
      </c>
      <c r="B221" s="2" t="s">
        <v>376</v>
      </c>
      <c r="C221" s="2" t="s">
        <v>25</v>
      </c>
      <c r="D221" s="3">
        <v>0.15</v>
      </c>
      <c r="E221" s="3">
        <v>0.15</v>
      </c>
      <c r="F221" s="3">
        <v>0</v>
      </c>
      <c r="G221" s="3">
        <v>0</v>
      </c>
      <c r="H221" s="2">
        <v>0</v>
      </c>
    </row>
    <row r="222" spans="1:8" x14ac:dyDescent="0.2">
      <c r="A222" s="2" t="s">
        <v>377</v>
      </c>
      <c r="B222" s="2" t="s">
        <v>376</v>
      </c>
      <c r="C222" s="2" t="s">
        <v>25</v>
      </c>
      <c r="D222" s="3">
        <v>0.14000000000000001</v>
      </c>
      <c r="E222" s="3">
        <v>0.14000000000000001</v>
      </c>
      <c r="F222" s="3">
        <v>0</v>
      </c>
      <c r="G222" s="3">
        <v>0</v>
      </c>
      <c r="H222" s="2">
        <v>0</v>
      </c>
    </row>
    <row r="223" spans="1:8" x14ac:dyDescent="0.2">
      <c r="A223" s="2" t="s">
        <v>378</v>
      </c>
      <c r="B223" s="2" t="s">
        <v>376</v>
      </c>
      <c r="C223" s="2" t="s">
        <v>25</v>
      </c>
      <c r="D223" s="3">
        <v>0.14000000000000001</v>
      </c>
      <c r="E223" s="3">
        <v>0.14000000000000001</v>
      </c>
      <c r="F223" s="3">
        <v>0</v>
      </c>
      <c r="G223" s="3">
        <v>0</v>
      </c>
      <c r="H223" s="2">
        <v>0</v>
      </c>
    </row>
    <row r="224" spans="1:8" x14ac:dyDescent="0.2">
      <c r="A224" s="2" t="s">
        <v>379</v>
      </c>
      <c r="B224" s="2" t="s">
        <v>380</v>
      </c>
      <c r="C224" s="2" t="s">
        <v>104</v>
      </c>
      <c r="D224" s="3">
        <v>11.27</v>
      </c>
      <c r="E224" s="3">
        <v>5.05</v>
      </c>
      <c r="F224" s="3">
        <v>6.22</v>
      </c>
      <c r="G224" s="3">
        <v>0</v>
      </c>
      <c r="H224" s="2">
        <v>3</v>
      </c>
    </row>
    <row r="225" spans="1:8" x14ac:dyDescent="0.2">
      <c r="A225" s="2" t="s">
        <v>381</v>
      </c>
      <c r="B225" s="2" t="s">
        <v>372</v>
      </c>
      <c r="C225" s="2" t="s">
        <v>154</v>
      </c>
      <c r="D225" s="3">
        <v>0.26</v>
      </c>
      <c r="E225" s="3">
        <v>0.26</v>
      </c>
      <c r="F225" s="3">
        <v>0</v>
      </c>
      <c r="G225" s="3">
        <v>0</v>
      </c>
      <c r="H225" s="2">
        <v>0</v>
      </c>
    </row>
    <row r="226" spans="1:8" x14ac:dyDescent="0.2">
      <c r="A226" s="2" t="s">
        <v>382</v>
      </c>
      <c r="B226" s="2" t="s">
        <v>376</v>
      </c>
      <c r="C226" s="2" t="s">
        <v>25</v>
      </c>
      <c r="D226" s="3">
        <v>0.14000000000000001</v>
      </c>
      <c r="E226" s="3">
        <v>0.14000000000000001</v>
      </c>
      <c r="F226" s="3">
        <v>0</v>
      </c>
      <c r="G226" s="3">
        <v>0</v>
      </c>
      <c r="H226" s="2">
        <v>0</v>
      </c>
    </row>
    <row r="227" spans="1:8" x14ac:dyDescent="0.2">
      <c r="A227" s="2" t="s">
        <v>383</v>
      </c>
      <c r="B227" s="2" t="s">
        <v>372</v>
      </c>
      <c r="C227" s="2" t="s">
        <v>154</v>
      </c>
      <c r="D227" s="3">
        <v>0.26</v>
      </c>
      <c r="E227" s="3">
        <v>0.26</v>
      </c>
      <c r="F227" s="3">
        <v>0</v>
      </c>
      <c r="G227" s="3">
        <v>0</v>
      </c>
      <c r="H227" s="2">
        <v>0</v>
      </c>
    </row>
    <row r="228" spans="1:8" x14ac:dyDescent="0.2">
      <c r="A228" s="2" t="s">
        <v>384</v>
      </c>
      <c r="B228" s="2" t="s">
        <v>372</v>
      </c>
      <c r="C228" s="2" t="s">
        <v>154</v>
      </c>
      <c r="D228" s="3">
        <v>0.26</v>
      </c>
      <c r="E228" s="3">
        <v>0.26</v>
      </c>
      <c r="F228" s="3">
        <v>0</v>
      </c>
      <c r="G228" s="3">
        <v>0</v>
      </c>
      <c r="H228" s="2">
        <v>0</v>
      </c>
    </row>
    <row r="229" spans="1:8" x14ac:dyDescent="0.2">
      <c r="A229" s="2" t="s">
        <v>385</v>
      </c>
      <c r="B229" s="2" t="s">
        <v>372</v>
      </c>
      <c r="C229" s="2" t="s">
        <v>154</v>
      </c>
      <c r="D229" s="3">
        <v>0.25</v>
      </c>
      <c r="E229" s="3">
        <v>0.25</v>
      </c>
      <c r="F229" s="3">
        <v>0</v>
      </c>
      <c r="G229" s="3">
        <v>0</v>
      </c>
      <c r="H229" s="2">
        <v>0</v>
      </c>
    </row>
    <row r="230" spans="1:8" x14ac:dyDescent="0.2">
      <c r="A230" s="2" t="s">
        <v>386</v>
      </c>
      <c r="B230" s="2" t="s">
        <v>387</v>
      </c>
      <c r="C230" s="2" t="s">
        <v>28</v>
      </c>
      <c r="D230" s="3">
        <v>10.220000000000001</v>
      </c>
      <c r="E230" s="3">
        <v>0.26</v>
      </c>
      <c r="F230" s="3">
        <v>0</v>
      </c>
      <c r="G230" s="3">
        <v>9.9600000000000009</v>
      </c>
      <c r="H230" s="2">
        <v>0</v>
      </c>
    </row>
    <row r="231" spans="1:8" x14ac:dyDescent="0.2">
      <c r="A231" s="2" t="s">
        <v>388</v>
      </c>
      <c r="B231" s="2" t="s">
        <v>389</v>
      </c>
      <c r="C231" s="2" t="s">
        <v>154</v>
      </c>
      <c r="D231" s="3">
        <v>1.1000000000000001</v>
      </c>
      <c r="E231" s="3">
        <v>1.1000000000000001</v>
      </c>
      <c r="F231" s="3">
        <v>0</v>
      </c>
      <c r="G231" s="3">
        <v>0</v>
      </c>
      <c r="H231" s="2">
        <v>0</v>
      </c>
    </row>
    <row r="232" spans="1:8" x14ac:dyDescent="0.2">
      <c r="A232" s="2" t="s">
        <v>390</v>
      </c>
      <c r="B232" s="2" t="s">
        <v>391</v>
      </c>
      <c r="C232" s="2" t="s">
        <v>57</v>
      </c>
      <c r="D232" s="3">
        <v>0.01</v>
      </c>
      <c r="E232" s="3">
        <v>0.01</v>
      </c>
      <c r="F232" s="3">
        <v>0</v>
      </c>
      <c r="G232" s="3">
        <v>0</v>
      </c>
      <c r="H232" s="2">
        <v>0</v>
      </c>
    </row>
    <row r="233" spans="1:8" x14ac:dyDescent="0.2">
      <c r="A233" s="2" t="s">
        <v>392</v>
      </c>
      <c r="B233" s="2" t="s">
        <v>391</v>
      </c>
      <c r="C233" s="2" t="s">
        <v>57</v>
      </c>
      <c r="D233" s="3">
        <v>0.01</v>
      </c>
      <c r="E233" s="3">
        <v>0.01</v>
      </c>
      <c r="F233" s="3">
        <v>0</v>
      </c>
      <c r="G233" s="3">
        <v>0</v>
      </c>
      <c r="H233" s="2">
        <v>0</v>
      </c>
    </row>
    <row r="234" spans="1:8" x14ac:dyDescent="0.2">
      <c r="A234" s="2" t="s">
        <v>393</v>
      </c>
      <c r="B234" s="2" t="s">
        <v>372</v>
      </c>
      <c r="C234" s="2" t="s">
        <v>154</v>
      </c>
      <c r="D234" s="3">
        <v>0.24</v>
      </c>
      <c r="E234" s="3">
        <v>0.24</v>
      </c>
      <c r="F234" s="3">
        <v>0</v>
      </c>
      <c r="G234" s="3">
        <v>0</v>
      </c>
      <c r="H234" s="2">
        <v>0</v>
      </c>
    </row>
    <row r="235" spans="1:8" x14ac:dyDescent="0.2">
      <c r="A235" s="2" t="s">
        <v>394</v>
      </c>
      <c r="B235" s="2" t="s">
        <v>372</v>
      </c>
      <c r="C235" s="2" t="s">
        <v>154</v>
      </c>
      <c r="D235" s="3">
        <v>0.24</v>
      </c>
      <c r="E235" s="3">
        <v>0.24</v>
      </c>
      <c r="F235" s="3">
        <v>0</v>
      </c>
      <c r="G235" s="3">
        <v>0</v>
      </c>
      <c r="H235" s="2">
        <v>0</v>
      </c>
    </row>
    <row r="236" spans="1:8" x14ac:dyDescent="0.2">
      <c r="A236" s="2" t="s">
        <v>395</v>
      </c>
      <c r="B236" s="2" t="s">
        <v>193</v>
      </c>
      <c r="C236" s="2" t="s">
        <v>66</v>
      </c>
      <c r="D236" s="3">
        <v>0.17</v>
      </c>
      <c r="E236" s="3">
        <v>0.17</v>
      </c>
      <c r="F236" s="3">
        <v>0</v>
      </c>
      <c r="G236" s="3">
        <v>0</v>
      </c>
      <c r="H236" s="2">
        <v>0</v>
      </c>
    </row>
    <row r="237" spans="1:8" x14ac:dyDescent="0.2">
      <c r="A237" s="2" t="s">
        <v>396</v>
      </c>
      <c r="B237" s="2" t="s">
        <v>397</v>
      </c>
      <c r="C237" s="2" t="s">
        <v>154</v>
      </c>
      <c r="D237" s="3">
        <v>3.1</v>
      </c>
      <c r="E237" s="3">
        <v>3.1</v>
      </c>
      <c r="F237" s="3">
        <v>0</v>
      </c>
      <c r="G237" s="3">
        <v>0</v>
      </c>
      <c r="H237" s="2">
        <v>0</v>
      </c>
    </row>
    <row r="238" spans="1:8" x14ac:dyDescent="0.2">
      <c r="A238" s="2" t="s">
        <v>398</v>
      </c>
      <c r="B238" s="2" t="s">
        <v>389</v>
      </c>
      <c r="C238" s="2" t="s">
        <v>154</v>
      </c>
      <c r="D238" s="3">
        <v>1.07</v>
      </c>
      <c r="E238" s="3">
        <v>1.07</v>
      </c>
      <c r="F238" s="3">
        <v>0</v>
      </c>
      <c r="G238" s="3">
        <v>0</v>
      </c>
      <c r="H238" s="2">
        <v>0</v>
      </c>
    </row>
    <row r="239" spans="1:8" x14ac:dyDescent="0.2">
      <c r="A239" s="2" t="s">
        <v>399</v>
      </c>
      <c r="B239" s="2" t="s">
        <v>400</v>
      </c>
      <c r="C239" s="2" t="s">
        <v>25</v>
      </c>
      <c r="D239" s="3">
        <v>3.11</v>
      </c>
      <c r="E239" s="3">
        <v>1.05</v>
      </c>
      <c r="F239" s="3">
        <v>2.06</v>
      </c>
      <c r="G239" s="3">
        <v>0</v>
      </c>
      <c r="H239" s="2">
        <v>1</v>
      </c>
    </row>
    <row r="240" spans="1:8" x14ac:dyDescent="0.2">
      <c r="A240" s="2" t="s">
        <v>401</v>
      </c>
      <c r="B240" s="2" t="s">
        <v>389</v>
      </c>
      <c r="C240" s="2" t="s">
        <v>154</v>
      </c>
      <c r="D240" s="3">
        <v>1.06</v>
      </c>
      <c r="E240" s="3">
        <v>1.06</v>
      </c>
      <c r="F240" s="3">
        <v>0</v>
      </c>
      <c r="G240" s="3">
        <v>0</v>
      </c>
      <c r="H240" s="2">
        <v>0</v>
      </c>
    </row>
    <row r="241" spans="1:8" x14ac:dyDescent="0.2">
      <c r="A241" s="2" t="s">
        <v>402</v>
      </c>
      <c r="B241" s="2" t="s">
        <v>403</v>
      </c>
      <c r="C241" s="2" t="s">
        <v>25</v>
      </c>
      <c r="D241" s="3">
        <v>4.07</v>
      </c>
      <c r="E241" s="3">
        <v>2.1800000000000002</v>
      </c>
      <c r="F241" s="3">
        <v>1.9</v>
      </c>
      <c r="G241" s="3">
        <v>0</v>
      </c>
      <c r="H241" s="2">
        <v>1</v>
      </c>
    </row>
    <row r="242" spans="1:8" x14ac:dyDescent="0.2">
      <c r="A242" s="2" t="s">
        <v>404</v>
      </c>
      <c r="B242" s="2" t="s">
        <v>405</v>
      </c>
      <c r="C242" s="2" t="s">
        <v>25</v>
      </c>
      <c r="D242" s="3">
        <v>3.25</v>
      </c>
      <c r="E242" s="3">
        <v>2.38</v>
      </c>
      <c r="F242" s="3">
        <v>0.88</v>
      </c>
      <c r="G242" s="3">
        <v>0</v>
      </c>
      <c r="H242" s="2">
        <v>3</v>
      </c>
    </row>
    <row r="243" spans="1:8" x14ac:dyDescent="0.2">
      <c r="A243" s="2" t="s">
        <v>406</v>
      </c>
      <c r="B243" s="2" t="s">
        <v>407</v>
      </c>
      <c r="C243" s="2" t="s">
        <v>74</v>
      </c>
      <c r="D243" s="3">
        <v>0</v>
      </c>
      <c r="E243" s="3">
        <v>0</v>
      </c>
      <c r="F243" s="3">
        <v>0</v>
      </c>
      <c r="G243" s="3">
        <v>0</v>
      </c>
      <c r="H243" s="2">
        <v>0</v>
      </c>
    </row>
    <row r="244" spans="1:8" x14ac:dyDescent="0.2">
      <c r="A244" s="2" t="s">
        <v>408</v>
      </c>
      <c r="B244" s="2" t="s">
        <v>349</v>
      </c>
      <c r="C244" s="2" t="s">
        <v>74</v>
      </c>
      <c r="D244" s="3">
        <v>1.94</v>
      </c>
      <c r="E244" s="3">
        <v>1.94</v>
      </c>
      <c r="F244" s="3">
        <v>0</v>
      </c>
      <c r="G244" s="3">
        <v>0</v>
      </c>
      <c r="H244" s="2">
        <v>0</v>
      </c>
    </row>
    <row r="245" spans="1:8" x14ac:dyDescent="0.2">
      <c r="A245" s="2" t="s">
        <v>409</v>
      </c>
      <c r="B245" s="2" t="s">
        <v>410</v>
      </c>
      <c r="C245" s="2" t="s">
        <v>104</v>
      </c>
      <c r="D245" s="3">
        <v>0.03</v>
      </c>
      <c r="E245" s="3">
        <v>0.03</v>
      </c>
      <c r="F245" s="3">
        <v>0</v>
      </c>
      <c r="G245" s="3">
        <v>0</v>
      </c>
      <c r="H245" s="2">
        <v>0</v>
      </c>
    </row>
    <row r="246" spans="1:8" x14ac:dyDescent="0.2">
      <c r="A246" s="2" t="s">
        <v>411</v>
      </c>
      <c r="B246" s="2" t="s">
        <v>410</v>
      </c>
      <c r="C246" s="2" t="s">
        <v>104</v>
      </c>
      <c r="D246" s="3">
        <v>0.03</v>
      </c>
      <c r="E246" s="3">
        <v>0.03</v>
      </c>
      <c r="F246" s="3">
        <v>0</v>
      </c>
      <c r="G246" s="3">
        <v>0</v>
      </c>
      <c r="H246" s="2">
        <v>0</v>
      </c>
    </row>
    <row r="247" spans="1:8" x14ac:dyDescent="0.2">
      <c r="A247" s="2" t="s">
        <v>412</v>
      </c>
      <c r="B247" s="2" t="s">
        <v>413</v>
      </c>
      <c r="C247" s="2" t="s">
        <v>28</v>
      </c>
      <c r="D247" s="3">
        <v>2.23</v>
      </c>
      <c r="E247" s="3">
        <v>2.23</v>
      </c>
      <c r="F247" s="3">
        <v>0</v>
      </c>
      <c r="G247" s="3">
        <v>0</v>
      </c>
      <c r="H247" s="2">
        <v>0</v>
      </c>
    </row>
    <row r="248" spans="1:8" x14ac:dyDescent="0.2">
      <c r="A248" s="2" t="s">
        <v>414</v>
      </c>
      <c r="B248" s="2" t="s">
        <v>413</v>
      </c>
      <c r="C248" s="2" t="s">
        <v>25</v>
      </c>
      <c r="D248" s="3">
        <v>2.93</v>
      </c>
      <c r="E248" s="3">
        <v>0.98</v>
      </c>
      <c r="F248" s="3">
        <v>1.95</v>
      </c>
      <c r="G248" s="3">
        <v>0</v>
      </c>
      <c r="H248" s="2">
        <v>1</v>
      </c>
    </row>
    <row r="249" spans="1:8" x14ac:dyDescent="0.2">
      <c r="A249" s="2" t="s">
        <v>415</v>
      </c>
      <c r="B249" s="2" t="s">
        <v>389</v>
      </c>
      <c r="C249" s="2" t="s">
        <v>154</v>
      </c>
      <c r="D249" s="3">
        <v>3.06</v>
      </c>
      <c r="E249" s="3">
        <v>3.06</v>
      </c>
      <c r="F249" s="3">
        <v>0</v>
      </c>
      <c r="G249" s="3">
        <v>0</v>
      </c>
      <c r="H249" s="2">
        <v>0</v>
      </c>
    </row>
    <row r="250" spans="1:8" x14ac:dyDescent="0.2">
      <c r="A250" s="2" t="s">
        <v>416</v>
      </c>
      <c r="B250" s="2" t="s">
        <v>417</v>
      </c>
      <c r="C250" s="2" t="s">
        <v>22</v>
      </c>
      <c r="D250" s="3">
        <v>7.12</v>
      </c>
      <c r="E250" s="3">
        <v>2.2200000000000002</v>
      </c>
      <c r="F250" s="3">
        <v>0</v>
      </c>
      <c r="G250" s="3">
        <v>4.9000000000000004</v>
      </c>
      <c r="H250" s="2">
        <v>0</v>
      </c>
    </row>
    <row r="251" spans="1:8" x14ac:dyDescent="0.2">
      <c r="A251" s="2" t="s">
        <v>418</v>
      </c>
      <c r="B251" s="2" t="s">
        <v>372</v>
      </c>
      <c r="C251" s="2" t="s">
        <v>154</v>
      </c>
      <c r="D251" s="3">
        <v>0.2</v>
      </c>
      <c r="E251" s="3">
        <v>0.2</v>
      </c>
      <c r="F251" s="3">
        <v>0</v>
      </c>
      <c r="G251" s="3">
        <v>0</v>
      </c>
      <c r="H251" s="2">
        <v>0</v>
      </c>
    </row>
    <row r="252" spans="1:8" x14ac:dyDescent="0.2">
      <c r="A252" s="2" t="s">
        <v>419</v>
      </c>
      <c r="B252" s="2" t="s">
        <v>420</v>
      </c>
      <c r="C252" s="2" t="s">
        <v>25</v>
      </c>
      <c r="D252" s="3">
        <v>8.8699999999999992</v>
      </c>
      <c r="E252" s="3">
        <v>0.65</v>
      </c>
      <c r="F252" s="3">
        <v>8.2200000000000006</v>
      </c>
      <c r="G252" s="3">
        <v>0</v>
      </c>
      <c r="H252" s="2">
        <v>2</v>
      </c>
    </row>
    <row r="253" spans="1:8" x14ac:dyDescent="0.2">
      <c r="A253" s="2" t="s">
        <v>421</v>
      </c>
      <c r="B253" s="2" t="s">
        <v>372</v>
      </c>
      <c r="C253" s="2" t="s">
        <v>154</v>
      </c>
      <c r="D253" s="3">
        <v>0.21</v>
      </c>
      <c r="E253" s="3">
        <v>0.21</v>
      </c>
      <c r="F253" s="3">
        <v>0</v>
      </c>
      <c r="G253" s="3">
        <v>0</v>
      </c>
      <c r="H253" s="2">
        <v>0</v>
      </c>
    </row>
    <row r="254" spans="1:8" x14ac:dyDescent="0.2">
      <c r="A254" s="2" t="s">
        <v>422</v>
      </c>
      <c r="B254" s="2" t="s">
        <v>423</v>
      </c>
      <c r="C254" s="2" t="s">
        <v>22</v>
      </c>
      <c r="D254" s="3">
        <v>6.88</v>
      </c>
      <c r="E254" s="3">
        <v>6.78</v>
      </c>
      <c r="F254" s="3">
        <v>0.1</v>
      </c>
      <c r="G254" s="3">
        <v>0</v>
      </c>
      <c r="H254" s="2">
        <v>1</v>
      </c>
    </row>
    <row r="255" spans="1:8" x14ac:dyDescent="0.2">
      <c r="A255" s="2" t="s">
        <v>424</v>
      </c>
      <c r="B255" s="2" t="s">
        <v>425</v>
      </c>
      <c r="C255" s="2" t="s">
        <v>25</v>
      </c>
      <c r="D255" s="3">
        <v>37.020000000000003</v>
      </c>
      <c r="E255" s="3">
        <v>2.73</v>
      </c>
      <c r="F255" s="3">
        <v>2.23</v>
      </c>
      <c r="G255" s="3">
        <v>32.06</v>
      </c>
      <c r="H255" s="2">
        <v>2</v>
      </c>
    </row>
    <row r="256" spans="1:8" x14ac:dyDescent="0.2">
      <c r="A256" s="2" t="s">
        <v>426</v>
      </c>
      <c r="B256" s="2" t="s">
        <v>119</v>
      </c>
      <c r="C256" s="2" t="s">
        <v>57</v>
      </c>
      <c r="D256" s="3">
        <v>0.87</v>
      </c>
      <c r="E256" s="3">
        <v>0.87</v>
      </c>
      <c r="F256" s="3">
        <v>0</v>
      </c>
      <c r="G256" s="3">
        <v>0</v>
      </c>
      <c r="H256" s="2">
        <v>0</v>
      </c>
    </row>
    <row r="257" spans="1:8" x14ac:dyDescent="0.2">
      <c r="A257" s="2" t="s">
        <v>427</v>
      </c>
      <c r="B257" s="2" t="s">
        <v>124</v>
      </c>
      <c r="C257" s="2" t="s">
        <v>74</v>
      </c>
      <c r="D257" s="3">
        <v>2.12</v>
      </c>
      <c r="E257" s="3">
        <v>2.12</v>
      </c>
      <c r="F257" s="3">
        <v>0</v>
      </c>
      <c r="G257" s="3">
        <v>0</v>
      </c>
      <c r="H257" s="2">
        <v>0</v>
      </c>
    </row>
    <row r="258" spans="1:8" x14ac:dyDescent="0.2">
      <c r="A258" s="2" t="s">
        <v>428</v>
      </c>
      <c r="B258" s="2" t="s">
        <v>429</v>
      </c>
      <c r="C258" s="2" t="s">
        <v>49</v>
      </c>
      <c r="D258" s="3">
        <v>9.0299999999999994</v>
      </c>
      <c r="E258" s="3">
        <v>3.27</v>
      </c>
      <c r="F258" s="3">
        <v>5.76</v>
      </c>
      <c r="G258" s="3">
        <v>0</v>
      </c>
      <c r="H258" s="2">
        <v>2</v>
      </c>
    </row>
    <row r="259" spans="1:8" x14ac:dyDescent="0.2">
      <c r="A259" s="2" t="s">
        <v>430</v>
      </c>
      <c r="B259" s="2" t="s">
        <v>431</v>
      </c>
      <c r="C259" s="2" t="s">
        <v>25</v>
      </c>
      <c r="D259" s="3">
        <v>11.01</v>
      </c>
      <c r="E259" s="3">
        <v>1.1200000000000001</v>
      </c>
      <c r="F259" s="3">
        <v>8.92</v>
      </c>
      <c r="G259" s="3">
        <v>0.98</v>
      </c>
      <c r="H259" s="2">
        <v>3</v>
      </c>
    </row>
    <row r="260" spans="1:8" x14ac:dyDescent="0.2">
      <c r="A260" s="2" t="s">
        <v>432</v>
      </c>
      <c r="B260" s="2" t="s">
        <v>124</v>
      </c>
      <c r="C260" s="2" t="s">
        <v>104</v>
      </c>
      <c r="D260" s="3">
        <v>1.1200000000000001</v>
      </c>
      <c r="E260" s="3">
        <v>1.1200000000000001</v>
      </c>
      <c r="F260" s="3">
        <v>0</v>
      </c>
      <c r="G260" s="3">
        <v>0</v>
      </c>
      <c r="H260" s="2">
        <v>0</v>
      </c>
    </row>
    <row r="261" spans="1:8" x14ac:dyDescent="0.2">
      <c r="A261" s="2" t="s">
        <v>433</v>
      </c>
      <c r="B261" s="2" t="s">
        <v>165</v>
      </c>
      <c r="C261" s="2" t="s">
        <v>122</v>
      </c>
      <c r="D261" s="3">
        <v>3.08</v>
      </c>
      <c r="E261" s="3">
        <v>1.92</v>
      </c>
      <c r="F261" s="3">
        <v>0</v>
      </c>
      <c r="G261" s="3">
        <v>1.1599999999999999</v>
      </c>
      <c r="H261" s="2">
        <v>0</v>
      </c>
    </row>
    <row r="262" spans="1:8" x14ac:dyDescent="0.2">
      <c r="A262" s="2" t="s">
        <v>434</v>
      </c>
      <c r="B262" s="2" t="s">
        <v>435</v>
      </c>
      <c r="C262" s="2" t="s">
        <v>92</v>
      </c>
      <c r="D262" s="3">
        <v>0.1</v>
      </c>
      <c r="E262" s="3">
        <v>0.1</v>
      </c>
      <c r="F262" s="3">
        <v>0</v>
      </c>
      <c r="G262" s="3">
        <v>0</v>
      </c>
      <c r="H262" s="2">
        <v>0</v>
      </c>
    </row>
    <row r="263" spans="1:8" x14ac:dyDescent="0.2">
      <c r="A263" s="2" t="s">
        <v>436</v>
      </c>
      <c r="B263" s="2" t="s">
        <v>437</v>
      </c>
      <c r="C263" s="2" t="s">
        <v>49</v>
      </c>
      <c r="D263" s="3">
        <v>4.13</v>
      </c>
      <c r="E263" s="3">
        <v>2.94</v>
      </c>
      <c r="F263" s="3">
        <v>1.19</v>
      </c>
      <c r="G263" s="3">
        <v>0</v>
      </c>
      <c r="H263" s="2">
        <v>1</v>
      </c>
    </row>
    <row r="264" spans="1:8" x14ac:dyDescent="0.2">
      <c r="A264" s="2" t="s">
        <v>438</v>
      </c>
      <c r="B264" s="2" t="s">
        <v>439</v>
      </c>
      <c r="C264" s="2" t="s">
        <v>22</v>
      </c>
      <c r="D264" s="3">
        <v>7.05</v>
      </c>
      <c r="E264" s="3">
        <v>2.97</v>
      </c>
      <c r="F264" s="3">
        <v>4.08</v>
      </c>
      <c r="G264" s="3">
        <v>0</v>
      </c>
      <c r="H264" s="2">
        <v>1</v>
      </c>
    </row>
    <row r="265" spans="1:8" x14ac:dyDescent="0.2">
      <c r="A265" s="2" t="s">
        <v>440</v>
      </c>
      <c r="B265" s="2" t="s">
        <v>441</v>
      </c>
      <c r="C265" s="2" t="s">
        <v>25</v>
      </c>
      <c r="D265" s="3">
        <v>2.1800000000000002</v>
      </c>
      <c r="E265" s="3">
        <v>2.1800000000000002</v>
      </c>
      <c r="F265" s="3">
        <v>0</v>
      </c>
      <c r="G265" s="3">
        <v>0</v>
      </c>
      <c r="H265" s="2">
        <v>0</v>
      </c>
    </row>
    <row r="266" spans="1:8" x14ac:dyDescent="0.2">
      <c r="A266" s="2" t="s">
        <v>442</v>
      </c>
      <c r="B266" s="2" t="s">
        <v>443</v>
      </c>
      <c r="C266" s="2" t="s">
        <v>25</v>
      </c>
      <c r="D266" s="3">
        <v>21.15</v>
      </c>
      <c r="E266" s="3">
        <v>16</v>
      </c>
      <c r="F266" s="3">
        <v>3.1</v>
      </c>
      <c r="G266" s="3">
        <v>2.0499999999999998</v>
      </c>
      <c r="H266" s="2">
        <v>3</v>
      </c>
    </row>
    <row r="267" spans="1:8" x14ac:dyDescent="0.2">
      <c r="A267" s="2" t="s">
        <v>444</v>
      </c>
      <c r="B267" s="2" t="s">
        <v>445</v>
      </c>
      <c r="C267" s="2" t="s">
        <v>104</v>
      </c>
      <c r="D267" s="3">
        <v>0.18</v>
      </c>
      <c r="E267" s="3">
        <v>0.18</v>
      </c>
      <c r="F267" s="3">
        <v>0</v>
      </c>
      <c r="G267" s="3">
        <v>0</v>
      </c>
      <c r="H267" s="2">
        <v>0</v>
      </c>
    </row>
    <row r="268" spans="1:8" x14ac:dyDescent="0.2">
      <c r="A268" s="2" t="s">
        <v>446</v>
      </c>
      <c r="B268" s="2" t="s">
        <v>447</v>
      </c>
      <c r="C268" s="2" t="s">
        <v>25</v>
      </c>
      <c r="D268" s="3">
        <v>8.8699999999999992</v>
      </c>
      <c r="E268" s="3">
        <v>4.03</v>
      </c>
      <c r="F268" s="3">
        <v>0</v>
      </c>
      <c r="G268" s="3">
        <v>4.84</v>
      </c>
      <c r="H268" s="2">
        <v>0</v>
      </c>
    </row>
    <row r="269" spans="1:8" x14ac:dyDescent="0.2">
      <c r="A269" s="2" t="s">
        <v>448</v>
      </c>
      <c r="B269" s="2" t="s">
        <v>449</v>
      </c>
      <c r="C269" s="2" t="s">
        <v>104</v>
      </c>
      <c r="D269" s="3">
        <v>0.01</v>
      </c>
      <c r="E269" s="3">
        <v>0.01</v>
      </c>
      <c r="F269" s="3">
        <v>0</v>
      </c>
      <c r="G269" s="3">
        <v>0</v>
      </c>
      <c r="H269" s="2">
        <v>0</v>
      </c>
    </row>
    <row r="270" spans="1:8" x14ac:dyDescent="0.2">
      <c r="A270" s="2" t="s">
        <v>450</v>
      </c>
      <c r="B270" s="2" t="s">
        <v>445</v>
      </c>
      <c r="C270" s="2" t="s">
        <v>104</v>
      </c>
      <c r="D270" s="3">
        <v>0.17</v>
      </c>
      <c r="E270" s="3">
        <v>0.17</v>
      </c>
      <c r="F270" s="3">
        <v>0</v>
      </c>
      <c r="G270" s="3">
        <v>0</v>
      </c>
      <c r="H270" s="2">
        <v>0</v>
      </c>
    </row>
    <row r="271" spans="1:8" x14ac:dyDescent="0.2">
      <c r="A271" s="2" t="s">
        <v>451</v>
      </c>
      <c r="B271" s="2" t="s">
        <v>452</v>
      </c>
      <c r="C271" s="2" t="s">
        <v>25</v>
      </c>
      <c r="D271" s="3">
        <v>3.05</v>
      </c>
      <c r="E271" s="3">
        <v>0.28000000000000003</v>
      </c>
      <c r="F271" s="3">
        <v>2.77</v>
      </c>
      <c r="G271" s="3">
        <v>0</v>
      </c>
      <c r="H271" s="2">
        <v>1</v>
      </c>
    </row>
    <row r="272" spans="1:8" x14ac:dyDescent="0.2">
      <c r="A272" s="2" t="s">
        <v>453</v>
      </c>
      <c r="B272" s="2" t="s">
        <v>445</v>
      </c>
      <c r="C272" s="2" t="s">
        <v>104</v>
      </c>
      <c r="D272" s="3">
        <v>2.74</v>
      </c>
      <c r="E272" s="3">
        <v>2.74</v>
      </c>
      <c r="F272" s="3">
        <v>0</v>
      </c>
      <c r="G272" s="3">
        <v>0</v>
      </c>
      <c r="H272" s="2">
        <v>0</v>
      </c>
    </row>
    <row r="273" spans="1:8" x14ac:dyDescent="0.2">
      <c r="A273" s="2" t="s">
        <v>454</v>
      </c>
      <c r="B273" s="2" t="s">
        <v>445</v>
      </c>
      <c r="C273" s="2" t="s">
        <v>104</v>
      </c>
      <c r="D273" s="3">
        <v>2.8</v>
      </c>
      <c r="E273" s="3">
        <v>2.8</v>
      </c>
      <c r="F273" s="3">
        <v>0</v>
      </c>
      <c r="G273" s="3">
        <v>0</v>
      </c>
      <c r="H273" s="2">
        <v>0</v>
      </c>
    </row>
    <row r="274" spans="1:8" x14ac:dyDescent="0.2">
      <c r="A274" s="2" t="s">
        <v>455</v>
      </c>
      <c r="B274" s="2" t="s">
        <v>445</v>
      </c>
      <c r="C274" s="2" t="s">
        <v>104</v>
      </c>
      <c r="D274" s="3">
        <v>0.17</v>
      </c>
      <c r="E274" s="3">
        <v>0.17</v>
      </c>
      <c r="F274" s="3">
        <v>0</v>
      </c>
      <c r="G274" s="3">
        <v>0</v>
      </c>
      <c r="H274" s="2">
        <v>0</v>
      </c>
    </row>
    <row r="275" spans="1:8" x14ac:dyDescent="0.2">
      <c r="A275" s="2" t="s">
        <v>456</v>
      </c>
      <c r="B275" s="2" t="s">
        <v>163</v>
      </c>
      <c r="C275" s="2" t="s">
        <v>104</v>
      </c>
      <c r="D275" s="3">
        <v>0</v>
      </c>
      <c r="E275" s="3">
        <v>0</v>
      </c>
      <c r="F275" s="3">
        <v>0</v>
      </c>
      <c r="G275" s="3">
        <v>0</v>
      </c>
      <c r="H275" s="2">
        <v>0</v>
      </c>
    </row>
    <row r="276" spans="1:8" x14ac:dyDescent="0.2">
      <c r="A276" s="2" t="s">
        <v>457</v>
      </c>
      <c r="B276" s="2" t="s">
        <v>458</v>
      </c>
      <c r="C276" s="2" t="s">
        <v>25</v>
      </c>
      <c r="D276" s="3">
        <v>17.14</v>
      </c>
      <c r="E276" s="3">
        <v>2.0499999999999998</v>
      </c>
      <c r="F276" s="3">
        <v>13.23</v>
      </c>
      <c r="G276" s="3">
        <v>1.86</v>
      </c>
      <c r="H276" s="2">
        <v>3</v>
      </c>
    </row>
    <row r="277" spans="1:8" x14ac:dyDescent="0.2">
      <c r="A277" s="2" t="s">
        <v>459</v>
      </c>
      <c r="B277" s="2" t="s">
        <v>460</v>
      </c>
      <c r="C277" s="2" t="s">
        <v>154</v>
      </c>
      <c r="D277" s="3">
        <v>1.18</v>
      </c>
      <c r="E277" s="3">
        <v>1.18</v>
      </c>
      <c r="F277" s="3">
        <v>0</v>
      </c>
      <c r="G277" s="3">
        <v>0</v>
      </c>
      <c r="H277" s="2">
        <v>0</v>
      </c>
    </row>
    <row r="278" spans="1:8" x14ac:dyDescent="0.2">
      <c r="A278" s="2" t="s">
        <v>461</v>
      </c>
      <c r="B278" s="2" t="s">
        <v>445</v>
      </c>
      <c r="C278" s="2" t="s">
        <v>104</v>
      </c>
      <c r="D278" s="3">
        <v>0.9</v>
      </c>
      <c r="E278" s="3">
        <v>0.9</v>
      </c>
      <c r="F278" s="3">
        <v>0</v>
      </c>
      <c r="G278" s="3">
        <v>0</v>
      </c>
      <c r="H278" s="2">
        <v>0</v>
      </c>
    </row>
    <row r="279" spans="1:8" x14ac:dyDescent="0.2">
      <c r="A279" s="2" t="s">
        <v>462</v>
      </c>
      <c r="B279" s="2" t="s">
        <v>463</v>
      </c>
      <c r="C279" s="2" t="s">
        <v>74</v>
      </c>
      <c r="D279" s="3">
        <v>2.1</v>
      </c>
      <c r="E279" s="3">
        <v>2.1</v>
      </c>
      <c r="F279" s="3">
        <v>0</v>
      </c>
      <c r="G279" s="3">
        <v>0</v>
      </c>
      <c r="H279" s="2">
        <v>0</v>
      </c>
    </row>
    <row r="280" spans="1:8" x14ac:dyDescent="0.2">
      <c r="A280" s="2" t="s">
        <v>464</v>
      </c>
      <c r="B280" s="2" t="s">
        <v>463</v>
      </c>
      <c r="C280" s="2" t="s">
        <v>74</v>
      </c>
      <c r="D280" s="3">
        <v>1.9</v>
      </c>
      <c r="E280" s="3">
        <v>1.9</v>
      </c>
      <c r="F280" s="3">
        <v>0</v>
      </c>
      <c r="G280" s="3">
        <v>0</v>
      </c>
      <c r="H280" s="2">
        <v>0</v>
      </c>
    </row>
    <row r="281" spans="1:8" x14ac:dyDescent="0.2">
      <c r="A281" s="2" t="s">
        <v>465</v>
      </c>
      <c r="B281" s="2" t="s">
        <v>48</v>
      </c>
      <c r="C281" s="2" t="s">
        <v>28</v>
      </c>
      <c r="D281" s="3">
        <v>0.14000000000000001</v>
      </c>
      <c r="E281" s="3">
        <v>0.14000000000000001</v>
      </c>
      <c r="F281" s="3">
        <v>0</v>
      </c>
      <c r="G281" s="3">
        <v>0</v>
      </c>
      <c r="H281" s="2">
        <v>0</v>
      </c>
    </row>
    <row r="282" spans="1:8" x14ac:dyDescent="0.2">
      <c r="A282" s="2" t="s">
        <v>466</v>
      </c>
      <c r="B282" s="2" t="s">
        <v>467</v>
      </c>
      <c r="C282" s="2" t="s">
        <v>468</v>
      </c>
      <c r="D282" s="3">
        <v>13.95</v>
      </c>
      <c r="E282" s="3">
        <v>7</v>
      </c>
      <c r="F282" s="3">
        <v>2.14</v>
      </c>
      <c r="G282" s="3">
        <v>4.82</v>
      </c>
      <c r="H282" s="2">
        <v>1</v>
      </c>
    </row>
    <row r="283" spans="1:8" x14ac:dyDescent="0.2">
      <c r="A283" s="2" t="s">
        <v>469</v>
      </c>
      <c r="B283" s="2" t="s">
        <v>199</v>
      </c>
      <c r="C283" s="2" t="s">
        <v>22</v>
      </c>
      <c r="D283" s="3">
        <v>0.92</v>
      </c>
      <c r="E283" s="3">
        <v>0.92</v>
      </c>
      <c r="F283" s="3">
        <v>0</v>
      </c>
      <c r="G283" s="3">
        <v>0</v>
      </c>
      <c r="H283" s="2">
        <v>0</v>
      </c>
    </row>
    <row r="284" spans="1:8" x14ac:dyDescent="0.2">
      <c r="A284" s="2" t="s">
        <v>470</v>
      </c>
      <c r="B284" s="2" t="s">
        <v>367</v>
      </c>
      <c r="C284" s="2" t="s">
        <v>104</v>
      </c>
      <c r="D284" s="3">
        <v>2.12</v>
      </c>
      <c r="E284" s="3">
        <v>2.12</v>
      </c>
      <c r="F284" s="3">
        <v>0</v>
      </c>
      <c r="G284" s="3">
        <v>0</v>
      </c>
      <c r="H284" s="2">
        <v>0</v>
      </c>
    </row>
    <row r="285" spans="1:8" x14ac:dyDescent="0.2">
      <c r="A285" s="2" t="s">
        <v>471</v>
      </c>
      <c r="B285" s="2" t="s">
        <v>80</v>
      </c>
      <c r="C285" s="2" t="s">
        <v>25</v>
      </c>
      <c r="D285" s="3">
        <v>3.87</v>
      </c>
      <c r="E285" s="3">
        <v>1.79</v>
      </c>
      <c r="F285" s="3">
        <v>1.07</v>
      </c>
      <c r="G285" s="3">
        <v>1.01</v>
      </c>
      <c r="H285" s="2">
        <v>1</v>
      </c>
    </row>
    <row r="286" spans="1:8" x14ac:dyDescent="0.2">
      <c r="A286" s="2" t="s">
        <v>472</v>
      </c>
      <c r="B286" s="2" t="s">
        <v>473</v>
      </c>
      <c r="C286" s="2" t="s">
        <v>74</v>
      </c>
      <c r="D286" s="3">
        <v>4.05</v>
      </c>
      <c r="E286" s="3">
        <v>2.94</v>
      </c>
      <c r="F286" s="3">
        <v>1.1100000000000001</v>
      </c>
      <c r="G286" s="3">
        <v>0</v>
      </c>
      <c r="H286" s="2">
        <v>1</v>
      </c>
    </row>
    <row r="287" spans="1:8" x14ac:dyDescent="0.2">
      <c r="A287" s="2" t="s">
        <v>474</v>
      </c>
      <c r="B287" s="2" t="s">
        <v>389</v>
      </c>
      <c r="C287" s="2" t="s">
        <v>154</v>
      </c>
      <c r="D287" s="3">
        <v>44.91</v>
      </c>
      <c r="E287" s="3">
        <v>6.7</v>
      </c>
      <c r="F287" s="3">
        <v>7.47</v>
      </c>
      <c r="G287" s="3">
        <v>30.75</v>
      </c>
      <c r="H287" s="2">
        <v>2</v>
      </c>
    </row>
    <row r="288" spans="1:8" x14ac:dyDescent="0.2">
      <c r="A288" s="2" t="s">
        <v>475</v>
      </c>
      <c r="B288" s="2" t="s">
        <v>389</v>
      </c>
      <c r="C288" s="2" t="s">
        <v>154</v>
      </c>
      <c r="D288" s="3">
        <v>44.89</v>
      </c>
      <c r="E288" s="3">
        <v>7.41</v>
      </c>
      <c r="F288" s="3">
        <v>7.47</v>
      </c>
      <c r="G288" s="3">
        <v>30.01</v>
      </c>
      <c r="H288" s="2">
        <v>2</v>
      </c>
    </row>
    <row r="289" spans="1:8" x14ac:dyDescent="0.2">
      <c r="A289" s="2" t="s">
        <v>476</v>
      </c>
      <c r="B289" s="2" t="s">
        <v>423</v>
      </c>
      <c r="C289" s="2" t="s">
        <v>49</v>
      </c>
      <c r="D289" s="3">
        <v>18.149999999999999</v>
      </c>
      <c r="E289" s="3">
        <v>4.07</v>
      </c>
      <c r="F289" s="3">
        <v>3.24</v>
      </c>
      <c r="G289" s="3">
        <v>10.84</v>
      </c>
      <c r="H289" s="2">
        <v>2</v>
      </c>
    </row>
    <row r="290" spans="1:8" x14ac:dyDescent="0.2">
      <c r="A290" s="2" t="s">
        <v>477</v>
      </c>
      <c r="B290" s="2" t="s">
        <v>389</v>
      </c>
      <c r="C290" s="2" t="s">
        <v>154</v>
      </c>
      <c r="D290" s="3">
        <v>44.89</v>
      </c>
      <c r="E290" s="3">
        <v>6.55</v>
      </c>
      <c r="F290" s="3">
        <v>7.47</v>
      </c>
      <c r="G290" s="3">
        <v>30.86</v>
      </c>
      <c r="H290" s="2">
        <v>2</v>
      </c>
    </row>
    <row r="291" spans="1:8" x14ac:dyDescent="0.2">
      <c r="A291" s="2" t="s">
        <v>478</v>
      </c>
      <c r="B291" s="2" t="s">
        <v>389</v>
      </c>
      <c r="C291" s="2" t="s">
        <v>154</v>
      </c>
      <c r="D291" s="3">
        <v>44.9</v>
      </c>
      <c r="E291" s="3">
        <v>7.43</v>
      </c>
      <c r="F291" s="3">
        <v>7.47</v>
      </c>
      <c r="G291" s="3">
        <v>30</v>
      </c>
      <c r="H291" s="2">
        <v>2</v>
      </c>
    </row>
    <row r="292" spans="1:8" x14ac:dyDescent="0.2">
      <c r="A292" s="2" t="s">
        <v>479</v>
      </c>
      <c r="B292" s="2" t="s">
        <v>188</v>
      </c>
      <c r="C292" s="2" t="s">
        <v>25</v>
      </c>
      <c r="D292" s="3">
        <v>10.119999999999999</v>
      </c>
      <c r="E292" s="3">
        <v>2.95</v>
      </c>
      <c r="F292" s="3">
        <v>7.17</v>
      </c>
      <c r="G292" s="3">
        <v>0</v>
      </c>
      <c r="H292" s="2">
        <v>3</v>
      </c>
    </row>
    <row r="293" spans="1:8" x14ac:dyDescent="0.2">
      <c r="A293" s="2" t="s">
        <v>480</v>
      </c>
      <c r="B293" s="2" t="s">
        <v>389</v>
      </c>
      <c r="C293" s="2" t="s">
        <v>154</v>
      </c>
      <c r="D293" s="3">
        <v>44.9</v>
      </c>
      <c r="E293" s="3">
        <v>7.42</v>
      </c>
      <c r="F293" s="3">
        <v>7.47</v>
      </c>
      <c r="G293" s="3">
        <v>30</v>
      </c>
      <c r="H293" s="2">
        <v>2</v>
      </c>
    </row>
    <row r="294" spans="1:8" x14ac:dyDescent="0.2">
      <c r="A294" s="2" t="s">
        <v>481</v>
      </c>
      <c r="B294" s="2" t="s">
        <v>482</v>
      </c>
      <c r="C294" s="2" t="s">
        <v>22</v>
      </c>
      <c r="D294" s="3">
        <v>13.74</v>
      </c>
      <c r="E294" s="3">
        <v>9.39</v>
      </c>
      <c r="F294" s="3">
        <v>0.11</v>
      </c>
      <c r="G294" s="3">
        <v>4.25</v>
      </c>
      <c r="H294" s="2">
        <v>1</v>
      </c>
    </row>
    <row r="295" spans="1:8" x14ac:dyDescent="0.2">
      <c r="A295" s="2" t="s">
        <v>483</v>
      </c>
      <c r="B295" s="2" t="s">
        <v>389</v>
      </c>
      <c r="C295" s="2" t="s">
        <v>154</v>
      </c>
      <c r="D295" s="3">
        <v>2.83</v>
      </c>
      <c r="E295" s="3">
        <v>2.83</v>
      </c>
      <c r="F295" s="3">
        <v>0</v>
      </c>
      <c r="G295" s="3">
        <v>0</v>
      </c>
      <c r="H295" s="2">
        <v>0</v>
      </c>
    </row>
    <row r="296" spans="1:8" x14ac:dyDescent="0.2">
      <c r="A296" s="2" t="s">
        <v>484</v>
      </c>
      <c r="B296" s="2" t="s">
        <v>485</v>
      </c>
      <c r="C296" s="2" t="s">
        <v>22</v>
      </c>
      <c r="D296" s="3">
        <v>10.96</v>
      </c>
      <c r="E296" s="3">
        <v>2.9</v>
      </c>
      <c r="F296" s="3">
        <v>8.06</v>
      </c>
      <c r="G296" s="3">
        <v>0</v>
      </c>
      <c r="H296" s="2">
        <v>2</v>
      </c>
    </row>
    <row r="297" spans="1:8" x14ac:dyDescent="0.2">
      <c r="A297" s="2" t="s">
        <v>486</v>
      </c>
      <c r="B297" s="2" t="s">
        <v>487</v>
      </c>
      <c r="C297" s="2" t="s">
        <v>28</v>
      </c>
      <c r="D297" s="3">
        <v>2.02</v>
      </c>
      <c r="E297" s="3">
        <v>1.08</v>
      </c>
      <c r="F297" s="3">
        <v>0</v>
      </c>
      <c r="G297" s="3">
        <v>0.95</v>
      </c>
      <c r="H297" s="2">
        <v>0</v>
      </c>
    </row>
    <row r="298" spans="1:8" x14ac:dyDescent="0.2">
      <c r="A298" s="2" t="s">
        <v>488</v>
      </c>
      <c r="B298" s="2" t="s">
        <v>489</v>
      </c>
      <c r="C298" s="2" t="s">
        <v>92</v>
      </c>
      <c r="D298" s="3">
        <v>2.77</v>
      </c>
      <c r="E298" s="3">
        <v>2.77</v>
      </c>
      <c r="F298" s="3">
        <v>0</v>
      </c>
      <c r="G298" s="3">
        <v>0</v>
      </c>
      <c r="H298" s="2">
        <v>0</v>
      </c>
    </row>
    <row r="299" spans="1:8" x14ac:dyDescent="0.2">
      <c r="A299" s="2" t="s">
        <v>490</v>
      </c>
      <c r="B299" s="2" t="s">
        <v>491</v>
      </c>
      <c r="C299" s="2" t="s">
        <v>49</v>
      </c>
      <c r="D299" s="3">
        <v>2.0299999999999998</v>
      </c>
      <c r="E299" s="3">
        <v>2.0299999999999998</v>
      </c>
      <c r="F299" s="3">
        <v>0</v>
      </c>
      <c r="G299" s="3">
        <v>0</v>
      </c>
      <c r="H299" s="2">
        <v>0</v>
      </c>
    </row>
    <row r="300" spans="1:8" x14ac:dyDescent="0.2">
      <c r="A300" s="2" t="s">
        <v>492</v>
      </c>
      <c r="B300" s="2" t="s">
        <v>493</v>
      </c>
      <c r="C300" s="2" t="s">
        <v>28</v>
      </c>
      <c r="D300" s="3">
        <v>2.1</v>
      </c>
      <c r="E300" s="3">
        <v>2.1</v>
      </c>
      <c r="F300" s="3">
        <v>0</v>
      </c>
      <c r="G300" s="3">
        <v>0</v>
      </c>
      <c r="H300" s="2">
        <v>0</v>
      </c>
    </row>
    <row r="301" spans="1:8" x14ac:dyDescent="0.2">
      <c r="A301" s="2" t="s">
        <v>494</v>
      </c>
      <c r="B301" s="2" t="s">
        <v>495</v>
      </c>
      <c r="C301" s="2" t="s">
        <v>25</v>
      </c>
      <c r="D301" s="3">
        <v>2.0299999999999998</v>
      </c>
      <c r="E301" s="3">
        <v>1.1000000000000001</v>
      </c>
      <c r="F301" s="3">
        <v>0.93</v>
      </c>
      <c r="G301" s="3">
        <v>0</v>
      </c>
      <c r="H301" s="2">
        <v>1</v>
      </c>
    </row>
    <row r="302" spans="1:8" x14ac:dyDescent="0.2">
      <c r="A302" s="2" t="s">
        <v>496</v>
      </c>
      <c r="B302" s="2" t="s">
        <v>497</v>
      </c>
      <c r="C302" s="2" t="s">
        <v>22</v>
      </c>
      <c r="D302" s="3">
        <v>10.1</v>
      </c>
      <c r="E302" s="3">
        <v>3.05</v>
      </c>
      <c r="F302" s="3">
        <v>7.05</v>
      </c>
      <c r="G302" s="3">
        <v>0</v>
      </c>
      <c r="H302" s="2">
        <v>2</v>
      </c>
    </row>
    <row r="303" spans="1:8" x14ac:dyDescent="0.2">
      <c r="A303" s="2" t="s">
        <v>498</v>
      </c>
      <c r="B303" s="2" t="s">
        <v>94</v>
      </c>
      <c r="C303" s="2" t="s">
        <v>74</v>
      </c>
      <c r="D303" s="3">
        <v>0.81</v>
      </c>
      <c r="E303" s="3">
        <v>0.81</v>
      </c>
      <c r="F303" s="3">
        <v>0</v>
      </c>
      <c r="G303" s="3">
        <v>0</v>
      </c>
      <c r="H303" s="2">
        <v>0</v>
      </c>
    </row>
    <row r="304" spans="1:8" x14ac:dyDescent="0.2">
      <c r="A304" s="2" t="s">
        <v>499</v>
      </c>
      <c r="B304" s="2" t="s">
        <v>489</v>
      </c>
      <c r="C304" s="2" t="s">
        <v>122</v>
      </c>
      <c r="D304" s="3">
        <v>18.03</v>
      </c>
      <c r="E304" s="3">
        <v>1.97</v>
      </c>
      <c r="F304" s="3">
        <v>0.11</v>
      </c>
      <c r="G304" s="3">
        <v>15.94</v>
      </c>
      <c r="H304" s="2">
        <v>1</v>
      </c>
    </row>
    <row r="305" spans="1:8" x14ac:dyDescent="0.2">
      <c r="A305" s="2" t="s">
        <v>500</v>
      </c>
      <c r="B305" s="2" t="s">
        <v>188</v>
      </c>
      <c r="C305" s="2" t="s">
        <v>25</v>
      </c>
      <c r="D305" s="3">
        <v>9.0299999999999994</v>
      </c>
      <c r="E305" s="3">
        <v>8.73</v>
      </c>
      <c r="F305" s="3">
        <v>0.3</v>
      </c>
      <c r="G305" s="3">
        <v>0</v>
      </c>
      <c r="H305" s="2">
        <v>2</v>
      </c>
    </row>
    <row r="306" spans="1:8" x14ac:dyDescent="0.2">
      <c r="A306" s="2" t="s">
        <v>501</v>
      </c>
      <c r="B306" s="2" t="s">
        <v>502</v>
      </c>
      <c r="C306" s="2" t="s">
        <v>25</v>
      </c>
      <c r="D306" s="3">
        <v>2.08</v>
      </c>
      <c r="E306" s="3">
        <v>2.08</v>
      </c>
      <c r="F306" s="3">
        <v>0</v>
      </c>
      <c r="G306" s="3">
        <v>0</v>
      </c>
      <c r="H306" s="2">
        <v>0</v>
      </c>
    </row>
    <row r="307" spans="1:8" x14ac:dyDescent="0.2">
      <c r="A307" s="2" t="s">
        <v>503</v>
      </c>
      <c r="B307" s="2" t="s">
        <v>504</v>
      </c>
      <c r="C307" s="2" t="s">
        <v>104</v>
      </c>
      <c r="D307" s="3">
        <v>56.93</v>
      </c>
      <c r="E307" s="3">
        <v>7.21</v>
      </c>
      <c r="F307" s="3">
        <v>13.61</v>
      </c>
      <c r="G307" s="3">
        <v>36.11</v>
      </c>
      <c r="H307" s="2">
        <v>4</v>
      </c>
    </row>
    <row r="308" spans="1:8" x14ac:dyDescent="0.2">
      <c r="A308" s="2" t="s">
        <v>505</v>
      </c>
      <c r="B308" s="2" t="s">
        <v>504</v>
      </c>
      <c r="C308" s="2" t="s">
        <v>104</v>
      </c>
      <c r="D308" s="3">
        <v>42.75</v>
      </c>
      <c r="E308" s="3">
        <v>3.77</v>
      </c>
      <c r="F308" s="3">
        <v>0</v>
      </c>
      <c r="G308" s="3">
        <v>38.99</v>
      </c>
      <c r="H308" s="2">
        <v>0</v>
      </c>
    </row>
    <row r="309" spans="1:8" x14ac:dyDescent="0.2">
      <c r="A309" s="2" t="s">
        <v>506</v>
      </c>
      <c r="B309" s="2" t="s">
        <v>467</v>
      </c>
      <c r="C309" s="2" t="s">
        <v>66</v>
      </c>
      <c r="D309" s="3">
        <v>1.9</v>
      </c>
      <c r="E309" s="3">
        <v>1.9</v>
      </c>
      <c r="F309" s="3">
        <v>0</v>
      </c>
      <c r="G309" s="3">
        <v>0</v>
      </c>
      <c r="H309" s="2">
        <v>0</v>
      </c>
    </row>
    <row r="310" spans="1:8" x14ac:dyDescent="0.2">
      <c r="A310" s="2" t="s">
        <v>507</v>
      </c>
      <c r="B310" s="2" t="s">
        <v>508</v>
      </c>
      <c r="C310" s="2" t="s">
        <v>104</v>
      </c>
      <c r="D310" s="3">
        <v>3.11</v>
      </c>
      <c r="E310" s="3">
        <v>0.9</v>
      </c>
      <c r="F310" s="3">
        <v>0</v>
      </c>
      <c r="G310" s="3">
        <v>2.2000000000000002</v>
      </c>
      <c r="H310" s="2">
        <v>0</v>
      </c>
    </row>
    <row r="311" spans="1:8" x14ac:dyDescent="0.2">
      <c r="A311" s="2" t="s">
        <v>509</v>
      </c>
      <c r="B311" s="2" t="s">
        <v>510</v>
      </c>
      <c r="C311" s="2" t="s">
        <v>22</v>
      </c>
      <c r="D311" s="3">
        <v>21.84</v>
      </c>
      <c r="E311" s="3">
        <v>4.7</v>
      </c>
      <c r="F311" s="3">
        <v>13.85</v>
      </c>
      <c r="G311" s="3">
        <v>3.29</v>
      </c>
      <c r="H311" s="2">
        <v>7</v>
      </c>
    </row>
    <row r="312" spans="1:8" x14ac:dyDescent="0.2">
      <c r="A312" s="2" t="s">
        <v>511</v>
      </c>
      <c r="B312" s="2" t="s">
        <v>512</v>
      </c>
      <c r="C312" s="2" t="s">
        <v>74</v>
      </c>
      <c r="D312" s="3">
        <v>0.09</v>
      </c>
      <c r="E312" s="3">
        <v>0.09</v>
      </c>
      <c r="F312" s="3">
        <v>0</v>
      </c>
      <c r="G312" s="3">
        <v>0</v>
      </c>
      <c r="H312" s="2">
        <v>0</v>
      </c>
    </row>
    <row r="313" spans="1:8" x14ac:dyDescent="0.2">
      <c r="A313" s="2" t="s">
        <v>513</v>
      </c>
      <c r="B313" s="2" t="s">
        <v>514</v>
      </c>
      <c r="C313" s="2" t="s">
        <v>92</v>
      </c>
      <c r="D313" s="3">
        <v>30.06</v>
      </c>
      <c r="E313" s="3">
        <v>15.84</v>
      </c>
      <c r="F313" s="3">
        <v>0</v>
      </c>
      <c r="G313" s="3">
        <v>14.23</v>
      </c>
      <c r="H313" s="2">
        <v>0</v>
      </c>
    </row>
    <row r="314" spans="1:8" x14ac:dyDescent="0.2">
      <c r="A314" s="2" t="s">
        <v>515</v>
      </c>
      <c r="B314" s="2" t="s">
        <v>516</v>
      </c>
      <c r="C314" s="2" t="s">
        <v>25</v>
      </c>
      <c r="D314" s="3">
        <v>0.97</v>
      </c>
      <c r="E314" s="3">
        <v>0.86</v>
      </c>
      <c r="F314" s="3">
        <v>0.12</v>
      </c>
      <c r="G314" s="3">
        <v>0</v>
      </c>
      <c r="H314" s="2">
        <v>1</v>
      </c>
    </row>
    <row r="315" spans="1:8" x14ac:dyDescent="0.2">
      <c r="A315" s="2" t="s">
        <v>517</v>
      </c>
      <c r="B315" s="2" t="s">
        <v>482</v>
      </c>
      <c r="C315" s="2" t="s">
        <v>66</v>
      </c>
      <c r="D315" s="3">
        <v>3.91</v>
      </c>
      <c r="E315" s="3">
        <v>3.22</v>
      </c>
      <c r="F315" s="3">
        <v>0.69</v>
      </c>
      <c r="G315" s="3">
        <v>0</v>
      </c>
      <c r="H315" s="2">
        <v>1</v>
      </c>
    </row>
    <row r="316" spans="1:8" x14ac:dyDescent="0.2">
      <c r="A316" s="2" t="s">
        <v>518</v>
      </c>
      <c r="B316" s="2" t="s">
        <v>139</v>
      </c>
      <c r="C316" s="2" t="s">
        <v>28</v>
      </c>
      <c r="D316" s="3">
        <v>2.08</v>
      </c>
      <c r="E316" s="3">
        <v>2.08</v>
      </c>
      <c r="F316" s="3">
        <v>0</v>
      </c>
      <c r="G316" s="3">
        <v>0</v>
      </c>
      <c r="H316" s="2">
        <v>0</v>
      </c>
    </row>
    <row r="317" spans="1:8" x14ac:dyDescent="0.2">
      <c r="A317" s="2" t="s">
        <v>519</v>
      </c>
      <c r="B317" s="2" t="s">
        <v>249</v>
      </c>
      <c r="C317" s="2" t="s">
        <v>25</v>
      </c>
      <c r="D317" s="3">
        <v>8.8000000000000007</v>
      </c>
      <c r="E317" s="3">
        <v>3.97</v>
      </c>
      <c r="F317" s="3">
        <v>4.82</v>
      </c>
      <c r="G317" s="3">
        <v>0</v>
      </c>
      <c r="H317" s="2">
        <v>2</v>
      </c>
    </row>
    <row r="318" spans="1:8" x14ac:dyDescent="0.2">
      <c r="A318" s="2" t="s">
        <v>520</v>
      </c>
      <c r="B318" s="2" t="s">
        <v>521</v>
      </c>
      <c r="C318" s="2" t="s">
        <v>92</v>
      </c>
      <c r="D318" s="3">
        <v>1.0900000000000001</v>
      </c>
      <c r="E318" s="3">
        <v>1.0900000000000001</v>
      </c>
      <c r="F318" s="3">
        <v>0</v>
      </c>
      <c r="G318" s="3">
        <v>0</v>
      </c>
      <c r="H318" s="2">
        <v>0</v>
      </c>
    </row>
    <row r="319" spans="1:8" x14ac:dyDescent="0.2">
      <c r="A319" s="2" t="s">
        <v>522</v>
      </c>
      <c r="B319" s="2" t="s">
        <v>48</v>
      </c>
      <c r="C319" s="2" t="s">
        <v>74</v>
      </c>
      <c r="D319" s="3">
        <v>2.0299999999999998</v>
      </c>
      <c r="E319" s="3">
        <v>2.0299999999999998</v>
      </c>
      <c r="F319" s="3">
        <v>0</v>
      </c>
      <c r="G319" s="3">
        <v>0</v>
      </c>
      <c r="H319" s="2">
        <v>0</v>
      </c>
    </row>
    <row r="320" spans="1:8" x14ac:dyDescent="0.2">
      <c r="A320" s="2" t="s">
        <v>523</v>
      </c>
      <c r="B320" s="2" t="s">
        <v>524</v>
      </c>
      <c r="C320" s="2" t="s">
        <v>122</v>
      </c>
      <c r="D320" s="3">
        <v>8.84</v>
      </c>
      <c r="E320" s="3">
        <v>0.8</v>
      </c>
      <c r="F320" s="3">
        <v>8.0399999999999991</v>
      </c>
      <c r="G320" s="3">
        <v>0</v>
      </c>
      <c r="H320" s="2">
        <v>2</v>
      </c>
    </row>
    <row r="321" spans="1:8" x14ac:dyDescent="0.2">
      <c r="A321" s="2" t="s">
        <v>525</v>
      </c>
      <c r="B321" s="2" t="s">
        <v>526</v>
      </c>
      <c r="C321" s="2" t="s">
        <v>25</v>
      </c>
      <c r="D321" s="3">
        <v>2.87</v>
      </c>
      <c r="E321" s="3">
        <v>2.87</v>
      </c>
      <c r="F321" s="3">
        <v>0</v>
      </c>
      <c r="G321" s="3">
        <v>0</v>
      </c>
      <c r="H321" s="2">
        <v>0</v>
      </c>
    </row>
    <row r="322" spans="1:8" x14ac:dyDescent="0.2">
      <c r="A322" s="2" t="s">
        <v>527</v>
      </c>
      <c r="B322" s="2" t="s">
        <v>528</v>
      </c>
      <c r="C322" s="2" t="s">
        <v>92</v>
      </c>
      <c r="D322" s="3">
        <v>3.07</v>
      </c>
      <c r="E322" s="3">
        <v>3.07</v>
      </c>
      <c r="F322" s="3">
        <v>0</v>
      </c>
      <c r="G322" s="3">
        <v>0</v>
      </c>
      <c r="H322" s="2">
        <v>0</v>
      </c>
    </row>
    <row r="323" spans="1:8" x14ac:dyDescent="0.2">
      <c r="A323" s="2" t="s">
        <v>529</v>
      </c>
      <c r="B323" s="2" t="s">
        <v>530</v>
      </c>
      <c r="C323" s="2" t="s">
        <v>22</v>
      </c>
      <c r="D323" s="3">
        <v>14.92</v>
      </c>
      <c r="E323" s="3">
        <v>2.0299999999999998</v>
      </c>
      <c r="F323" s="3">
        <v>12.89</v>
      </c>
      <c r="G323" s="3">
        <v>0</v>
      </c>
      <c r="H323" s="2">
        <v>5</v>
      </c>
    </row>
    <row r="324" spans="1:8" x14ac:dyDescent="0.2">
      <c r="A324" s="2" t="s">
        <v>531</v>
      </c>
      <c r="B324" s="2" t="s">
        <v>425</v>
      </c>
      <c r="C324" s="2" t="s">
        <v>25</v>
      </c>
      <c r="D324" s="3">
        <v>6.96</v>
      </c>
      <c r="E324" s="3">
        <v>0.31</v>
      </c>
      <c r="F324" s="3">
        <v>6.65</v>
      </c>
      <c r="G324" s="3">
        <v>0</v>
      </c>
      <c r="H324" s="2">
        <v>4</v>
      </c>
    </row>
    <row r="325" spans="1:8" x14ac:dyDescent="0.2">
      <c r="A325" s="2" t="s">
        <v>532</v>
      </c>
      <c r="B325" s="2" t="s">
        <v>533</v>
      </c>
      <c r="C325" s="2" t="s">
        <v>25</v>
      </c>
      <c r="D325" s="3">
        <v>2.96</v>
      </c>
      <c r="E325" s="3">
        <v>1.02</v>
      </c>
      <c r="F325" s="3">
        <v>1.94</v>
      </c>
      <c r="G325" s="3">
        <v>0</v>
      </c>
      <c r="H325" s="2">
        <v>1</v>
      </c>
    </row>
    <row r="326" spans="1:8" x14ac:dyDescent="0.2">
      <c r="A326" s="2" t="s">
        <v>534</v>
      </c>
      <c r="B326" s="2" t="s">
        <v>467</v>
      </c>
      <c r="C326" s="2" t="s">
        <v>154</v>
      </c>
      <c r="D326" s="3">
        <v>9.9700000000000006</v>
      </c>
      <c r="E326" s="3">
        <v>2</v>
      </c>
      <c r="F326" s="3">
        <v>7.97</v>
      </c>
      <c r="G326" s="3">
        <v>0</v>
      </c>
      <c r="H326" s="2">
        <v>2</v>
      </c>
    </row>
    <row r="327" spans="1:8" x14ac:dyDescent="0.2">
      <c r="A327" s="2" t="s">
        <v>535</v>
      </c>
      <c r="B327" s="2" t="s">
        <v>536</v>
      </c>
      <c r="C327" s="2" t="s">
        <v>25</v>
      </c>
      <c r="D327" s="3">
        <v>2.97</v>
      </c>
      <c r="E327" s="3">
        <v>0.16</v>
      </c>
      <c r="F327" s="3">
        <v>2.81</v>
      </c>
      <c r="G327" s="3">
        <v>0</v>
      </c>
      <c r="H327" s="2">
        <v>1</v>
      </c>
    </row>
    <row r="328" spans="1:8" x14ac:dyDescent="0.2">
      <c r="A328" s="2" t="s">
        <v>537</v>
      </c>
      <c r="B328" s="2" t="s">
        <v>538</v>
      </c>
      <c r="C328" s="2" t="s">
        <v>154</v>
      </c>
      <c r="D328" s="3">
        <v>3.02</v>
      </c>
      <c r="E328" s="3">
        <v>1.98</v>
      </c>
      <c r="F328" s="3">
        <v>0</v>
      </c>
      <c r="G328" s="3">
        <v>1.03</v>
      </c>
      <c r="H328" s="2">
        <v>0</v>
      </c>
    </row>
    <row r="329" spans="1:8" x14ac:dyDescent="0.2">
      <c r="A329" s="2" t="s">
        <v>539</v>
      </c>
      <c r="B329" s="2" t="s">
        <v>540</v>
      </c>
      <c r="C329" s="2" t="s">
        <v>25</v>
      </c>
      <c r="D329" s="3">
        <v>2.95</v>
      </c>
      <c r="E329" s="3">
        <v>0.12</v>
      </c>
      <c r="F329" s="3">
        <v>2.83</v>
      </c>
      <c r="G329" s="3">
        <v>0</v>
      </c>
      <c r="H329" s="2">
        <v>1</v>
      </c>
    </row>
    <row r="330" spans="1:8" x14ac:dyDescent="0.2">
      <c r="A330" s="2" t="s">
        <v>541</v>
      </c>
      <c r="B330" s="2" t="s">
        <v>139</v>
      </c>
      <c r="C330" s="2" t="s">
        <v>74</v>
      </c>
      <c r="D330" s="3">
        <v>6.72</v>
      </c>
      <c r="E330" s="3">
        <v>0.82</v>
      </c>
      <c r="F330" s="3">
        <v>0</v>
      </c>
      <c r="G330" s="3">
        <v>5.9</v>
      </c>
      <c r="H330" s="2">
        <v>0</v>
      </c>
    </row>
    <row r="331" spans="1:8" x14ac:dyDescent="0.2">
      <c r="A331" s="2" t="s">
        <v>542</v>
      </c>
      <c r="B331" s="2" t="s">
        <v>458</v>
      </c>
      <c r="C331" s="2" t="s">
        <v>104</v>
      </c>
      <c r="D331" s="3">
        <v>3.05</v>
      </c>
      <c r="E331" s="3">
        <v>3.05</v>
      </c>
      <c r="F331" s="3">
        <v>0</v>
      </c>
      <c r="G331" s="3">
        <v>0</v>
      </c>
      <c r="H331" s="2">
        <v>0</v>
      </c>
    </row>
    <row r="332" spans="1:8" x14ac:dyDescent="0.2">
      <c r="A332" s="2" t="s">
        <v>543</v>
      </c>
      <c r="B332" s="2" t="s">
        <v>544</v>
      </c>
      <c r="C332" s="2" t="s">
        <v>104</v>
      </c>
      <c r="D332" s="3">
        <v>0.83</v>
      </c>
      <c r="E332" s="3">
        <v>0.83</v>
      </c>
      <c r="F332" s="3">
        <v>0</v>
      </c>
      <c r="G332" s="3">
        <v>0</v>
      </c>
      <c r="H332" s="2">
        <v>0</v>
      </c>
    </row>
    <row r="333" spans="1:8" x14ac:dyDescent="0.2">
      <c r="A333" s="2" t="s">
        <v>545</v>
      </c>
      <c r="B333" s="2" t="s">
        <v>473</v>
      </c>
      <c r="C333" s="2" t="s">
        <v>74</v>
      </c>
      <c r="D333" s="3">
        <v>2.99</v>
      </c>
      <c r="E333" s="3">
        <v>2.02</v>
      </c>
      <c r="F333" s="3">
        <v>0</v>
      </c>
      <c r="G333" s="3">
        <v>0.97</v>
      </c>
      <c r="H333" s="2">
        <v>0</v>
      </c>
    </row>
    <row r="334" spans="1:8" x14ac:dyDescent="0.2">
      <c r="A334" s="2" t="s">
        <v>546</v>
      </c>
      <c r="B334" s="2" t="s">
        <v>547</v>
      </c>
      <c r="C334" s="2" t="s">
        <v>22</v>
      </c>
      <c r="D334" s="3">
        <v>8.0399999999999991</v>
      </c>
      <c r="E334" s="3">
        <v>3.07</v>
      </c>
      <c r="F334" s="3">
        <v>4.96</v>
      </c>
      <c r="G334" s="3">
        <v>0</v>
      </c>
      <c r="H334" s="2">
        <v>3</v>
      </c>
    </row>
    <row r="335" spans="1:8" x14ac:dyDescent="0.2">
      <c r="A335" s="2" t="s">
        <v>548</v>
      </c>
      <c r="B335" s="2" t="s">
        <v>21</v>
      </c>
      <c r="C335" s="2" t="s">
        <v>25</v>
      </c>
      <c r="D335" s="3">
        <v>27.77</v>
      </c>
      <c r="E335" s="3">
        <v>3.01</v>
      </c>
      <c r="F335" s="3">
        <v>24.76</v>
      </c>
      <c r="G335" s="3">
        <v>0</v>
      </c>
      <c r="H335" s="2">
        <v>4</v>
      </c>
    </row>
    <row r="336" spans="1:8" x14ac:dyDescent="0.2">
      <c r="A336" s="2" t="s">
        <v>549</v>
      </c>
      <c r="B336" s="2" t="s">
        <v>550</v>
      </c>
      <c r="C336" s="2" t="s">
        <v>551</v>
      </c>
      <c r="D336" s="3">
        <v>0.68</v>
      </c>
      <c r="E336" s="3">
        <v>0.68</v>
      </c>
      <c r="F336" s="3">
        <v>0</v>
      </c>
      <c r="G336" s="3">
        <v>0</v>
      </c>
      <c r="H336" s="2">
        <v>0</v>
      </c>
    </row>
    <row r="337" spans="1:8" x14ac:dyDescent="0.2">
      <c r="A337" s="2" t="s">
        <v>552</v>
      </c>
      <c r="B337" s="2" t="s">
        <v>423</v>
      </c>
      <c r="C337" s="2" t="s">
        <v>49</v>
      </c>
      <c r="D337" s="3">
        <v>16.96</v>
      </c>
      <c r="E337" s="3">
        <v>3.91</v>
      </c>
      <c r="F337" s="3">
        <v>0</v>
      </c>
      <c r="G337" s="3">
        <v>13.05</v>
      </c>
      <c r="H337" s="2">
        <v>0</v>
      </c>
    </row>
    <row r="338" spans="1:8" x14ac:dyDescent="0.2">
      <c r="A338" s="2" t="s">
        <v>553</v>
      </c>
      <c r="B338" s="2" t="s">
        <v>554</v>
      </c>
      <c r="C338" s="2" t="s">
        <v>25</v>
      </c>
      <c r="D338" s="3">
        <v>3.03</v>
      </c>
      <c r="E338" s="3">
        <v>1.04</v>
      </c>
      <c r="F338" s="3">
        <v>1.99</v>
      </c>
      <c r="G338" s="3">
        <v>0</v>
      </c>
      <c r="H338" s="2">
        <v>1</v>
      </c>
    </row>
    <row r="339" spans="1:8" x14ac:dyDescent="0.2">
      <c r="A339" s="2" t="s">
        <v>555</v>
      </c>
      <c r="B339" s="2" t="s">
        <v>556</v>
      </c>
      <c r="C339" s="2" t="s">
        <v>28</v>
      </c>
      <c r="D339" s="3">
        <v>1.07</v>
      </c>
      <c r="E339" s="3">
        <v>0.28999999999999998</v>
      </c>
      <c r="F339" s="3">
        <v>0.77</v>
      </c>
      <c r="G339" s="3">
        <v>0</v>
      </c>
      <c r="H339" s="2">
        <v>1</v>
      </c>
    </row>
    <row r="340" spans="1:8" x14ac:dyDescent="0.2">
      <c r="A340" s="2" t="s">
        <v>557</v>
      </c>
      <c r="B340" s="2" t="s">
        <v>235</v>
      </c>
      <c r="C340" s="2" t="s">
        <v>122</v>
      </c>
      <c r="D340" s="3">
        <v>9.83</v>
      </c>
      <c r="E340" s="3">
        <v>0.88</v>
      </c>
      <c r="F340" s="3">
        <v>0</v>
      </c>
      <c r="G340" s="3">
        <v>8.9499999999999993</v>
      </c>
      <c r="H340" s="2">
        <v>0</v>
      </c>
    </row>
    <row r="341" spans="1:8" x14ac:dyDescent="0.2">
      <c r="A341" s="2" t="s">
        <v>558</v>
      </c>
      <c r="B341" s="2" t="s">
        <v>559</v>
      </c>
      <c r="C341" s="2" t="s">
        <v>49</v>
      </c>
      <c r="D341" s="3">
        <v>0.91</v>
      </c>
      <c r="E341" s="3">
        <v>0.91</v>
      </c>
      <c r="F341" s="3">
        <v>0</v>
      </c>
      <c r="G341" s="3">
        <v>0</v>
      </c>
      <c r="H341" s="2">
        <v>0</v>
      </c>
    </row>
    <row r="342" spans="1:8" x14ac:dyDescent="0.2">
      <c r="A342" s="2" t="s">
        <v>560</v>
      </c>
      <c r="B342" s="2" t="s">
        <v>561</v>
      </c>
      <c r="C342" s="2" t="s">
        <v>57</v>
      </c>
      <c r="D342" s="3">
        <v>0.06</v>
      </c>
      <c r="E342" s="3">
        <v>0.06</v>
      </c>
      <c r="F342" s="3">
        <v>0</v>
      </c>
      <c r="G342" s="3">
        <v>0</v>
      </c>
      <c r="H342" s="2">
        <v>0</v>
      </c>
    </row>
    <row r="343" spans="1:8" x14ac:dyDescent="0.2">
      <c r="A343" s="2" t="s">
        <v>562</v>
      </c>
      <c r="B343" s="2" t="s">
        <v>80</v>
      </c>
      <c r="C343" s="2" t="s">
        <v>25</v>
      </c>
      <c r="D343" s="3">
        <v>7.89</v>
      </c>
      <c r="E343" s="3">
        <v>4.26</v>
      </c>
      <c r="F343" s="3">
        <v>1.6</v>
      </c>
      <c r="G343" s="3">
        <v>2.0299999999999998</v>
      </c>
      <c r="H343" s="2">
        <v>2</v>
      </c>
    </row>
    <row r="344" spans="1:8" x14ac:dyDescent="0.2">
      <c r="A344" s="2" t="s">
        <v>563</v>
      </c>
      <c r="B344" s="2" t="s">
        <v>564</v>
      </c>
      <c r="C344" s="2" t="s">
        <v>25</v>
      </c>
      <c r="D344" s="3">
        <v>3.96</v>
      </c>
      <c r="E344" s="3">
        <v>1.05</v>
      </c>
      <c r="F344" s="3">
        <v>2.91</v>
      </c>
      <c r="G344" s="3">
        <v>0</v>
      </c>
      <c r="H344" s="2">
        <v>1</v>
      </c>
    </row>
    <row r="345" spans="1:8" x14ac:dyDescent="0.2">
      <c r="A345" s="2" t="s">
        <v>565</v>
      </c>
      <c r="B345" s="2" t="s">
        <v>370</v>
      </c>
      <c r="C345" s="2" t="s">
        <v>74</v>
      </c>
      <c r="D345" s="3">
        <v>0.86</v>
      </c>
      <c r="E345" s="3">
        <v>0.86</v>
      </c>
      <c r="F345" s="3">
        <v>0</v>
      </c>
      <c r="G345" s="3">
        <v>0</v>
      </c>
      <c r="H345" s="2">
        <v>0</v>
      </c>
    </row>
    <row r="346" spans="1:8" x14ac:dyDescent="0.2">
      <c r="A346" s="2" t="s">
        <v>566</v>
      </c>
      <c r="B346" s="2" t="s">
        <v>153</v>
      </c>
      <c r="C346" s="2" t="s">
        <v>25</v>
      </c>
      <c r="D346" s="3">
        <v>9.8699999999999992</v>
      </c>
      <c r="E346" s="3">
        <v>3.95</v>
      </c>
      <c r="F346" s="3">
        <v>5.93</v>
      </c>
      <c r="G346" s="3">
        <v>0</v>
      </c>
      <c r="H346" s="2">
        <v>3</v>
      </c>
    </row>
    <row r="347" spans="1:8" x14ac:dyDescent="0.2">
      <c r="A347" s="2" t="s">
        <v>567</v>
      </c>
      <c r="B347" s="2" t="s">
        <v>238</v>
      </c>
      <c r="C347" s="2" t="s">
        <v>104</v>
      </c>
      <c r="D347" s="3">
        <v>2.79</v>
      </c>
      <c r="E347" s="3">
        <v>1.87</v>
      </c>
      <c r="F347" s="3">
        <v>0.92</v>
      </c>
      <c r="G347" s="3">
        <v>0</v>
      </c>
      <c r="H347" s="2">
        <v>1</v>
      </c>
    </row>
    <row r="348" spans="1:8" x14ac:dyDescent="0.2">
      <c r="A348" s="2" t="s">
        <v>568</v>
      </c>
      <c r="B348" s="2" t="s">
        <v>569</v>
      </c>
      <c r="C348" s="2" t="s">
        <v>122</v>
      </c>
      <c r="D348" s="3">
        <v>0.77</v>
      </c>
      <c r="E348" s="3">
        <v>0.77</v>
      </c>
      <c r="F348" s="3">
        <v>0</v>
      </c>
      <c r="G348" s="3">
        <v>0</v>
      </c>
      <c r="H348" s="2">
        <v>0</v>
      </c>
    </row>
    <row r="349" spans="1:8" x14ac:dyDescent="0.2">
      <c r="A349" s="2" t="s">
        <v>570</v>
      </c>
      <c r="B349" s="2" t="s">
        <v>569</v>
      </c>
      <c r="C349" s="2" t="s">
        <v>122</v>
      </c>
      <c r="D349" s="3">
        <v>0.77</v>
      </c>
      <c r="E349" s="3">
        <v>0.77</v>
      </c>
      <c r="F349" s="3">
        <v>0</v>
      </c>
      <c r="G349" s="3">
        <v>0</v>
      </c>
      <c r="H349" s="2">
        <v>0</v>
      </c>
    </row>
    <row r="350" spans="1:8" x14ac:dyDescent="0.2">
      <c r="A350" s="2" t="s">
        <v>571</v>
      </c>
      <c r="B350" s="2" t="s">
        <v>572</v>
      </c>
      <c r="C350" s="2" t="s">
        <v>87</v>
      </c>
      <c r="D350" s="3">
        <v>0.9</v>
      </c>
      <c r="E350" s="3">
        <v>0.9</v>
      </c>
      <c r="F350" s="3">
        <v>0</v>
      </c>
      <c r="G350" s="3">
        <v>0</v>
      </c>
      <c r="H350" s="2">
        <v>0</v>
      </c>
    </row>
    <row r="351" spans="1:8" x14ac:dyDescent="0.2">
      <c r="A351" s="2" t="s">
        <v>573</v>
      </c>
      <c r="B351" s="2" t="s">
        <v>574</v>
      </c>
      <c r="C351" s="2" t="s">
        <v>92</v>
      </c>
      <c r="D351" s="3">
        <v>1.98</v>
      </c>
      <c r="E351" s="3">
        <v>1.98</v>
      </c>
      <c r="F351" s="3">
        <v>0</v>
      </c>
      <c r="G351" s="3">
        <v>0</v>
      </c>
      <c r="H351" s="2">
        <v>0</v>
      </c>
    </row>
    <row r="352" spans="1:8" x14ac:dyDescent="0.2">
      <c r="A352" s="2" t="s">
        <v>575</v>
      </c>
      <c r="B352" s="2" t="s">
        <v>572</v>
      </c>
      <c r="C352" s="2" t="s">
        <v>87</v>
      </c>
      <c r="D352" s="3">
        <v>0.93</v>
      </c>
      <c r="E352" s="3">
        <v>0.93</v>
      </c>
      <c r="F352" s="3">
        <v>0</v>
      </c>
      <c r="G352" s="3">
        <v>0</v>
      </c>
      <c r="H352" s="2">
        <v>0</v>
      </c>
    </row>
    <row r="353" spans="1:8" x14ac:dyDescent="0.2">
      <c r="A353" s="2" t="s">
        <v>576</v>
      </c>
      <c r="B353" s="2" t="s">
        <v>577</v>
      </c>
      <c r="C353" s="2" t="s">
        <v>25</v>
      </c>
      <c r="D353" s="3">
        <v>9.76</v>
      </c>
      <c r="E353" s="3">
        <v>5.73</v>
      </c>
      <c r="F353" s="3">
        <v>4.04</v>
      </c>
      <c r="G353" s="3">
        <v>0</v>
      </c>
      <c r="H353" s="2">
        <v>1</v>
      </c>
    </row>
    <row r="354" spans="1:8" x14ac:dyDescent="0.2">
      <c r="A354" s="2" t="s">
        <v>578</v>
      </c>
      <c r="B354" s="2" t="s">
        <v>579</v>
      </c>
      <c r="C354" s="2" t="s">
        <v>74</v>
      </c>
      <c r="D354" s="3">
        <v>0</v>
      </c>
      <c r="E354" s="3">
        <v>0</v>
      </c>
      <c r="F354" s="3">
        <v>0</v>
      </c>
      <c r="G354" s="3">
        <v>0</v>
      </c>
      <c r="H354" s="2">
        <v>0</v>
      </c>
    </row>
    <row r="355" spans="1:8" x14ac:dyDescent="0.2">
      <c r="A355" s="2" t="s">
        <v>580</v>
      </c>
      <c r="B355" s="2" t="s">
        <v>572</v>
      </c>
      <c r="C355" s="2" t="s">
        <v>28</v>
      </c>
      <c r="D355" s="3">
        <v>0.9</v>
      </c>
      <c r="E355" s="3">
        <v>0.9</v>
      </c>
      <c r="F355" s="3">
        <v>0</v>
      </c>
      <c r="G355" s="3">
        <v>0</v>
      </c>
      <c r="H355" s="2">
        <v>0</v>
      </c>
    </row>
    <row r="356" spans="1:8" x14ac:dyDescent="0.2">
      <c r="A356" s="2" t="s">
        <v>581</v>
      </c>
      <c r="B356" s="2" t="s">
        <v>463</v>
      </c>
      <c r="C356" s="2" t="s">
        <v>74</v>
      </c>
      <c r="D356" s="3">
        <v>16.71</v>
      </c>
      <c r="E356" s="3">
        <v>16.71</v>
      </c>
      <c r="F356" s="3">
        <v>0</v>
      </c>
      <c r="G356" s="3">
        <v>0</v>
      </c>
      <c r="H356" s="2">
        <v>0</v>
      </c>
    </row>
    <row r="357" spans="1:8" x14ac:dyDescent="0.2">
      <c r="A357" s="2" t="s">
        <v>582</v>
      </c>
      <c r="B357" s="2" t="s">
        <v>133</v>
      </c>
      <c r="C357" s="2" t="s">
        <v>28</v>
      </c>
      <c r="D357" s="3">
        <v>2.85</v>
      </c>
      <c r="E357" s="3">
        <v>2.85</v>
      </c>
      <c r="F357" s="3">
        <v>0</v>
      </c>
      <c r="G357" s="3">
        <v>0</v>
      </c>
      <c r="H357" s="2">
        <v>0</v>
      </c>
    </row>
    <row r="358" spans="1:8" x14ac:dyDescent="0.2">
      <c r="A358" s="2" t="s">
        <v>583</v>
      </c>
      <c r="B358" s="2" t="s">
        <v>584</v>
      </c>
      <c r="C358" s="2" t="s">
        <v>25</v>
      </c>
      <c r="D358" s="3">
        <v>14.83</v>
      </c>
      <c r="E358" s="3">
        <v>0.61</v>
      </c>
      <c r="F358" s="3">
        <v>14.22</v>
      </c>
      <c r="G358" s="3">
        <v>0</v>
      </c>
      <c r="H358" s="2">
        <v>5</v>
      </c>
    </row>
    <row r="359" spans="1:8" x14ac:dyDescent="0.2">
      <c r="A359" s="2" t="s">
        <v>585</v>
      </c>
      <c r="B359" s="2" t="s">
        <v>586</v>
      </c>
      <c r="C359" s="2" t="s">
        <v>22</v>
      </c>
      <c r="D359" s="3">
        <v>20.72</v>
      </c>
      <c r="E359" s="3">
        <v>3.81</v>
      </c>
      <c r="F359" s="3">
        <v>16.91</v>
      </c>
      <c r="G359" s="3">
        <v>0</v>
      </c>
      <c r="H359" s="2">
        <v>5</v>
      </c>
    </row>
    <row r="360" spans="1:8" x14ac:dyDescent="0.2">
      <c r="A360" s="2" t="s">
        <v>587</v>
      </c>
      <c r="B360" s="2" t="s">
        <v>124</v>
      </c>
      <c r="C360" s="2" t="s">
        <v>49</v>
      </c>
      <c r="D360" s="3">
        <v>0.84</v>
      </c>
      <c r="E360" s="3">
        <v>0.84</v>
      </c>
      <c r="F360" s="3">
        <v>0</v>
      </c>
      <c r="G360" s="3">
        <v>0</v>
      </c>
      <c r="H360" s="2">
        <v>0</v>
      </c>
    </row>
    <row r="361" spans="1:8" x14ac:dyDescent="0.2">
      <c r="A361" s="2" t="s">
        <v>588</v>
      </c>
      <c r="B361" s="2" t="s">
        <v>137</v>
      </c>
      <c r="C361" s="2" t="s">
        <v>25</v>
      </c>
      <c r="D361" s="3">
        <v>6.99</v>
      </c>
      <c r="E361" s="3">
        <v>3.14</v>
      </c>
      <c r="F361" s="3">
        <v>0.99</v>
      </c>
      <c r="G361" s="3">
        <v>2.86</v>
      </c>
      <c r="H361" s="2">
        <v>1</v>
      </c>
    </row>
    <row r="362" spans="1:8" x14ac:dyDescent="0.2">
      <c r="A362" s="2" t="s">
        <v>589</v>
      </c>
      <c r="B362" s="2" t="s">
        <v>165</v>
      </c>
      <c r="C362" s="2" t="s">
        <v>22</v>
      </c>
      <c r="D362" s="3">
        <v>10.96</v>
      </c>
      <c r="E362" s="3">
        <v>5.58</v>
      </c>
      <c r="F362" s="3">
        <v>5.38</v>
      </c>
      <c r="G362" s="3">
        <v>0</v>
      </c>
      <c r="H362" s="2">
        <v>3</v>
      </c>
    </row>
    <row r="363" spans="1:8" x14ac:dyDescent="0.2">
      <c r="A363" s="2" t="s">
        <v>590</v>
      </c>
      <c r="B363" s="2" t="s">
        <v>591</v>
      </c>
      <c r="C363" s="2" t="s">
        <v>87</v>
      </c>
      <c r="D363" s="3">
        <v>1.99</v>
      </c>
      <c r="E363" s="3">
        <v>1.99</v>
      </c>
      <c r="F363" s="3">
        <v>0</v>
      </c>
      <c r="G363" s="3">
        <v>0</v>
      </c>
      <c r="H363" s="2">
        <v>0</v>
      </c>
    </row>
    <row r="364" spans="1:8" x14ac:dyDescent="0.2">
      <c r="A364" s="2" t="s">
        <v>592</v>
      </c>
      <c r="B364" s="2" t="s">
        <v>137</v>
      </c>
      <c r="C364" s="2" t="s">
        <v>154</v>
      </c>
      <c r="D364" s="3">
        <v>0.71</v>
      </c>
      <c r="E364" s="3">
        <v>0.7</v>
      </c>
      <c r="F364" s="3">
        <v>0</v>
      </c>
      <c r="G364" s="3">
        <v>0</v>
      </c>
      <c r="H364" s="2">
        <v>1</v>
      </c>
    </row>
    <row r="365" spans="1:8" x14ac:dyDescent="0.2">
      <c r="A365" s="2" t="s">
        <v>593</v>
      </c>
      <c r="B365" s="2" t="s">
        <v>153</v>
      </c>
      <c r="C365" s="2" t="s">
        <v>25</v>
      </c>
      <c r="D365" s="3">
        <v>9.9700000000000006</v>
      </c>
      <c r="E365" s="3">
        <v>0.7</v>
      </c>
      <c r="F365" s="3">
        <v>9.27</v>
      </c>
      <c r="G365" s="3">
        <v>0</v>
      </c>
      <c r="H365" s="2">
        <v>3</v>
      </c>
    </row>
    <row r="366" spans="1:8" x14ac:dyDescent="0.2">
      <c r="A366" s="2" t="s">
        <v>594</v>
      </c>
      <c r="B366" s="2" t="s">
        <v>153</v>
      </c>
      <c r="C366" s="2" t="s">
        <v>25</v>
      </c>
      <c r="D366" s="3">
        <v>10.02</v>
      </c>
      <c r="E366" s="3">
        <v>0.7</v>
      </c>
      <c r="F366" s="3">
        <v>9.32</v>
      </c>
      <c r="G366" s="3">
        <v>0</v>
      </c>
      <c r="H366" s="2">
        <v>3</v>
      </c>
    </row>
    <row r="367" spans="1:8" x14ac:dyDescent="0.2">
      <c r="A367" s="2" t="s">
        <v>595</v>
      </c>
      <c r="B367" s="2" t="s">
        <v>27</v>
      </c>
      <c r="C367" s="2" t="s">
        <v>49</v>
      </c>
      <c r="D367" s="3">
        <v>15.91</v>
      </c>
      <c r="E367" s="3">
        <v>12.42</v>
      </c>
      <c r="F367" s="3">
        <v>3.49</v>
      </c>
      <c r="G367" s="3">
        <v>0</v>
      </c>
      <c r="H367" s="2">
        <v>3</v>
      </c>
    </row>
    <row r="368" spans="1:8" x14ac:dyDescent="0.2">
      <c r="A368" s="2" t="s">
        <v>596</v>
      </c>
      <c r="B368" s="2" t="s">
        <v>597</v>
      </c>
      <c r="C368" s="2" t="s">
        <v>25</v>
      </c>
      <c r="D368" s="3">
        <v>2.86</v>
      </c>
      <c r="E368" s="3">
        <v>2.86</v>
      </c>
      <c r="F368" s="3">
        <v>0</v>
      </c>
      <c r="G368" s="3">
        <v>0</v>
      </c>
      <c r="H368" s="2">
        <v>0</v>
      </c>
    </row>
    <row r="369" spans="1:8" x14ac:dyDescent="0.2">
      <c r="A369" s="2" t="s">
        <v>598</v>
      </c>
      <c r="B369" s="2" t="s">
        <v>599</v>
      </c>
      <c r="C369" s="2" t="s">
        <v>57</v>
      </c>
      <c r="D369" s="3">
        <v>0.74</v>
      </c>
      <c r="E369" s="3">
        <v>0.74</v>
      </c>
      <c r="F369" s="3">
        <v>0</v>
      </c>
      <c r="G369" s="3">
        <v>0</v>
      </c>
      <c r="H369" s="2">
        <v>0</v>
      </c>
    </row>
    <row r="370" spans="1:8" x14ac:dyDescent="0.2">
      <c r="A370" s="2" t="s">
        <v>600</v>
      </c>
      <c r="B370" s="2" t="s">
        <v>601</v>
      </c>
      <c r="C370" s="2" t="s">
        <v>49</v>
      </c>
      <c r="D370" s="3">
        <v>1.66</v>
      </c>
      <c r="E370" s="3">
        <v>1.66</v>
      </c>
      <c r="F370" s="3">
        <v>0</v>
      </c>
      <c r="G370" s="3">
        <v>0</v>
      </c>
      <c r="H370" s="2">
        <v>0</v>
      </c>
    </row>
    <row r="371" spans="1:8" x14ac:dyDescent="0.2">
      <c r="A371" s="2" t="s">
        <v>602</v>
      </c>
      <c r="B371" s="2" t="s">
        <v>193</v>
      </c>
      <c r="C371" s="2" t="s">
        <v>74</v>
      </c>
      <c r="D371" s="3">
        <v>0.91</v>
      </c>
      <c r="E371" s="3">
        <v>0.91</v>
      </c>
      <c r="F371" s="3">
        <v>0</v>
      </c>
      <c r="G371" s="3">
        <v>0</v>
      </c>
      <c r="H371" s="2">
        <v>0</v>
      </c>
    </row>
    <row r="372" spans="1:8" x14ac:dyDescent="0.2">
      <c r="A372" s="2" t="s">
        <v>603</v>
      </c>
      <c r="B372" s="2" t="s">
        <v>604</v>
      </c>
      <c r="C372" s="2" t="s">
        <v>92</v>
      </c>
      <c r="D372" s="3">
        <v>17.84</v>
      </c>
      <c r="E372" s="3">
        <v>2.8</v>
      </c>
      <c r="F372" s="3">
        <v>1.08</v>
      </c>
      <c r="G372" s="3">
        <v>13.96</v>
      </c>
      <c r="H372" s="2">
        <v>2</v>
      </c>
    </row>
    <row r="373" spans="1:8" x14ac:dyDescent="0.2">
      <c r="A373" s="2" t="s">
        <v>605</v>
      </c>
      <c r="B373" s="2" t="s">
        <v>606</v>
      </c>
      <c r="C373" s="2" t="s">
        <v>74</v>
      </c>
      <c r="D373" s="3">
        <v>0.73</v>
      </c>
      <c r="E373" s="3">
        <v>0.73</v>
      </c>
      <c r="F373" s="3">
        <v>0</v>
      </c>
      <c r="G373" s="3">
        <v>0</v>
      </c>
      <c r="H373" s="2">
        <v>0</v>
      </c>
    </row>
    <row r="374" spans="1:8" x14ac:dyDescent="0.2">
      <c r="A374" s="2" t="s">
        <v>607</v>
      </c>
      <c r="B374" s="2" t="s">
        <v>149</v>
      </c>
      <c r="C374" s="2" t="s">
        <v>154</v>
      </c>
      <c r="D374" s="3">
        <v>1.78</v>
      </c>
      <c r="E374" s="3">
        <v>1.78</v>
      </c>
      <c r="F374" s="3">
        <v>0</v>
      </c>
      <c r="G374" s="3">
        <v>0</v>
      </c>
      <c r="H374" s="2">
        <v>0</v>
      </c>
    </row>
    <row r="375" spans="1:8" x14ac:dyDescent="0.2">
      <c r="A375" s="2" t="s">
        <v>608</v>
      </c>
      <c r="B375" s="2" t="s">
        <v>149</v>
      </c>
      <c r="C375" s="2" t="s">
        <v>154</v>
      </c>
      <c r="D375" s="3">
        <v>1.78</v>
      </c>
      <c r="E375" s="3">
        <v>1.78</v>
      </c>
      <c r="F375" s="3">
        <v>0</v>
      </c>
      <c r="G375" s="3">
        <v>0</v>
      </c>
      <c r="H375" s="2">
        <v>0</v>
      </c>
    </row>
    <row r="376" spans="1:8" x14ac:dyDescent="0.2">
      <c r="A376" s="2" t="s">
        <v>609</v>
      </c>
      <c r="B376" s="2" t="s">
        <v>599</v>
      </c>
      <c r="C376" s="2" t="s">
        <v>57</v>
      </c>
      <c r="D376" s="3">
        <v>0.73</v>
      </c>
      <c r="E376" s="3">
        <v>0.73</v>
      </c>
      <c r="F376" s="3">
        <v>0</v>
      </c>
      <c r="G376" s="3">
        <v>0</v>
      </c>
      <c r="H376" s="2">
        <v>0</v>
      </c>
    </row>
    <row r="377" spans="1:8" x14ac:dyDescent="0.2">
      <c r="A377" s="2" t="s">
        <v>610</v>
      </c>
      <c r="B377" s="2" t="s">
        <v>611</v>
      </c>
      <c r="C377" s="2" t="s">
        <v>49</v>
      </c>
      <c r="D377" s="3">
        <v>6.78</v>
      </c>
      <c r="E377" s="3">
        <v>6.78</v>
      </c>
      <c r="F377" s="3">
        <v>0</v>
      </c>
      <c r="G377" s="3">
        <v>0</v>
      </c>
      <c r="H377" s="2">
        <v>0</v>
      </c>
    </row>
    <row r="378" spans="1:8" x14ac:dyDescent="0.2">
      <c r="A378" s="2" t="s">
        <v>612</v>
      </c>
      <c r="B378" s="2" t="s">
        <v>613</v>
      </c>
      <c r="C378" s="2" t="s">
        <v>22</v>
      </c>
      <c r="D378" s="3">
        <v>29.81</v>
      </c>
      <c r="E378" s="3">
        <v>3.69</v>
      </c>
      <c r="F378" s="3">
        <v>26.12</v>
      </c>
      <c r="G378" s="3">
        <v>0</v>
      </c>
      <c r="H378" s="2">
        <v>5</v>
      </c>
    </row>
    <row r="379" spans="1:8" x14ac:dyDescent="0.2">
      <c r="A379" s="2" t="s">
        <v>614</v>
      </c>
      <c r="B379" s="2" t="s">
        <v>615</v>
      </c>
      <c r="C379" s="2" t="s">
        <v>57</v>
      </c>
      <c r="D379" s="3">
        <v>0.75</v>
      </c>
      <c r="E379" s="3">
        <v>0.75</v>
      </c>
      <c r="F379" s="3">
        <v>0</v>
      </c>
      <c r="G379" s="3">
        <v>0</v>
      </c>
      <c r="H379" s="2">
        <v>0</v>
      </c>
    </row>
    <row r="380" spans="1:8" x14ac:dyDescent="0.2">
      <c r="A380" s="2" t="s">
        <v>616</v>
      </c>
      <c r="B380" s="2" t="s">
        <v>165</v>
      </c>
      <c r="C380" s="2" t="s">
        <v>25</v>
      </c>
      <c r="D380" s="3">
        <v>17.72</v>
      </c>
      <c r="E380" s="3">
        <v>4.47</v>
      </c>
      <c r="F380" s="3">
        <v>13.25</v>
      </c>
      <c r="G380" s="3">
        <v>0</v>
      </c>
      <c r="H380" s="2">
        <v>6</v>
      </c>
    </row>
    <row r="381" spans="1:8" x14ac:dyDescent="0.2">
      <c r="A381" s="2" t="s">
        <v>617</v>
      </c>
      <c r="B381" s="2" t="s">
        <v>618</v>
      </c>
      <c r="C381" s="2" t="s">
        <v>468</v>
      </c>
      <c r="D381" s="3">
        <v>9.68</v>
      </c>
      <c r="E381" s="3">
        <v>1.61</v>
      </c>
      <c r="F381" s="3">
        <v>0</v>
      </c>
      <c r="G381" s="3">
        <v>8.08</v>
      </c>
      <c r="H381" s="2">
        <v>0</v>
      </c>
    </row>
    <row r="382" spans="1:8" x14ac:dyDescent="0.2">
      <c r="A382" s="2" t="s">
        <v>619</v>
      </c>
      <c r="B382" s="2" t="s">
        <v>620</v>
      </c>
      <c r="C382" s="2" t="s">
        <v>49</v>
      </c>
      <c r="D382" s="3">
        <v>1.71</v>
      </c>
      <c r="E382" s="3">
        <v>1.71</v>
      </c>
      <c r="F382" s="3">
        <v>0</v>
      </c>
      <c r="G382" s="3">
        <v>0</v>
      </c>
      <c r="H382" s="2">
        <v>0</v>
      </c>
    </row>
    <row r="383" spans="1:8" x14ac:dyDescent="0.2">
      <c r="A383" s="2" t="s">
        <v>621</v>
      </c>
      <c r="B383" s="2" t="s">
        <v>622</v>
      </c>
      <c r="C383" s="2" t="s">
        <v>57</v>
      </c>
      <c r="D383" s="3">
        <v>27.91</v>
      </c>
      <c r="E383" s="3">
        <v>1.93</v>
      </c>
      <c r="F383" s="3">
        <v>13</v>
      </c>
      <c r="G383" s="3">
        <v>12.97</v>
      </c>
      <c r="H383" s="2">
        <v>3</v>
      </c>
    </row>
    <row r="384" spans="1:8" x14ac:dyDescent="0.2">
      <c r="A384" s="2" t="s">
        <v>623</v>
      </c>
      <c r="B384" s="2" t="s">
        <v>467</v>
      </c>
      <c r="C384" s="2" t="s">
        <v>22</v>
      </c>
      <c r="D384" s="3">
        <v>21.62</v>
      </c>
      <c r="E384" s="3">
        <v>2.82</v>
      </c>
      <c r="F384" s="3">
        <v>18.79</v>
      </c>
      <c r="G384" s="3">
        <v>0</v>
      </c>
      <c r="H384" s="2">
        <v>3</v>
      </c>
    </row>
    <row r="385" spans="1:8" x14ac:dyDescent="0.2">
      <c r="A385" s="2" t="s">
        <v>624</v>
      </c>
      <c r="B385" s="2" t="s">
        <v>458</v>
      </c>
      <c r="C385" s="2" t="s">
        <v>74</v>
      </c>
      <c r="D385" s="3">
        <v>17.59</v>
      </c>
      <c r="E385" s="3">
        <v>1.41</v>
      </c>
      <c r="F385" s="3">
        <v>0</v>
      </c>
      <c r="G385" s="3">
        <v>16.18</v>
      </c>
      <c r="H385" s="2">
        <v>0</v>
      </c>
    </row>
    <row r="386" spans="1:8" x14ac:dyDescent="0.2">
      <c r="A386" s="2" t="s">
        <v>625</v>
      </c>
      <c r="B386" s="2" t="s">
        <v>137</v>
      </c>
      <c r="C386" s="2" t="s">
        <v>22</v>
      </c>
      <c r="D386" s="3">
        <v>57.85</v>
      </c>
      <c r="E386" s="3">
        <v>2.06</v>
      </c>
      <c r="F386" s="3">
        <v>55.79</v>
      </c>
      <c r="G386" s="3">
        <v>0</v>
      </c>
      <c r="H386" s="2">
        <v>7</v>
      </c>
    </row>
    <row r="387" spans="1:8" x14ac:dyDescent="0.2">
      <c r="A387" s="2" t="s">
        <v>626</v>
      </c>
      <c r="B387" s="2" t="s">
        <v>572</v>
      </c>
      <c r="C387" s="2" t="s">
        <v>87</v>
      </c>
      <c r="D387" s="3">
        <v>0.88</v>
      </c>
      <c r="E387" s="3">
        <v>0.88</v>
      </c>
      <c r="F387" s="3">
        <v>0</v>
      </c>
      <c r="G387" s="3">
        <v>0</v>
      </c>
      <c r="H387" s="2">
        <v>0</v>
      </c>
    </row>
    <row r="388" spans="1:8" x14ac:dyDescent="0.2">
      <c r="A388" s="2" t="s">
        <v>627</v>
      </c>
      <c r="B388" s="2" t="s">
        <v>572</v>
      </c>
      <c r="C388" s="2" t="s">
        <v>87</v>
      </c>
      <c r="D388" s="3">
        <v>0.86</v>
      </c>
      <c r="E388" s="3">
        <v>0.86</v>
      </c>
      <c r="F388" s="3">
        <v>0</v>
      </c>
      <c r="G388" s="3">
        <v>0</v>
      </c>
      <c r="H388" s="2">
        <v>0</v>
      </c>
    </row>
    <row r="389" spans="1:8" x14ac:dyDescent="0.2">
      <c r="A389" s="2" t="s">
        <v>628</v>
      </c>
      <c r="B389" s="2" t="s">
        <v>572</v>
      </c>
      <c r="C389" s="2" t="s">
        <v>87</v>
      </c>
      <c r="D389" s="3">
        <v>0.88</v>
      </c>
      <c r="E389" s="3">
        <v>0.88</v>
      </c>
      <c r="F389" s="3">
        <v>0</v>
      </c>
      <c r="G389" s="3">
        <v>0</v>
      </c>
      <c r="H389" s="2">
        <v>0</v>
      </c>
    </row>
    <row r="390" spans="1:8" x14ac:dyDescent="0.2">
      <c r="A390" s="2" t="s">
        <v>629</v>
      </c>
      <c r="B390" s="2" t="s">
        <v>630</v>
      </c>
      <c r="C390" s="2" t="s">
        <v>74</v>
      </c>
      <c r="D390" s="3">
        <v>0.7</v>
      </c>
      <c r="E390" s="3">
        <v>0.7</v>
      </c>
      <c r="F390" s="3">
        <v>0</v>
      </c>
      <c r="G390" s="3">
        <v>0</v>
      </c>
      <c r="H390" s="2">
        <v>0</v>
      </c>
    </row>
    <row r="391" spans="1:8" x14ac:dyDescent="0.2">
      <c r="A391" s="2" t="s">
        <v>631</v>
      </c>
      <c r="B391" s="2" t="s">
        <v>124</v>
      </c>
      <c r="C391" s="2" t="s">
        <v>92</v>
      </c>
      <c r="D391" s="3">
        <v>1.91</v>
      </c>
      <c r="E391" s="3">
        <v>1.91</v>
      </c>
      <c r="F391" s="3">
        <v>0</v>
      </c>
      <c r="G391" s="3">
        <v>0</v>
      </c>
      <c r="H391" s="2">
        <v>0</v>
      </c>
    </row>
    <row r="392" spans="1:8" x14ac:dyDescent="0.2">
      <c r="A392" s="2" t="s">
        <v>632</v>
      </c>
      <c r="B392" s="2" t="s">
        <v>633</v>
      </c>
      <c r="C392" s="2" t="s">
        <v>74</v>
      </c>
      <c r="D392" s="3">
        <v>0.7</v>
      </c>
      <c r="E392" s="3">
        <v>0.7</v>
      </c>
      <c r="F392" s="3">
        <v>0</v>
      </c>
      <c r="G392" s="3">
        <v>0</v>
      </c>
      <c r="H392" s="2">
        <v>0</v>
      </c>
    </row>
    <row r="393" spans="1:8" x14ac:dyDescent="0.2">
      <c r="A393" s="2" t="s">
        <v>634</v>
      </c>
      <c r="B393" s="2" t="s">
        <v>635</v>
      </c>
      <c r="C393" s="2" t="s">
        <v>28</v>
      </c>
      <c r="D393" s="3">
        <v>1.92</v>
      </c>
      <c r="E393" s="3">
        <v>1.92</v>
      </c>
      <c r="F393" s="3">
        <v>0</v>
      </c>
      <c r="G393" s="3">
        <v>0</v>
      </c>
      <c r="H393" s="2">
        <v>0</v>
      </c>
    </row>
    <row r="394" spans="1:8" x14ac:dyDescent="0.2">
      <c r="A394" s="2" t="s">
        <v>636</v>
      </c>
      <c r="B394" s="2" t="s">
        <v>637</v>
      </c>
      <c r="C394" s="2" t="s">
        <v>49</v>
      </c>
      <c r="D394" s="3">
        <v>0.85</v>
      </c>
      <c r="E394" s="3">
        <v>0.85</v>
      </c>
      <c r="F394" s="3">
        <v>0</v>
      </c>
      <c r="G394" s="3">
        <v>0</v>
      </c>
      <c r="H394" s="2">
        <v>0</v>
      </c>
    </row>
    <row r="395" spans="1:8" x14ac:dyDescent="0.2">
      <c r="A395" s="2" t="s">
        <v>638</v>
      </c>
      <c r="B395" s="2" t="s">
        <v>351</v>
      </c>
      <c r="C395" s="2" t="s">
        <v>66</v>
      </c>
      <c r="D395" s="3">
        <v>15.75</v>
      </c>
      <c r="E395" s="3">
        <v>3.66</v>
      </c>
      <c r="F395" s="3">
        <v>10.32</v>
      </c>
      <c r="G395" s="3">
        <v>1.76</v>
      </c>
      <c r="H395" s="2">
        <v>5</v>
      </c>
    </row>
    <row r="396" spans="1:8" x14ac:dyDescent="0.2">
      <c r="A396" s="2" t="s">
        <v>639</v>
      </c>
      <c r="B396" s="2" t="s">
        <v>640</v>
      </c>
      <c r="C396" s="2" t="s">
        <v>74</v>
      </c>
      <c r="D396" s="3">
        <v>1.86</v>
      </c>
      <c r="E396" s="3">
        <v>1.86</v>
      </c>
      <c r="F396" s="3">
        <v>0</v>
      </c>
      <c r="G396" s="3">
        <v>0</v>
      </c>
      <c r="H396" s="2">
        <v>0</v>
      </c>
    </row>
    <row r="397" spans="1:8" x14ac:dyDescent="0.2">
      <c r="A397" s="2" t="s">
        <v>641</v>
      </c>
      <c r="B397" s="2" t="s">
        <v>642</v>
      </c>
      <c r="C397" s="2" t="s">
        <v>25</v>
      </c>
      <c r="D397" s="3">
        <v>20.83</v>
      </c>
      <c r="E397" s="3">
        <v>8.36</v>
      </c>
      <c r="F397" s="3">
        <v>8.2200000000000006</v>
      </c>
      <c r="G397" s="3">
        <v>4.25</v>
      </c>
      <c r="H397" s="2">
        <v>4</v>
      </c>
    </row>
    <row r="398" spans="1:8" x14ac:dyDescent="0.2">
      <c r="A398" s="2" t="s">
        <v>643</v>
      </c>
      <c r="B398" s="2" t="s">
        <v>644</v>
      </c>
      <c r="C398" s="2" t="s">
        <v>57</v>
      </c>
      <c r="D398" s="3">
        <v>0.67</v>
      </c>
      <c r="E398" s="3">
        <v>0.67</v>
      </c>
      <c r="F398" s="3">
        <v>0</v>
      </c>
      <c r="G398" s="3">
        <v>0</v>
      </c>
      <c r="H398" s="2">
        <v>0</v>
      </c>
    </row>
    <row r="399" spans="1:8" x14ac:dyDescent="0.2">
      <c r="A399" s="2" t="s">
        <v>645</v>
      </c>
      <c r="B399" s="2" t="s">
        <v>646</v>
      </c>
      <c r="C399" s="2" t="s">
        <v>25</v>
      </c>
      <c r="D399" s="3">
        <v>8.81</v>
      </c>
      <c r="E399" s="3">
        <v>0.88</v>
      </c>
      <c r="F399" s="3">
        <v>7.93</v>
      </c>
      <c r="G399" s="3">
        <v>0</v>
      </c>
      <c r="H399" s="2">
        <v>3</v>
      </c>
    </row>
    <row r="400" spans="1:8" x14ac:dyDescent="0.2">
      <c r="A400" s="2" t="s">
        <v>647</v>
      </c>
      <c r="B400" s="2" t="s">
        <v>648</v>
      </c>
      <c r="C400" s="2" t="s">
        <v>25</v>
      </c>
      <c r="D400" s="3">
        <v>23.66</v>
      </c>
      <c r="E400" s="3">
        <v>0.1</v>
      </c>
      <c r="F400" s="3">
        <v>22.92</v>
      </c>
      <c r="G400" s="3">
        <v>0.64</v>
      </c>
      <c r="H400" s="2">
        <v>4</v>
      </c>
    </row>
    <row r="401" spans="1:8" x14ac:dyDescent="0.2">
      <c r="A401" s="2" t="s">
        <v>649</v>
      </c>
      <c r="B401" s="2" t="s">
        <v>644</v>
      </c>
      <c r="C401" s="2" t="s">
        <v>57</v>
      </c>
      <c r="D401" s="3">
        <v>0.67</v>
      </c>
      <c r="E401" s="3">
        <v>0.67</v>
      </c>
      <c r="F401" s="3">
        <v>0</v>
      </c>
      <c r="G401" s="3">
        <v>0</v>
      </c>
      <c r="H401" s="2">
        <v>0</v>
      </c>
    </row>
    <row r="402" spans="1:8" x14ac:dyDescent="0.2">
      <c r="A402" s="2" t="s">
        <v>650</v>
      </c>
      <c r="B402" s="2" t="s">
        <v>651</v>
      </c>
      <c r="C402" s="2" t="s">
        <v>236</v>
      </c>
      <c r="D402" s="3">
        <v>9.57</v>
      </c>
      <c r="E402" s="3">
        <v>5.54</v>
      </c>
      <c r="F402" s="3">
        <v>4.03</v>
      </c>
      <c r="G402" s="3">
        <v>0</v>
      </c>
      <c r="H402" s="2">
        <v>2</v>
      </c>
    </row>
    <row r="403" spans="1:8" x14ac:dyDescent="0.2">
      <c r="A403" s="2" t="s">
        <v>652</v>
      </c>
      <c r="B403" s="2" t="s">
        <v>653</v>
      </c>
      <c r="C403" s="2" t="s">
        <v>57</v>
      </c>
      <c r="D403" s="3">
        <v>0</v>
      </c>
      <c r="E403" s="3">
        <v>0</v>
      </c>
      <c r="F403" s="3">
        <v>0</v>
      </c>
      <c r="G403" s="3">
        <v>0</v>
      </c>
      <c r="H403" s="2">
        <v>0</v>
      </c>
    </row>
    <row r="404" spans="1:8" x14ac:dyDescent="0.2">
      <c r="A404" s="2" t="s">
        <v>654</v>
      </c>
      <c r="B404" s="2" t="s">
        <v>653</v>
      </c>
      <c r="C404" s="2" t="s">
        <v>57</v>
      </c>
      <c r="D404" s="3">
        <v>0</v>
      </c>
      <c r="E404" s="3">
        <v>0</v>
      </c>
      <c r="F404" s="3">
        <v>0</v>
      </c>
      <c r="G404" s="3">
        <v>0</v>
      </c>
      <c r="H404" s="2">
        <v>0</v>
      </c>
    </row>
    <row r="405" spans="1:8" x14ac:dyDescent="0.2">
      <c r="A405" s="2" t="s">
        <v>655</v>
      </c>
      <c r="B405" s="2" t="s">
        <v>653</v>
      </c>
      <c r="C405" s="2" t="s">
        <v>57</v>
      </c>
      <c r="D405" s="3">
        <v>0</v>
      </c>
      <c r="E405" s="3">
        <v>0</v>
      </c>
      <c r="F405" s="3">
        <v>0</v>
      </c>
      <c r="G405" s="3">
        <v>0</v>
      </c>
      <c r="H405" s="2">
        <v>0</v>
      </c>
    </row>
    <row r="406" spans="1:8" x14ac:dyDescent="0.2">
      <c r="A406" s="2" t="s">
        <v>656</v>
      </c>
      <c r="B406" s="2" t="s">
        <v>653</v>
      </c>
      <c r="C406" s="2" t="s">
        <v>57</v>
      </c>
      <c r="D406" s="3">
        <v>0</v>
      </c>
      <c r="E406" s="3">
        <v>0</v>
      </c>
      <c r="F406" s="3">
        <v>0</v>
      </c>
      <c r="G406" s="3">
        <v>0</v>
      </c>
      <c r="H406" s="2">
        <v>0</v>
      </c>
    </row>
    <row r="407" spans="1:8" x14ac:dyDescent="0.2">
      <c r="A407" s="2" t="s">
        <v>657</v>
      </c>
      <c r="B407" s="2" t="s">
        <v>658</v>
      </c>
      <c r="C407" s="2" t="s">
        <v>28</v>
      </c>
      <c r="D407" s="3">
        <v>3.59</v>
      </c>
      <c r="E407" s="3">
        <v>2.83</v>
      </c>
      <c r="F407" s="3">
        <v>0.76</v>
      </c>
      <c r="G407" s="3">
        <v>0</v>
      </c>
      <c r="H407" s="2">
        <v>1</v>
      </c>
    </row>
    <row r="408" spans="1:8" x14ac:dyDescent="0.2">
      <c r="A408" s="2" t="s">
        <v>659</v>
      </c>
      <c r="B408" s="2" t="s">
        <v>299</v>
      </c>
      <c r="C408" s="2" t="s">
        <v>22</v>
      </c>
      <c r="D408" s="3">
        <v>16.690000000000001</v>
      </c>
      <c r="E408" s="3">
        <v>4.38</v>
      </c>
      <c r="F408" s="3">
        <v>11.2</v>
      </c>
      <c r="G408" s="3">
        <v>1.1100000000000001</v>
      </c>
      <c r="H408" s="2">
        <v>6</v>
      </c>
    </row>
    <row r="409" spans="1:8" x14ac:dyDescent="0.2">
      <c r="A409" s="2" t="s">
        <v>660</v>
      </c>
      <c r="B409" s="2" t="s">
        <v>661</v>
      </c>
      <c r="C409" s="2" t="s">
        <v>28</v>
      </c>
      <c r="D409" s="3">
        <v>3.61</v>
      </c>
      <c r="E409" s="3">
        <v>0.89</v>
      </c>
      <c r="F409" s="3">
        <v>2.73</v>
      </c>
      <c r="G409" s="3">
        <v>0</v>
      </c>
      <c r="H409" s="2">
        <v>1</v>
      </c>
    </row>
    <row r="410" spans="1:8" x14ac:dyDescent="0.2">
      <c r="A410" s="2" t="s">
        <v>662</v>
      </c>
      <c r="B410" s="2" t="s">
        <v>663</v>
      </c>
      <c r="C410" s="2" t="s">
        <v>25</v>
      </c>
      <c r="D410" s="3">
        <v>6.75</v>
      </c>
      <c r="E410" s="3">
        <v>1.18</v>
      </c>
      <c r="F410" s="3">
        <v>5.57</v>
      </c>
      <c r="G410" s="3">
        <v>0</v>
      </c>
      <c r="H410" s="2">
        <v>3</v>
      </c>
    </row>
    <row r="411" spans="1:8" x14ac:dyDescent="0.2">
      <c r="A411" s="2" t="s">
        <v>664</v>
      </c>
      <c r="B411" s="2" t="s">
        <v>665</v>
      </c>
      <c r="C411" s="2" t="s">
        <v>49</v>
      </c>
      <c r="D411" s="3">
        <v>54.64</v>
      </c>
      <c r="E411" s="3">
        <v>9.61</v>
      </c>
      <c r="F411" s="3">
        <v>45.04</v>
      </c>
      <c r="G411" s="3">
        <v>0</v>
      </c>
      <c r="H411" s="2">
        <v>8</v>
      </c>
    </row>
    <row r="412" spans="1:8" x14ac:dyDescent="0.2">
      <c r="A412" s="2" t="s">
        <v>666</v>
      </c>
      <c r="B412" s="2" t="s">
        <v>114</v>
      </c>
      <c r="C412" s="2" t="s">
        <v>28</v>
      </c>
      <c r="D412" s="3">
        <v>3.5</v>
      </c>
      <c r="E412" s="3">
        <v>3.5</v>
      </c>
      <c r="F412" s="3">
        <v>0</v>
      </c>
      <c r="G412" s="3">
        <v>0</v>
      </c>
      <c r="H412" s="2">
        <v>0</v>
      </c>
    </row>
    <row r="413" spans="1:8" x14ac:dyDescent="0.2">
      <c r="A413" s="2" t="s">
        <v>667</v>
      </c>
      <c r="B413" s="2" t="s">
        <v>668</v>
      </c>
      <c r="C413" s="2" t="s">
        <v>104</v>
      </c>
      <c r="D413" s="3">
        <v>0.65</v>
      </c>
      <c r="E413" s="3">
        <v>0.65</v>
      </c>
      <c r="F413" s="3">
        <v>0</v>
      </c>
      <c r="G413" s="3">
        <v>0</v>
      </c>
      <c r="H413" s="2">
        <v>0</v>
      </c>
    </row>
    <row r="414" spans="1:8" x14ac:dyDescent="0.2">
      <c r="A414" s="2" t="s">
        <v>669</v>
      </c>
      <c r="B414" s="2" t="s">
        <v>668</v>
      </c>
      <c r="C414" s="2" t="s">
        <v>104</v>
      </c>
      <c r="D414" s="3">
        <v>0.6</v>
      </c>
      <c r="E414" s="3">
        <v>0.6</v>
      </c>
      <c r="F414" s="3">
        <v>0</v>
      </c>
      <c r="G414" s="3">
        <v>0</v>
      </c>
      <c r="H414" s="2">
        <v>0</v>
      </c>
    </row>
    <row r="415" spans="1:8" x14ac:dyDescent="0.2">
      <c r="A415" s="2" t="s">
        <v>670</v>
      </c>
      <c r="B415" s="2" t="s">
        <v>668</v>
      </c>
      <c r="C415" s="2" t="s">
        <v>104</v>
      </c>
      <c r="D415" s="3">
        <v>0.62</v>
      </c>
      <c r="E415" s="3">
        <v>0.62</v>
      </c>
      <c r="F415" s="3">
        <v>0</v>
      </c>
      <c r="G415" s="3">
        <v>0</v>
      </c>
      <c r="H415" s="2">
        <v>0</v>
      </c>
    </row>
    <row r="416" spans="1:8" x14ac:dyDescent="0.2">
      <c r="A416" s="2" t="s">
        <v>671</v>
      </c>
      <c r="B416" s="2" t="s">
        <v>668</v>
      </c>
      <c r="C416" s="2" t="s">
        <v>104</v>
      </c>
      <c r="D416" s="3">
        <v>0.59</v>
      </c>
      <c r="E416" s="3">
        <v>0.59</v>
      </c>
      <c r="F416" s="3">
        <v>0</v>
      </c>
      <c r="G416" s="3">
        <v>0</v>
      </c>
      <c r="H416" s="2">
        <v>0</v>
      </c>
    </row>
    <row r="417" spans="1:8" x14ac:dyDescent="0.2">
      <c r="A417" s="2" t="s">
        <v>672</v>
      </c>
      <c r="B417" s="2" t="s">
        <v>668</v>
      </c>
      <c r="C417" s="2" t="s">
        <v>104</v>
      </c>
      <c r="D417" s="3">
        <v>1.55</v>
      </c>
      <c r="E417" s="3">
        <v>1.55</v>
      </c>
      <c r="F417" s="3">
        <v>0</v>
      </c>
      <c r="G417" s="3">
        <v>0</v>
      </c>
      <c r="H417" s="2">
        <v>0</v>
      </c>
    </row>
    <row r="418" spans="1:8" x14ac:dyDescent="0.2">
      <c r="A418" s="2" t="s">
        <v>673</v>
      </c>
      <c r="B418" s="2" t="s">
        <v>674</v>
      </c>
      <c r="C418" s="2" t="s">
        <v>22</v>
      </c>
      <c r="D418" s="3">
        <v>16.63</v>
      </c>
      <c r="E418" s="3">
        <v>5.57</v>
      </c>
      <c r="F418" s="3">
        <v>11.07</v>
      </c>
      <c r="G418" s="3">
        <v>0</v>
      </c>
      <c r="H418" s="2">
        <v>5</v>
      </c>
    </row>
    <row r="419" spans="1:8" x14ac:dyDescent="0.2">
      <c r="A419" s="2" t="s">
        <v>675</v>
      </c>
      <c r="B419" s="2" t="s">
        <v>340</v>
      </c>
      <c r="C419" s="2" t="s">
        <v>92</v>
      </c>
      <c r="D419" s="3">
        <v>6.43</v>
      </c>
      <c r="E419" s="3">
        <v>4.1100000000000003</v>
      </c>
      <c r="F419" s="3">
        <v>0</v>
      </c>
      <c r="G419" s="3">
        <v>2.33</v>
      </c>
      <c r="H419" s="2">
        <v>0</v>
      </c>
    </row>
    <row r="420" spans="1:8" x14ac:dyDescent="0.2">
      <c r="A420" s="2" t="s">
        <v>676</v>
      </c>
      <c r="B420" s="2" t="s">
        <v>38</v>
      </c>
      <c r="C420" s="2" t="s">
        <v>25</v>
      </c>
      <c r="D420" s="3">
        <v>2.38</v>
      </c>
      <c r="E420" s="3">
        <v>1.26</v>
      </c>
      <c r="F420" s="3">
        <v>1.1200000000000001</v>
      </c>
      <c r="G420" s="3">
        <v>0</v>
      </c>
      <c r="H420" s="2">
        <v>2</v>
      </c>
    </row>
    <row r="421" spans="1:8" x14ac:dyDescent="0.2">
      <c r="A421" s="2" t="s">
        <v>677</v>
      </c>
      <c r="B421" s="2" t="s">
        <v>80</v>
      </c>
      <c r="C421" s="2" t="s">
        <v>49</v>
      </c>
      <c r="D421" s="3">
        <v>0.5</v>
      </c>
      <c r="E421" s="3">
        <v>0.5</v>
      </c>
      <c r="F421" s="3">
        <v>0</v>
      </c>
      <c r="G421" s="3">
        <v>0</v>
      </c>
      <c r="H421" s="2">
        <v>0</v>
      </c>
    </row>
    <row r="422" spans="1:8" x14ac:dyDescent="0.2">
      <c r="A422" s="2" t="s">
        <v>678</v>
      </c>
      <c r="B422" s="2" t="s">
        <v>679</v>
      </c>
      <c r="C422" s="2" t="s">
        <v>25</v>
      </c>
      <c r="D422" s="3">
        <v>13.33</v>
      </c>
      <c r="E422" s="3">
        <v>0.26</v>
      </c>
      <c r="F422" s="3">
        <v>13.07</v>
      </c>
      <c r="G422" s="3">
        <v>0</v>
      </c>
      <c r="H422" s="2">
        <v>4</v>
      </c>
    </row>
    <row r="423" spans="1:8" x14ac:dyDescent="0.2">
      <c r="A423" s="2" t="s">
        <v>680</v>
      </c>
      <c r="B423" s="2" t="s">
        <v>681</v>
      </c>
      <c r="C423" s="2" t="s">
        <v>25</v>
      </c>
      <c r="D423" s="3">
        <v>6.39</v>
      </c>
      <c r="E423" s="3">
        <v>1.72</v>
      </c>
      <c r="F423" s="3">
        <v>4.66</v>
      </c>
      <c r="G423" s="3">
        <v>0</v>
      </c>
      <c r="H423" s="2">
        <v>3</v>
      </c>
    </row>
    <row r="424" spans="1:8" x14ac:dyDescent="0.2">
      <c r="A424" s="2" t="s">
        <v>682</v>
      </c>
      <c r="B424" s="2" t="s">
        <v>681</v>
      </c>
      <c r="C424" s="2" t="s">
        <v>28</v>
      </c>
      <c r="D424" s="3">
        <v>9.43</v>
      </c>
      <c r="E424" s="3">
        <v>2.2999999999999998</v>
      </c>
      <c r="F424" s="3">
        <v>1.01</v>
      </c>
      <c r="G424" s="3">
        <v>6.13</v>
      </c>
      <c r="H424" s="2">
        <v>1</v>
      </c>
    </row>
    <row r="425" spans="1:8" x14ac:dyDescent="0.2">
      <c r="A425" s="2" t="s">
        <v>683</v>
      </c>
      <c r="B425" s="2" t="s">
        <v>681</v>
      </c>
      <c r="C425" s="2" t="s">
        <v>28</v>
      </c>
      <c r="D425" s="3">
        <v>9.42</v>
      </c>
      <c r="E425" s="3">
        <v>2.21</v>
      </c>
      <c r="F425" s="3">
        <v>1.01</v>
      </c>
      <c r="G425" s="3">
        <v>6.2</v>
      </c>
      <c r="H425" s="2">
        <v>1</v>
      </c>
    </row>
    <row r="426" spans="1:8" x14ac:dyDescent="0.2">
      <c r="A426" s="2" t="s">
        <v>684</v>
      </c>
      <c r="B426" s="2" t="s">
        <v>681</v>
      </c>
      <c r="C426" s="2" t="s">
        <v>28</v>
      </c>
      <c r="D426" s="3">
        <v>1.27</v>
      </c>
      <c r="E426" s="3">
        <v>1.27</v>
      </c>
      <c r="F426" s="3">
        <v>0</v>
      </c>
      <c r="G426" s="3">
        <v>0</v>
      </c>
      <c r="H426" s="2">
        <v>0</v>
      </c>
    </row>
    <row r="427" spans="1:8" x14ac:dyDescent="0.2">
      <c r="A427" s="2" t="s">
        <v>685</v>
      </c>
      <c r="B427" s="2" t="s">
        <v>681</v>
      </c>
      <c r="C427" s="2" t="s">
        <v>28</v>
      </c>
      <c r="D427" s="3">
        <v>1.27</v>
      </c>
      <c r="E427" s="3">
        <v>1.27</v>
      </c>
      <c r="F427" s="3">
        <v>0</v>
      </c>
      <c r="G427" s="3">
        <v>0</v>
      </c>
      <c r="H427" s="2">
        <v>0</v>
      </c>
    </row>
    <row r="428" spans="1:8" x14ac:dyDescent="0.2">
      <c r="A428" s="2" t="s">
        <v>686</v>
      </c>
      <c r="B428" s="2" t="s">
        <v>687</v>
      </c>
      <c r="C428" s="2" t="s">
        <v>28</v>
      </c>
      <c r="D428" s="3">
        <v>34.15</v>
      </c>
      <c r="E428" s="3">
        <v>8.69</v>
      </c>
      <c r="F428" s="3">
        <v>4.2699999999999996</v>
      </c>
      <c r="G428" s="3">
        <v>21.19</v>
      </c>
      <c r="H428" s="2">
        <v>2</v>
      </c>
    </row>
    <row r="429" spans="1:8" x14ac:dyDescent="0.2">
      <c r="A429" s="2" t="s">
        <v>688</v>
      </c>
      <c r="B429" s="2" t="s">
        <v>687</v>
      </c>
      <c r="C429" s="2" t="s">
        <v>74</v>
      </c>
      <c r="D429" s="3">
        <v>0.12</v>
      </c>
      <c r="E429" s="3">
        <v>0.12</v>
      </c>
      <c r="F429" s="3">
        <v>0</v>
      </c>
      <c r="G429" s="3">
        <v>0</v>
      </c>
      <c r="H429" s="2">
        <v>0</v>
      </c>
    </row>
    <row r="430" spans="1:8" x14ac:dyDescent="0.2">
      <c r="A430" s="2" t="s">
        <v>689</v>
      </c>
      <c r="B430" s="2" t="s">
        <v>690</v>
      </c>
      <c r="C430" s="2" t="s">
        <v>25</v>
      </c>
      <c r="D430" s="3">
        <v>6.16</v>
      </c>
      <c r="E430" s="3">
        <v>3.07</v>
      </c>
      <c r="F430" s="3">
        <v>3.09</v>
      </c>
      <c r="G430" s="3">
        <v>0</v>
      </c>
      <c r="H430" s="2">
        <v>1</v>
      </c>
    </row>
    <row r="431" spans="1:8" x14ac:dyDescent="0.2">
      <c r="A431" s="2" t="s">
        <v>691</v>
      </c>
      <c r="B431" s="2" t="s">
        <v>692</v>
      </c>
      <c r="C431" s="2" t="s">
        <v>28</v>
      </c>
      <c r="D431" s="3">
        <v>6.15</v>
      </c>
      <c r="E431" s="3">
        <v>5.3</v>
      </c>
      <c r="F431" s="3">
        <v>0.86</v>
      </c>
      <c r="G431" s="3">
        <v>0</v>
      </c>
      <c r="H431" s="2">
        <v>2</v>
      </c>
    </row>
    <row r="432" spans="1:8" x14ac:dyDescent="0.2">
      <c r="A432" s="2" t="s">
        <v>693</v>
      </c>
      <c r="B432" s="2" t="s">
        <v>208</v>
      </c>
      <c r="C432" s="2" t="s">
        <v>28</v>
      </c>
      <c r="D432" s="3">
        <v>2.27</v>
      </c>
      <c r="E432" s="3">
        <v>2.27</v>
      </c>
      <c r="F432" s="3">
        <v>0</v>
      </c>
      <c r="G432" s="3">
        <v>0</v>
      </c>
      <c r="H432" s="2">
        <v>0</v>
      </c>
    </row>
    <row r="433" spans="1:8" x14ac:dyDescent="0.2">
      <c r="A433" s="2" t="s">
        <v>694</v>
      </c>
      <c r="B433" s="2" t="s">
        <v>482</v>
      </c>
      <c r="C433" s="2" t="s">
        <v>28</v>
      </c>
      <c r="D433" s="3">
        <v>2.31</v>
      </c>
      <c r="E433" s="3">
        <v>2.31</v>
      </c>
      <c r="F433" s="3">
        <v>0</v>
      </c>
      <c r="G433" s="3">
        <v>0</v>
      </c>
      <c r="H433" s="2">
        <v>0</v>
      </c>
    </row>
    <row r="434" spans="1:8" x14ac:dyDescent="0.2">
      <c r="A434" s="2" t="s">
        <v>695</v>
      </c>
      <c r="B434" s="2" t="s">
        <v>163</v>
      </c>
      <c r="C434" s="2" t="s">
        <v>25</v>
      </c>
      <c r="D434" s="3">
        <v>1.22</v>
      </c>
      <c r="E434" s="3">
        <v>1.22</v>
      </c>
      <c r="F434" s="3">
        <v>0</v>
      </c>
      <c r="G434" s="3">
        <v>0</v>
      </c>
      <c r="H434" s="2">
        <v>0</v>
      </c>
    </row>
    <row r="435" spans="1:8" x14ac:dyDescent="0.2">
      <c r="A435" s="2" t="s">
        <v>696</v>
      </c>
      <c r="B435" s="2" t="s">
        <v>163</v>
      </c>
      <c r="C435" s="2" t="s">
        <v>25</v>
      </c>
      <c r="D435" s="3">
        <v>27.17</v>
      </c>
      <c r="E435" s="3">
        <v>8.99</v>
      </c>
      <c r="F435" s="3">
        <v>5.0599999999999996</v>
      </c>
      <c r="G435" s="3">
        <v>13.12</v>
      </c>
      <c r="H435" s="2">
        <v>7</v>
      </c>
    </row>
    <row r="436" spans="1:8" x14ac:dyDescent="0.2">
      <c r="A436" s="2" t="s">
        <v>697</v>
      </c>
      <c r="B436" s="2" t="s">
        <v>165</v>
      </c>
      <c r="C436" s="2" t="s">
        <v>66</v>
      </c>
      <c r="D436" s="3">
        <v>1.1100000000000001</v>
      </c>
      <c r="E436" s="3">
        <v>1.1100000000000001</v>
      </c>
      <c r="F436" s="3">
        <v>0</v>
      </c>
      <c r="G436" s="3">
        <v>0</v>
      </c>
      <c r="H436" s="2">
        <v>0</v>
      </c>
    </row>
    <row r="437" spans="1:8" x14ac:dyDescent="0.2">
      <c r="A437" s="2" t="s">
        <v>698</v>
      </c>
      <c r="B437" s="2" t="s">
        <v>224</v>
      </c>
      <c r="C437" s="2" t="s">
        <v>25</v>
      </c>
      <c r="D437" s="3">
        <v>42.1</v>
      </c>
      <c r="E437" s="3">
        <v>8.48</v>
      </c>
      <c r="F437" s="3">
        <v>0</v>
      </c>
      <c r="G437" s="3">
        <v>33.619999999999997</v>
      </c>
      <c r="H437" s="2">
        <v>0</v>
      </c>
    </row>
    <row r="438" spans="1:8" x14ac:dyDescent="0.2">
      <c r="A438" s="2" t="s">
        <v>699</v>
      </c>
      <c r="B438" s="2" t="s">
        <v>700</v>
      </c>
      <c r="C438" s="2" t="s">
        <v>25</v>
      </c>
      <c r="D438" s="3">
        <v>35.200000000000003</v>
      </c>
      <c r="E438" s="3">
        <v>1.85</v>
      </c>
      <c r="F438" s="3">
        <v>15.29</v>
      </c>
      <c r="G438" s="3">
        <v>18.059999999999999</v>
      </c>
      <c r="H438" s="2">
        <v>4</v>
      </c>
    </row>
    <row r="439" spans="1:8" x14ac:dyDescent="0.2">
      <c r="A439" s="2" t="s">
        <v>701</v>
      </c>
      <c r="B439" s="2" t="s">
        <v>702</v>
      </c>
      <c r="C439" s="2" t="s">
        <v>25</v>
      </c>
      <c r="D439" s="3">
        <v>9.25</v>
      </c>
      <c r="E439" s="3">
        <v>1.1599999999999999</v>
      </c>
      <c r="F439" s="3">
        <v>8.08</v>
      </c>
      <c r="G439" s="3">
        <v>0</v>
      </c>
      <c r="H439" s="2">
        <v>7</v>
      </c>
    </row>
    <row r="440" spans="1:8" x14ac:dyDescent="0.2">
      <c r="A440" s="2" t="s">
        <v>703</v>
      </c>
      <c r="B440" s="2" t="s">
        <v>224</v>
      </c>
      <c r="C440" s="2" t="s">
        <v>25</v>
      </c>
      <c r="D440" s="3">
        <v>8.17</v>
      </c>
      <c r="E440" s="3">
        <v>3.81</v>
      </c>
      <c r="F440" s="3">
        <v>0</v>
      </c>
      <c r="G440" s="3">
        <v>4.3600000000000003</v>
      </c>
      <c r="H440" s="2">
        <v>0</v>
      </c>
    </row>
    <row r="441" spans="1:8" x14ac:dyDescent="0.2">
      <c r="A441" s="2" t="s">
        <v>704</v>
      </c>
      <c r="B441" s="2" t="s">
        <v>705</v>
      </c>
      <c r="C441" s="2" t="s">
        <v>74</v>
      </c>
      <c r="D441" s="3">
        <v>0.02</v>
      </c>
      <c r="E441" s="3">
        <v>0.02</v>
      </c>
      <c r="F441" s="3">
        <v>0</v>
      </c>
      <c r="G441" s="3">
        <v>0</v>
      </c>
      <c r="H441" s="2">
        <v>0</v>
      </c>
    </row>
    <row r="442" spans="1:8" x14ac:dyDescent="0.2">
      <c r="A442" s="2" t="s">
        <v>706</v>
      </c>
      <c r="B442" s="2" t="s">
        <v>467</v>
      </c>
      <c r="C442" s="2" t="s">
        <v>92</v>
      </c>
      <c r="D442" s="3">
        <v>17.34</v>
      </c>
      <c r="E442" s="3">
        <v>4.9400000000000004</v>
      </c>
      <c r="F442" s="3">
        <v>12.39</v>
      </c>
      <c r="G442" s="3">
        <v>0</v>
      </c>
      <c r="H442" s="2">
        <v>4</v>
      </c>
    </row>
    <row r="443" spans="1:8" x14ac:dyDescent="0.2">
      <c r="A443" s="2" t="s">
        <v>707</v>
      </c>
      <c r="B443" s="2" t="s">
        <v>38</v>
      </c>
      <c r="C443" s="2" t="s">
        <v>49</v>
      </c>
      <c r="D443" s="3">
        <v>6.13</v>
      </c>
      <c r="E443" s="3">
        <v>4.83</v>
      </c>
      <c r="F443" s="3">
        <v>1.29</v>
      </c>
      <c r="G443" s="3">
        <v>0</v>
      </c>
      <c r="H443" s="2">
        <v>2</v>
      </c>
    </row>
    <row r="444" spans="1:8" x14ac:dyDescent="0.2">
      <c r="A444" s="2" t="s">
        <v>708</v>
      </c>
      <c r="B444" s="2" t="s">
        <v>84</v>
      </c>
      <c r="C444" s="2" t="s">
        <v>154</v>
      </c>
      <c r="D444" s="3">
        <v>35.229999999999997</v>
      </c>
      <c r="E444" s="3">
        <v>23.39</v>
      </c>
      <c r="F444" s="3">
        <v>0</v>
      </c>
      <c r="G444" s="3">
        <v>11.85</v>
      </c>
      <c r="H444" s="2">
        <v>0</v>
      </c>
    </row>
    <row r="445" spans="1:8" x14ac:dyDescent="0.2">
      <c r="A445" s="2" t="s">
        <v>709</v>
      </c>
      <c r="B445" s="2" t="s">
        <v>710</v>
      </c>
      <c r="C445" s="2" t="s">
        <v>74</v>
      </c>
      <c r="D445" s="3">
        <v>1.3</v>
      </c>
      <c r="E445" s="3">
        <v>1.3</v>
      </c>
      <c r="F445" s="3">
        <v>0</v>
      </c>
      <c r="G445" s="3">
        <v>0</v>
      </c>
      <c r="H445" s="2">
        <v>0</v>
      </c>
    </row>
    <row r="446" spans="1:8" x14ac:dyDescent="0.2">
      <c r="A446" s="2" t="s">
        <v>711</v>
      </c>
      <c r="B446" s="2" t="s">
        <v>174</v>
      </c>
      <c r="C446" s="2" t="s">
        <v>104</v>
      </c>
      <c r="D446" s="3">
        <v>0.01</v>
      </c>
      <c r="E446" s="3">
        <v>0.01</v>
      </c>
      <c r="F446" s="3">
        <v>0</v>
      </c>
      <c r="G446" s="3">
        <v>0</v>
      </c>
      <c r="H446" s="2">
        <v>0</v>
      </c>
    </row>
    <row r="447" spans="1:8" x14ac:dyDescent="0.2">
      <c r="A447" s="2" t="s">
        <v>712</v>
      </c>
      <c r="B447" s="2" t="s">
        <v>174</v>
      </c>
      <c r="C447" s="2" t="s">
        <v>104</v>
      </c>
      <c r="D447" s="3">
        <v>0.01</v>
      </c>
      <c r="E447" s="3">
        <v>0.01</v>
      </c>
      <c r="F447" s="3">
        <v>0</v>
      </c>
      <c r="G447" s="3">
        <v>0</v>
      </c>
      <c r="H447" s="2">
        <v>0</v>
      </c>
    </row>
    <row r="448" spans="1:8" x14ac:dyDescent="0.2">
      <c r="A448" s="2" t="s">
        <v>713</v>
      </c>
      <c r="B448" s="2" t="s">
        <v>174</v>
      </c>
      <c r="C448" s="2" t="s">
        <v>104</v>
      </c>
      <c r="D448" s="3">
        <v>0.01</v>
      </c>
      <c r="E448" s="3">
        <v>0.01</v>
      </c>
      <c r="F448" s="3">
        <v>0</v>
      </c>
      <c r="G448" s="3">
        <v>0</v>
      </c>
      <c r="H448" s="2">
        <v>0</v>
      </c>
    </row>
    <row r="449" spans="1:8" x14ac:dyDescent="0.2">
      <c r="A449" s="2" t="s">
        <v>714</v>
      </c>
      <c r="B449" s="2" t="s">
        <v>174</v>
      </c>
      <c r="C449" s="2" t="s">
        <v>104</v>
      </c>
      <c r="D449" s="3">
        <v>0.01</v>
      </c>
      <c r="E449" s="3">
        <v>0.01</v>
      </c>
      <c r="F449" s="3">
        <v>0</v>
      </c>
      <c r="G449" s="3">
        <v>0</v>
      </c>
      <c r="H449" s="2">
        <v>0</v>
      </c>
    </row>
    <row r="450" spans="1:8" x14ac:dyDescent="0.2">
      <c r="A450" s="2" t="s">
        <v>715</v>
      </c>
      <c r="B450" s="2" t="s">
        <v>482</v>
      </c>
      <c r="C450" s="2" t="s">
        <v>25</v>
      </c>
      <c r="D450" s="3">
        <v>1.17</v>
      </c>
      <c r="E450" s="3">
        <v>0.99</v>
      </c>
      <c r="F450" s="3">
        <v>0.18</v>
      </c>
      <c r="G450" s="3">
        <v>0</v>
      </c>
      <c r="H450" s="2">
        <v>1</v>
      </c>
    </row>
    <row r="451" spans="1:8" x14ac:dyDescent="0.2">
      <c r="A451" s="2" t="s">
        <v>716</v>
      </c>
      <c r="B451" s="2" t="s">
        <v>224</v>
      </c>
      <c r="C451" s="2" t="s">
        <v>74</v>
      </c>
      <c r="D451" s="3">
        <v>1.33</v>
      </c>
      <c r="E451" s="3">
        <v>0.19</v>
      </c>
      <c r="F451" s="3">
        <v>0</v>
      </c>
      <c r="G451" s="3">
        <v>1.1299999999999999</v>
      </c>
      <c r="H451" s="2">
        <v>0</v>
      </c>
    </row>
    <row r="452" spans="1:8" x14ac:dyDescent="0.2">
      <c r="A452" s="2" t="s">
        <v>717</v>
      </c>
      <c r="B452" s="2" t="s">
        <v>76</v>
      </c>
      <c r="C452" s="2" t="s">
        <v>25</v>
      </c>
      <c r="D452" s="3">
        <v>1.3</v>
      </c>
      <c r="E452" s="3">
        <v>0.2</v>
      </c>
      <c r="F452" s="3">
        <v>1.1000000000000001</v>
      </c>
      <c r="G452" s="3">
        <v>0</v>
      </c>
      <c r="H452" s="2">
        <v>1</v>
      </c>
    </row>
    <row r="453" spans="1:8" x14ac:dyDescent="0.2">
      <c r="A453" s="2" t="s">
        <v>718</v>
      </c>
      <c r="B453" s="2" t="s">
        <v>482</v>
      </c>
      <c r="C453" s="2" t="s">
        <v>28</v>
      </c>
      <c r="D453" s="3">
        <v>2.29</v>
      </c>
      <c r="E453" s="3">
        <v>2.29</v>
      </c>
      <c r="F453" s="3">
        <v>0</v>
      </c>
      <c r="G453" s="3">
        <v>0</v>
      </c>
      <c r="H453" s="2">
        <v>0</v>
      </c>
    </row>
    <row r="454" spans="1:8" x14ac:dyDescent="0.2">
      <c r="A454" s="2" t="s">
        <v>719</v>
      </c>
      <c r="B454" s="2" t="s">
        <v>376</v>
      </c>
      <c r="C454" s="2" t="s">
        <v>104</v>
      </c>
      <c r="D454" s="3">
        <v>7.0000000000000007E-2</v>
      </c>
      <c r="E454" s="3">
        <v>7.0000000000000007E-2</v>
      </c>
      <c r="F454" s="3">
        <v>0</v>
      </c>
      <c r="G454" s="3">
        <v>0</v>
      </c>
      <c r="H454" s="2">
        <v>0</v>
      </c>
    </row>
    <row r="455" spans="1:8" x14ac:dyDescent="0.2">
      <c r="A455" s="2" t="s">
        <v>720</v>
      </c>
      <c r="B455" s="2" t="s">
        <v>367</v>
      </c>
      <c r="C455" s="2" t="s">
        <v>57</v>
      </c>
      <c r="D455" s="3">
        <v>0.04</v>
      </c>
      <c r="E455" s="3">
        <v>0.04</v>
      </c>
      <c r="F455" s="3">
        <v>0</v>
      </c>
      <c r="G455" s="3">
        <v>0</v>
      </c>
      <c r="H455" s="2">
        <v>0</v>
      </c>
    </row>
    <row r="456" spans="1:8" x14ac:dyDescent="0.2">
      <c r="A456" s="2" t="s">
        <v>721</v>
      </c>
      <c r="B456" s="2" t="s">
        <v>367</v>
      </c>
      <c r="C456" s="2" t="s">
        <v>57</v>
      </c>
      <c r="D456" s="3">
        <v>0.05</v>
      </c>
      <c r="E456" s="3">
        <v>0.05</v>
      </c>
      <c r="F456" s="3">
        <v>0</v>
      </c>
      <c r="G456" s="3">
        <v>0</v>
      </c>
      <c r="H456" s="2">
        <v>0</v>
      </c>
    </row>
    <row r="457" spans="1:8" x14ac:dyDescent="0.2">
      <c r="A457" s="2" t="s">
        <v>722</v>
      </c>
      <c r="B457" s="2" t="s">
        <v>723</v>
      </c>
      <c r="C457" s="2" t="s">
        <v>122</v>
      </c>
      <c r="D457" s="3">
        <v>7.0000000000000007E-2</v>
      </c>
      <c r="E457" s="3">
        <v>0.06</v>
      </c>
      <c r="F457" s="3">
        <v>0</v>
      </c>
      <c r="G457" s="3">
        <v>0.01</v>
      </c>
      <c r="H457" s="2">
        <v>0</v>
      </c>
    </row>
    <row r="458" spans="1:8" x14ac:dyDescent="0.2">
      <c r="A458" s="2" t="s">
        <v>724</v>
      </c>
      <c r="B458" s="2" t="s">
        <v>725</v>
      </c>
      <c r="C458" s="2" t="s">
        <v>28</v>
      </c>
      <c r="D458" s="3">
        <v>1.21</v>
      </c>
      <c r="E458" s="3">
        <v>0.48</v>
      </c>
      <c r="F458" s="3">
        <v>0.72</v>
      </c>
      <c r="G458" s="3">
        <v>0</v>
      </c>
      <c r="H458" s="2">
        <v>1</v>
      </c>
    </row>
    <row r="459" spans="1:8" x14ac:dyDescent="0.2">
      <c r="A459" s="2" t="s">
        <v>726</v>
      </c>
      <c r="B459" s="2" t="s">
        <v>727</v>
      </c>
      <c r="C459" s="2" t="s">
        <v>74</v>
      </c>
      <c r="D459" s="3">
        <v>0.06</v>
      </c>
      <c r="E459" s="3">
        <v>0.06</v>
      </c>
      <c r="F459" s="3">
        <v>0</v>
      </c>
      <c r="G459" s="3">
        <v>0</v>
      </c>
      <c r="H459" s="2">
        <v>0</v>
      </c>
    </row>
    <row r="460" spans="1:8" x14ac:dyDescent="0.2">
      <c r="A460" s="2" t="s">
        <v>728</v>
      </c>
      <c r="B460" s="2" t="s">
        <v>729</v>
      </c>
      <c r="C460" s="2" t="s">
        <v>25</v>
      </c>
      <c r="D460" s="3">
        <v>28.1</v>
      </c>
      <c r="E460" s="3">
        <v>0.09</v>
      </c>
      <c r="F460" s="3">
        <v>9.9600000000000009</v>
      </c>
      <c r="G460" s="3">
        <v>18.059999999999999</v>
      </c>
      <c r="H460" s="2">
        <v>3</v>
      </c>
    </row>
    <row r="461" spans="1:8" x14ac:dyDescent="0.2">
      <c r="A461" s="2" t="s">
        <v>730</v>
      </c>
      <c r="B461" s="2" t="s">
        <v>137</v>
      </c>
      <c r="C461" s="2" t="s">
        <v>49</v>
      </c>
      <c r="D461" s="3">
        <v>0.05</v>
      </c>
      <c r="E461" s="3">
        <v>0.05</v>
      </c>
      <c r="F461" s="3">
        <v>0</v>
      </c>
      <c r="G461" s="3">
        <v>0</v>
      </c>
      <c r="H461" s="2">
        <v>0</v>
      </c>
    </row>
    <row r="462" spans="1:8" x14ac:dyDescent="0.2">
      <c r="A462" s="2" t="s">
        <v>731</v>
      </c>
      <c r="B462" s="2" t="s">
        <v>732</v>
      </c>
      <c r="C462" s="2" t="s">
        <v>57</v>
      </c>
      <c r="D462" s="3">
        <v>0.06</v>
      </c>
      <c r="E462" s="3">
        <v>0.06</v>
      </c>
      <c r="F462" s="3">
        <v>0</v>
      </c>
      <c r="G462" s="3">
        <v>0</v>
      </c>
      <c r="H462" s="2">
        <v>0</v>
      </c>
    </row>
    <row r="463" spans="1:8" x14ac:dyDescent="0.2">
      <c r="A463" s="2" t="s">
        <v>733</v>
      </c>
      <c r="B463" s="2" t="s">
        <v>725</v>
      </c>
      <c r="C463" s="2" t="s">
        <v>25</v>
      </c>
      <c r="D463" s="3">
        <v>1.05</v>
      </c>
      <c r="E463" s="3">
        <v>0.15</v>
      </c>
      <c r="F463" s="3">
        <v>0.9</v>
      </c>
      <c r="G463" s="3">
        <v>0</v>
      </c>
      <c r="H463" s="2">
        <v>1</v>
      </c>
    </row>
    <row r="464" spans="1:8" x14ac:dyDescent="0.2">
      <c r="A464" s="2" t="s">
        <v>734</v>
      </c>
      <c r="B464" s="2" t="s">
        <v>149</v>
      </c>
      <c r="C464" s="2" t="s">
        <v>28</v>
      </c>
      <c r="D464" s="3">
        <v>13.15</v>
      </c>
      <c r="E464" s="3">
        <v>3.3</v>
      </c>
      <c r="F464" s="3">
        <v>1.91</v>
      </c>
      <c r="G464" s="3">
        <v>7.93</v>
      </c>
      <c r="H464" s="2">
        <v>1</v>
      </c>
    </row>
    <row r="465" spans="1:8" x14ac:dyDescent="0.2">
      <c r="A465" s="2" t="s">
        <v>735</v>
      </c>
      <c r="B465" s="2" t="s">
        <v>413</v>
      </c>
      <c r="C465" s="2" t="s">
        <v>25</v>
      </c>
      <c r="D465" s="3">
        <v>7.1</v>
      </c>
      <c r="E465" s="3">
        <v>1.1499999999999999</v>
      </c>
      <c r="F465" s="3">
        <v>5.95</v>
      </c>
      <c r="G465" s="3">
        <v>0</v>
      </c>
      <c r="H465" s="2">
        <v>2</v>
      </c>
    </row>
    <row r="466" spans="1:8" x14ac:dyDescent="0.2">
      <c r="A466" s="2" t="s">
        <v>736</v>
      </c>
      <c r="B466" s="2" t="s">
        <v>463</v>
      </c>
      <c r="C466" s="2" t="s">
        <v>49</v>
      </c>
      <c r="D466" s="3">
        <v>16.14</v>
      </c>
      <c r="E466" s="3">
        <v>0.98</v>
      </c>
      <c r="F466" s="3">
        <v>0.09</v>
      </c>
      <c r="G466" s="3">
        <v>15.06</v>
      </c>
      <c r="H466" s="2">
        <v>1</v>
      </c>
    </row>
    <row r="467" spans="1:8" x14ac:dyDescent="0.2">
      <c r="A467" s="2" t="s">
        <v>737</v>
      </c>
      <c r="B467" s="2" t="s">
        <v>738</v>
      </c>
      <c r="C467" s="2" t="s">
        <v>57</v>
      </c>
      <c r="D467" s="3">
        <v>0.06</v>
      </c>
      <c r="E467" s="3">
        <v>0.06</v>
      </c>
      <c r="F467" s="3">
        <v>0</v>
      </c>
      <c r="G467" s="3">
        <v>0</v>
      </c>
      <c r="H467" s="2">
        <v>0</v>
      </c>
    </row>
    <row r="468" spans="1:8" x14ac:dyDescent="0.2">
      <c r="A468" s="2" t="s">
        <v>739</v>
      </c>
      <c r="B468" s="2" t="s">
        <v>328</v>
      </c>
      <c r="C468" s="2" t="s">
        <v>25</v>
      </c>
      <c r="D468" s="3">
        <v>2.21</v>
      </c>
      <c r="E468" s="3">
        <v>1.26</v>
      </c>
      <c r="F468" s="3">
        <v>0.95</v>
      </c>
      <c r="G468" s="3">
        <v>0</v>
      </c>
      <c r="H468" s="2">
        <v>1</v>
      </c>
    </row>
    <row r="469" spans="1:8" x14ac:dyDescent="0.2">
      <c r="A469" s="2" t="s">
        <v>740</v>
      </c>
      <c r="B469" s="2" t="s">
        <v>71</v>
      </c>
      <c r="C469" s="2" t="s">
        <v>28</v>
      </c>
      <c r="D469" s="3">
        <v>6.02</v>
      </c>
      <c r="E469" s="3">
        <v>4.1500000000000004</v>
      </c>
      <c r="F469" s="3">
        <v>1.88</v>
      </c>
      <c r="G469" s="3">
        <v>0</v>
      </c>
      <c r="H469" s="2">
        <v>3</v>
      </c>
    </row>
    <row r="470" spans="1:8" x14ac:dyDescent="0.2">
      <c r="A470" s="2" t="s">
        <v>741</v>
      </c>
      <c r="B470" s="2" t="s">
        <v>742</v>
      </c>
      <c r="C470" s="2" t="s">
        <v>22</v>
      </c>
      <c r="D470" s="3">
        <v>2.96</v>
      </c>
      <c r="E470" s="3">
        <v>0.82</v>
      </c>
      <c r="F470" s="3">
        <v>2.15</v>
      </c>
      <c r="G470" s="3">
        <v>0</v>
      </c>
      <c r="H470" s="2">
        <v>1</v>
      </c>
    </row>
    <row r="471" spans="1:8" x14ac:dyDescent="0.2">
      <c r="A471" s="2" t="s">
        <v>743</v>
      </c>
      <c r="B471" s="2" t="s">
        <v>744</v>
      </c>
      <c r="C471" s="2" t="s">
        <v>104</v>
      </c>
      <c r="D471" s="3">
        <v>49.14</v>
      </c>
      <c r="E471" s="3">
        <v>4.25</v>
      </c>
      <c r="F471" s="3">
        <v>0</v>
      </c>
      <c r="G471" s="3">
        <v>44.89</v>
      </c>
      <c r="H471" s="2">
        <v>0</v>
      </c>
    </row>
    <row r="472" spans="1:8" x14ac:dyDescent="0.2">
      <c r="A472" s="2" t="s">
        <v>745</v>
      </c>
      <c r="B472" s="2" t="s">
        <v>235</v>
      </c>
      <c r="C472" s="2" t="s">
        <v>122</v>
      </c>
      <c r="D472" s="3">
        <v>0.13</v>
      </c>
      <c r="E472" s="3">
        <v>0.13</v>
      </c>
      <c r="F472" s="3">
        <v>0</v>
      </c>
      <c r="G472" s="3">
        <v>0</v>
      </c>
      <c r="H472" s="2">
        <v>0</v>
      </c>
    </row>
    <row r="473" spans="1:8" x14ac:dyDescent="0.2">
      <c r="A473" s="2" t="s">
        <v>746</v>
      </c>
      <c r="B473" s="2" t="s">
        <v>574</v>
      </c>
      <c r="C473" s="2" t="s">
        <v>92</v>
      </c>
      <c r="D473" s="3">
        <v>1.22</v>
      </c>
      <c r="E473" s="3">
        <v>1.22</v>
      </c>
      <c r="F473" s="3">
        <v>0</v>
      </c>
      <c r="G473" s="3">
        <v>0</v>
      </c>
      <c r="H473" s="2">
        <v>0</v>
      </c>
    </row>
    <row r="474" spans="1:8" x14ac:dyDescent="0.2">
      <c r="A474" s="2" t="s">
        <v>747</v>
      </c>
      <c r="B474" s="2" t="s">
        <v>748</v>
      </c>
      <c r="C474" s="2" t="s">
        <v>236</v>
      </c>
      <c r="D474" s="3">
        <v>2.0099999999999998</v>
      </c>
      <c r="E474" s="3">
        <v>2.0099999999999998</v>
      </c>
      <c r="F474" s="3">
        <v>0</v>
      </c>
      <c r="G474" s="3">
        <v>0</v>
      </c>
      <c r="H474" s="2">
        <v>0</v>
      </c>
    </row>
    <row r="475" spans="1:8" x14ac:dyDescent="0.2">
      <c r="A475" s="2" t="s">
        <v>749</v>
      </c>
      <c r="B475" s="2" t="s">
        <v>750</v>
      </c>
      <c r="C475" s="2" t="s">
        <v>57</v>
      </c>
      <c r="D475" s="3">
        <v>0.04</v>
      </c>
      <c r="E475" s="3">
        <v>0.04</v>
      </c>
      <c r="F475" s="3">
        <v>0</v>
      </c>
      <c r="G475" s="3">
        <v>0</v>
      </c>
      <c r="H475" s="2">
        <v>0</v>
      </c>
    </row>
    <row r="476" spans="1:8" x14ac:dyDescent="0.2">
      <c r="A476" s="2" t="s">
        <v>751</v>
      </c>
      <c r="B476" s="2" t="s">
        <v>367</v>
      </c>
      <c r="C476" s="2" t="s">
        <v>57</v>
      </c>
      <c r="D476" s="3">
        <v>0.03</v>
      </c>
      <c r="E476" s="3">
        <v>0.03</v>
      </c>
      <c r="F476" s="3">
        <v>0</v>
      </c>
      <c r="G476" s="3">
        <v>0</v>
      </c>
      <c r="H476" s="2">
        <v>0</v>
      </c>
    </row>
    <row r="477" spans="1:8" x14ac:dyDescent="0.2">
      <c r="A477" s="2" t="s">
        <v>752</v>
      </c>
      <c r="B477" s="2" t="s">
        <v>163</v>
      </c>
      <c r="C477" s="2" t="s">
        <v>104</v>
      </c>
      <c r="D477" s="3">
        <v>0.97</v>
      </c>
      <c r="E477" s="3">
        <v>0.74</v>
      </c>
      <c r="F477" s="3">
        <v>0</v>
      </c>
      <c r="G477" s="3">
        <v>0.23</v>
      </c>
      <c r="H477" s="2">
        <v>0</v>
      </c>
    </row>
    <row r="478" spans="1:8" x14ac:dyDescent="0.2">
      <c r="A478" s="2" t="s">
        <v>753</v>
      </c>
      <c r="B478" s="2" t="s">
        <v>754</v>
      </c>
      <c r="C478" s="2" t="s">
        <v>74</v>
      </c>
      <c r="D478" s="3">
        <v>0</v>
      </c>
      <c r="E478" s="3">
        <v>0</v>
      </c>
      <c r="F478" s="3">
        <v>0</v>
      </c>
      <c r="G478" s="3">
        <v>0</v>
      </c>
      <c r="H478" s="2">
        <v>0</v>
      </c>
    </row>
    <row r="479" spans="1:8" x14ac:dyDescent="0.2">
      <c r="A479" s="2" t="s">
        <v>755</v>
      </c>
      <c r="B479" s="2" t="s">
        <v>756</v>
      </c>
      <c r="C479" s="2" t="s">
        <v>57</v>
      </c>
      <c r="D479" s="3">
        <v>0.03</v>
      </c>
      <c r="E479" s="3">
        <v>0.03</v>
      </c>
      <c r="F479" s="3">
        <v>0</v>
      </c>
      <c r="G479" s="3">
        <v>0</v>
      </c>
      <c r="H479" s="2">
        <v>0</v>
      </c>
    </row>
    <row r="480" spans="1:8" x14ac:dyDescent="0.2">
      <c r="A480" s="2" t="s">
        <v>757</v>
      </c>
      <c r="B480" s="2" t="s">
        <v>758</v>
      </c>
      <c r="C480" s="2" t="s">
        <v>25</v>
      </c>
      <c r="D480" s="3">
        <v>16</v>
      </c>
      <c r="E480" s="3">
        <v>3.71</v>
      </c>
      <c r="F480" s="3">
        <v>12.3</v>
      </c>
      <c r="G480" s="3">
        <v>0</v>
      </c>
      <c r="H480" s="2">
        <v>2</v>
      </c>
    </row>
    <row r="481" spans="1:8" x14ac:dyDescent="0.2">
      <c r="A481" s="2" t="s">
        <v>759</v>
      </c>
      <c r="B481" s="2" t="s">
        <v>145</v>
      </c>
      <c r="C481" s="2" t="s">
        <v>49</v>
      </c>
      <c r="D481" s="3">
        <v>10.210000000000001</v>
      </c>
      <c r="E481" s="3">
        <v>6.93</v>
      </c>
      <c r="F481" s="3">
        <v>0</v>
      </c>
      <c r="G481" s="3">
        <v>3.28</v>
      </c>
      <c r="H481" s="2">
        <v>0</v>
      </c>
    </row>
    <row r="482" spans="1:8" x14ac:dyDescent="0.2">
      <c r="A482" s="2" t="s">
        <v>760</v>
      </c>
      <c r="B482" s="2" t="s">
        <v>133</v>
      </c>
      <c r="C482" s="2" t="s">
        <v>28</v>
      </c>
      <c r="D482" s="3">
        <v>55.23</v>
      </c>
      <c r="E482" s="3">
        <v>8.27</v>
      </c>
      <c r="F482" s="3">
        <v>8.0399999999999991</v>
      </c>
      <c r="G482" s="3">
        <v>38.93</v>
      </c>
      <c r="H482" s="2">
        <v>4</v>
      </c>
    </row>
    <row r="483" spans="1:8" x14ac:dyDescent="0.2">
      <c r="A483" s="2" t="s">
        <v>761</v>
      </c>
      <c r="B483" s="2" t="s">
        <v>762</v>
      </c>
      <c r="C483" s="2" t="s">
        <v>25</v>
      </c>
      <c r="D483" s="3">
        <v>13.02</v>
      </c>
      <c r="E483" s="3">
        <v>1.05</v>
      </c>
      <c r="F483" s="3">
        <v>11.97</v>
      </c>
      <c r="G483" s="3">
        <v>0</v>
      </c>
      <c r="H483" s="2">
        <v>3</v>
      </c>
    </row>
    <row r="484" spans="1:8" x14ac:dyDescent="0.2">
      <c r="A484" s="2" t="s">
        <v>763</v>
      </c>
      <c r="B484" s="2" t="s">
        <v>633</v>
      </c>
      <c r="C484" s="2" t="s">
        <v>49</v>
      </c>
      <c r="D484" s="3">
        <v>6.15</v>
      </c>
      <c r="E484" s="3">
        <v>5.24</v>
      </c>
      <c r="F484" s="3">
        <v>0.91</v>
      </c>
      <c r="G484" s="3">
        <v>0</v>
      </c>
      <c r="H484" s="2">
        <v>2</v>
      </c>
    </row>
    <row r="485" spans="1:8" x14ac:dyDescent="0.2">
      <c r="A485" s="2" t="s">
        <v>764</v>
      </c>
      <c r="B485" s="2" t="s">
        <v>765</v>
      </c>
      <c r="C485" s="2" t="s">
        <v>25</v>
      </c>
      <c r="D485" s="3">
        <v>36.159999999999997</v>
      </c>
      <c r="E485" s="3">
        <v>6.33</v>
      </c>
      <c r="F485" s="3">
        <v>29.84</v>
      </c>
      <c r="G485" s="3">
        <v>0</v>
      </c>
      <c r="H485" s="2">
        <v>8</v>
      </c>
    </row>
    <row r="486" spans="1:8" x14ac:dyDescent="0.2">
      <c r="A486" s="2" t="s">
        <v>766</v>
      </c>
      <c r="B486" s="2" t="s">
        <v>767</v>
      </c>
      <c r="C486" s="2" t="s">
        <v>154</v>
      </c>
      <c r="D486" s="3">
        <v>9.1</v>
      </c>
      <c r="E486" s="3">
        <v>2.5</v>
      </c>
      <c r="F486" s="3">
        <v>0.68</v>
      </c>
      <c r="G486" s="3">
        <v>5.91</v>
      </c>
      <c r="H486" s="2">
        <v>1</v>
      </c>
    </row>
    <row r="487" spans="1:8" x14ac:dyDescent="0.2">
      <c r="A487" s="2" t="s">
        <v>768</v>
      </c>
      <c r="B487" s="2" t="s">
        <v>133</v>
      </c>
      <c r="C487" s="2" t="s">
        <v>22</v>
      </c>
      <c r="D487" s="3">
        <v>15.03</v>
      </c>
      <c r="E487" s="3">
        <v>3</v>
      </c>
      <c r="F487" s="3">
        <v>12.02</v>
      </c>
      <c r="G487" s="3">
        <v>0</v>
      </c>
      <c r="H487" s="2">
        <v>3</v>
      </c>
    </row>
    <row r="488" spans="1:8" x14ac:dyDescent="0.2">
      <c r="A488" s="2" t="s">
        <v>769</v>
      </c>
      <c r="B488" s="2" t="s">
        <v>770</v>
      </c>
      <c r="C488" s="2" t="s">
        <v>25</v>
      </c>
      <c r="D488" s="3">
        <v>9.15</v>
      </c>
      <c r="E488" s="3">
        <v>1.82</v>
      </c>
      <c r="F488" s="3">
        <v>7.32</v>
      </c>
      <c r="G488" s="3">
        <v>0</v>
      </c>
      <c r="H488" s="2">
        <v>2</v>
      </c>
    </row>
    <row r="489" spans="1:8" x14ac:dyDescent="0.2">
      <c r="A489" s="2" t="s">
        <v>771</v>
      </c>
      <c r="B489" s="2" t="s">
        <v>80</v>
      </c>
      <c r="C489" s="2" t="s">
        <v>22</v>
      </c>
      <c r="D489" s="3">
        <v>9.99</v>
      </c>
      <c r="E489" s="3">
        <v>6.61</v>
      </c>
      <c r="F489" s="3">
        <v>2.08</v>
      </c>
      <c r="G489" s="3">
        <v>1.31</v>
      </c>
      <c r="H489" s="2">
        <v>1</v>
      </c>
    </row>
    <row r="490" spans="1:8" x14ac:dyDescent="0.2">
      <c r="A490" s="2" t="s">
        <v>772</v>
      </c>
      <c r="B490" s="2" t="s">
        <v>773</v>
      </c>
      <c r="C490" s="2" t="s">
        <v>49</v>
      </c>
      <c r="D490" s="3">
        <v>0.16</v>
      </c>
      <c r="E490" s="3">
        <v>0.16</v>
      </c>
      <c r="F490" s="3">
        <v>0</v>
      </c>
      <c r="G490" s="3">
        <v>0</v>
      </c>
      <c r="H490" s="2">
        <v>0</v>
      </c>
    </row>
    <row r="491" spans="1:8" x14ac:dyDescent="0.2">
      <c r="A491" s="2" t="s">
        <v>774</v>
      </c>
      <c r="B491" s="2" t="s">
        <v>467</v>
      </c>
      <c r="C491" s="2" t="s">
        <v>22</v>
      </c>
      <c r="D491" s="3">
        <v>0.93</v>
      </c>
      <c r="E491" s="3">
        <v>0.93</v>
      </c>
      <c r="F491" s="3">
        <v>0</v>
      </c>
      <c r="G491" s="3">
        <v>0</v>
      </c>
      <c r="H491" s="2">
        <v>0</v>
      </c>
    </row>
    <row r="492" spans="1:8" x14ac:dyDescent="0.2">
      <c r="A492" s="2" t="s">
        <v>775</v>
      </c>
      <c r="B492" s="2" t="s">
        <v>586</v>
      </c>
      <c r="C492" s="2" t="s">
        <v>22</v>
      </c>
      <c r="D492" s="3">
        <v>8</v>
      </c>
      <c r="E492" s="3">
        <v>1.7</v>
      </c>
      <c r="F492" s="3">
        <v>6.29</v>
      </c>
      <c r="G492" s="3">
        <v>0</v>
      </c>
      <c r="H492" s="2">
        <v>2</v>
      </c>
    </row>
    <row r="493" spans="1:8" x14ac:dyDescent="0.2">
      <c r="A493" s="2" t="s">
        <v>776</v>
      </c>
      <c r="B493" s="2" t="s">
        <v>777</v>
      </c>
      <c r="C493" s="2" t="s">
        <v>49</v>
      </c>
      <c r="D493" s="3">
        <v>20.16</v>
      </c>
      <c r="E493" s="3">
        <v>2.2799999999999998</v>
      </c>
      <c r="F493" s="3">
        <v>12.05</v>
      </c>
      <c r="G493" s="3">
        <v>5.83</v>
      </c>
      <c r="H493" s="2">
        <v>3</v>
      </c>
    </row>
    <row r="494" spans="1:8" x14ac:dyDescent="0.2">
      <c r="A494" s="2" t="s">
        <v>778</v>
      </c>
      <c r="B494" s="2" t="s">
        <v>80</v>
      </c>
      <c r="C494" s="2" t="s">
        <v>74</v>
      </c>
      <c r="D494" s="3">
        <v>1.1200000000000001</v>
      </c>
      <c r="E494" s="3">
        <v>1.1200000000000001</v>
      </c>
      <c r="F494" s="3">
        <v>0</v>
      </c>
      <c r="G494" s="3">
        <v>0</v>
      </c>
      <c r="H494" s="2">
        <v>0</v>
      </c>
    </row>
    <row r="495" spans="1:8" x14ac:dyDescent="0.2">
      <c r="A495" s="2" t="s">
        <v>779</v>
      </c>
      <c r="B495" s="2" t="s">
        <v>482</v>
      </c>
      <c r="C495" s="2" t="s">
        <v>57</v>
      </c>
      <c r="D495" s="3">
        <v>16.93</v>
      </c>
      <c r="E495" s="3">
        <v>1.79</v>
      </c>
      <c r="F495" s="3">
        <v>0</v>
      </c>
      <c r="G495" s="3">
        <v>15.14</v>
      </c>
      <c r="H495" s="2">
        <v>0</v>
      </c>
    </row>
    <row r="496" spans="1:8" x14ac:dyDescent="0.2">
      <c r="A496" s="2" t="s">
        <v>780</v>
      </c>
      <c r="B496" s="2" t="s">
        <v>482</v>
      </c>
      <c r="C496" s="2" t="s">
        <v>57</v>
      </c>
      <c r="D496" s="3">
        <v>15.15</v>
      </c>
      <c r="E496" s="3">
        <v>0.19</v>
      </c>
      <c r="F496" s="3">
        <v>0</v>
      </c>
      <c r="G496" s="3">
        <v>14.97</v>
      </c>
      <c r="H496" s="2">
        <v>0</v>
      </c>
    </row>
    <row r="497" spans="1:8" x14ac:dyDescent="0.2">
      <c r="A497" s="2" t="s">
        <v>781</v>
      </c>
      <c r="B497" s="2" t="s">
        <v>782</v>
      </c>
      <c r="C497" s="2" t="s">
        <v>25</v>
      </c>
      <c r="D497" s="3">
        <v>1.1299999999999999</v>
      </c>
      <c r="E497" s="3">
        <v>1.1299999999999999</v>
      </c>
      <c r="F497" s="3">
        <v>0</v>
      </c>
      <c r="G497" s="3">
        <v>0</v>
      </c>
      <c r="H497" s="2">
        <v>0</v>
      </c>
    </row>
    <row r="498" spans="1:8" x14ac:dyDescent="0.2">
      <c r="A498" s="2" t="s">
        <v>783</v>
      </c>
      <c r="B498" s="2" t="s">
        <v>784</v>
      </c>
      <c r="C498" s="2" t="s">
        <v>25</v>
      </c>
      <c r="D498" s="3">
        <v>0.19</v>
      </c>
      <c r="E498" s="3">
        <v>0.19</v>
      </c>
      <c r="F498" s="3">
        <v>0</v>
      </c>
      <c r="G498" s="3">
        <v>0</v>
      </c>
      <c r="H498" s="2">
        <v>0</v>
      </c>
    </row>
    <row r="499" spans="1:8" x14ac:dyDescent="0.2">
      <c r="A499" s="2" t="s">
        <v>785</v>
      </c>
      <c r="B499" s="2" t="s">
        <v>786</v>
      </c>
      <c r="C499" s="2" t="s">
        <v>25</v>
      </c>
      <c r="D499" s="3">
        <v>13</v>
      </c>
      <c r="E499" s="3">
        <v>3.87</v>
      </c>
      <c r="F499" s="3">
        <v>9.1199999999999992</v>
      </c>
      <c r="G499" s="3">
        <v>0</v>
      </c>
      <c r="H499" s="2">
        <v>2</v>
      </c>
    </row>
    <row r="500" spans="1:8" x14ac:dyDescent="0.2">
      <c r="A500" s="2" t="s">
        <v>787</v>
      </c>
      <c r="B500" s="2" t="s">
        <v>224</v>
      </c>
      <c r="C500" s="2" t="s">
        <v>25</v>
      </c>
      <c r="D500" s="3">
        <v>7.09</v>
      </c>
      <c r="E500" s="3">
        <v>1.1299999999999999</v>
      </c>
      <c r="F500" s="3">
        <v>0</v>
      </c>
      <c r="G500" s="3">
        <v>5.96</v>
      </c>
      <c r="H500" s="2">
        <v>0</v>
      </c>
    </row>
    <row r="501" spans="1:8" x14ac:dyDescent="0.2">
      <c r="A501" s="2" t="s">
        <v>788</v>
      </c>
      <c r="B501" s="2" t="s">
        <v>163</v>
      </c>
      <c r="C501" s="2" t="s">
        <v>87</v>
      </c>
      <c r="D501" s="3">
        <v>9.09</v>
      </c>
      <c r="E501" s="3">
        <v>3.43</v>
      </c>
      <c r="F501" s="3">
        <v>0</v>
      </c>
      <c r="G501" s="3">
        <v>5.65</v>
      </c>
      <c r="H501" s="2">
        <v>0</v>
      </c>
    </row>
    <row r="502" spans="1:8" x14ac:dyDescent="0.2">
      <c r="A502" s="2" t="s">
        <v>789</v>
      </c>
      <c r="B502" s="2" t="s">
        <v>163</v>
      </c>
      <c r="C502" s="2" t="s">
        <v>22</v>
      </c>
      <c r="D502" s="3">
        <v>16.079999999999998</v>
      </c>
      <c r="E502" s="3">
        <v>8.76</v>
      </c>
      <c r="F502" s="3">
        <v>1.98</v>
      </c>
      <c r="G502" s="3">
        <v>5.34</v>
      </c>
      <c r="H502" s="2">
        <v>1</v>
      </c>
    </row>
    <row r="503" spans="1:8" x14ac:dyDescent="0.2">
      <c r="A503" s="2" t="s">
        <v>790</v>
      </c>
      <c r="B503" s="2" t="s">
        <v>163</v>
      </c>
      <c r="C503" s="2" t="s">
        <v>74</v>
      </c>
      <c r="D503" s="3">
        <v>7.19</v>
      </c>
      <c r="E503" s="3">
        <v>0.05</v>
      </c>
      <c r="F503" s="3">
        <v>0</v>
      </c>
      <c r="G503" s="3">
        <v>7.14</v>
      </c>
      <c r="H503" s="2">
        <v>0</v>
      </c>
    </row>
    <row r="504" spans="1:8" x14ac:dyDescent="0.2">
      <c r="A504" s="2" t="s">
        <v>791</v>
      </c>
      <c r="B504" s="2" t="s">
        <v>482</v>
      </c>
      <c r="C504" s="2" t="s">
        <v>57</v>
      </c>
      <c r="D504" s="3">
        <v>0</v>
      </c>
      <c r="E504" s="3">
        <v>0</v>
      </c>
      <c r="F504" s="3">
        <v>0</v>
      </c>
      <c r="G504" s="3">
        <v>0</v>
      </c>
      <c r="H504" s="2">
        <v>0</v>
      </c>
    </row>
    <row r="505" spans="1:8" x14ac:dyDescent="0.2">
      <c r="A505" s="2" t="s">
        <v>792</v>
      </c>
      <c r="B505" s="2" t="s">
        <v>482</v>
      </c>
      <c r="C505" s="2" t="s">
        <v>57</v>
      </c>
      <c r="D505" s="3">
        <v>0</v>
      </c>
      <c r="E505" s="3">
        <v>0</v>
      </c>
      <c r="F505" s="3">
        <v>0</v>
      </c>
      <c r="G505" s="3">
        <v>0</v>
      </c>
      <c r="H505" s="2">
        <v>0</v>
      </c>
    </row>
    <row r="506" spans="1:8" x14ac:dyDescent="0.2">
      <c r="A506" s="2" t="s">
        <v>793</v>
      </c>
      <c r="B506" s="2" t="s">
        <v>482</v>
      </c>
      <c r="C506" s="2" t="s">
        <v>25</v>
      </c>
      <c r="D506" s="3">
        <v>19.940000000000001</v>
      </c>
      <c r="E506" s="3">
        <v>4.57</v>
      </c>
      <c r="F506" s="3">
        <v>0.92</v>
      </c>
      <c r="G506" s="3">
        <v>14.45</v>
      </c>
      <c r="H506" s="2">
        <v>1</v>
      </c>
    </row>
    <row r="507" spans="1:8" x14ac:dyDescent="0.2">
      <c r="A507" s="2" t="s">
        <v>794</v>
      </c>
      <c r="B507" s="2" t="s">
        <v>795</v>
      </c>
      <c r="C507" s="2" t="s">
        <v>22</v>
      </c>
      <c r="D507" s="3">
        <v>0.13</v>
      </c>
      <c r="E507" s="3">
        <v>0.13</v>
      </c>
      <c r="F507" s="3">
        <v>0</v>
      </c>
      <c r="G507" s="3">
        <v>0</v>
      </c>
      <c r="H507" s="2">
        <v>0</v>
      </c>
    </row>
    <row r="508" spans="1:8" x14ac:dyDescent="0.2">
      <c r="A508" s="2" t="s">
        <v>796</v>
      </c>
      <c r="B508" s="2" t="s">
        <v>797</v>
      </c>
      <c r="C508" s="2" t="s">
        <v>22</v>
      </c>
      <c r="D508" s="3">
        <v>57.11</v>
      </c>
      <c r="E508" s="3">
        <v>6.13</v>
      </c>
      <c r="F508" s="3">
        <v>29.68</v>
      </c>
      <c r="G508" s="3">
        <v>21.3</v>
      </c>
      <c r="H508" s="2">
        <v>8</v>
      </c>
    </row>
    <row r="509" spans="1:8" x14ac:dyDescent="0.2">
      <c r="A509" s="2" t="s">
        <v>798</v>
      </c>
      <c r="B509" s="2" t="s">
        <v>799</v>
      </c>
      <c r="C509" s="2" t="s">
        <v>28</v>
      </c>
      <c r="D509" s="3">
        <v>35.909999999999997</v>
      </c>
      <c r="E509" s="3">
        <v>2.99</v>
      </c>
      <c r="F509" s="3">
        <v>0</v>
      </c>
      <c r="G509" s="3">
        <v>32.93</v>
      </c>
      <c r="H509" s="2">
        <v>0</v>
      </c>
    </row>
    <row r="510" spans="1:8" x14ac:dyDescent="0.2">
      <c r="A510" s="2" t="s">
        <v>800</v>
      </c>
      <c r="B510" s="2" t="s">
        <v>584</v>
      </c>
      <c r="C510" s="2" t="s">
        <v>28</v>
      </c>
      <c r="D510" s="3">
        <v>29.02</v>
      </c>
      <c r="E510" s="3">
        <v>3.05</v>
      </c>
      <c r="F510" s="3">
        <v>0</v>
      </c>
      <c r="G510" s="3">
        <v>25.97</v>
      </c>
      <c r="H510" s="2">
        <v>0</v>
      </c>
    </row>
    <row r="511" spans="1:8" x14ac:dyDescent="0.2">
      <c r="A511" s="2" t="s">
        <v>801</v>
      </c>
      <c r="B511" s="2" t="s">
        <v>802</v>
      </c>
      <c r="C511" s="2" t="s">
        <v>25</v>
      </c>
      <c r="D511" s="3">
        <v>2.02</v>
      </c>
      <c r="E511" s="3">
        <v>2.02</v>
      </c>
      <c r="F511" s="3">
        <v>0</v>
      </c>
      <c r="G511" s="3">
        <v>0</v>
      </c>
      <c r="H511" s="2">
        <v>0</v>
      </c>
    </row>
    <row r="512" spans="1:8" x14ac:dyDescent="0.2">
      <c r="A512" s="2" t="s">
        <v>803</v>
      </c>
      <c r="B512" s="2" t="s">
        <v>482</v>
      </c>
      <c r="C512" s="2" t="s">
        <v>57</v>
      </c>
      <c r="D512" s="3">
        <v>15.08</v>
      </c>
      <c r="E512" s="3">
        <v>0.2</v>
      </c>
      <c r="F512" s="3">
        <v>0</v>
      </c>
      <c r="G512" s="3">
        <v>14.89</v>
      </c>
      <c r="H512" s="2">
        <v>0</v>
      </c>
    </row>
    <row r="513" spans="1:8" x14ac:dyDescent="0.2">
      <c r="A513" s="2" t="s">
        <v>804</v>
      </c>
      <c r="B513" s="2" t="s">
        <v>482</v>
      </c>
      <c r="C513" s="2" t="s">
        <v>57</v>
      </c>
      <c r="D513" s="3">
        <v>15.09</v>
      </c>
      <c r="E513" s="3">
        <v>0.19</v>
      </c>
      <c r="F513" s="3">
        <v>0</v>
      </c>
      <c r="G513" s="3">
        <v>14.89</v>
      </c>
      <c r="H513" s="2">
        <v>0</v>
      </c>
    </row>
    <row r="514" spans="1:8" x14ac:dyDescent="0.2">
      <c r="A514" s="2" t="s">
        <v>805</v>
      </c>
      <c r="B514" s="2" t="s">
        <v>36</v>
      </c>
      <c r="C514" s="2" t="s">
        <v>25</v>
      </c>
      <c r="D514" s="3">
        <v>53.99</v>
      </c>
      <c r="E514" s="3">
        <v>5.15</v>
      </c>
      <c r="F514" s="3">
        <v>48.84</v>
      </c>
      <c r="G514" s="3">
        <v>0</v>
      </c>
      <c r="H514" s="2">
        <v>8</v>
      </c>
    </row>
    <row r="515" spans="1:8" x14ac:dyDescent="0.2">
      <c r="A515" s="2" t="s">
        <v>806</v>
      </c>
      <c r="B515" s="2" t="s">
        <v>224</v>
      </c>
      <c r="C515" s="2" t="s">
        <v>22</v>
      </c>
      <c r="D515" s="3">
        <v>31</v>
      </c>
      <c r="E515" s="3">
        <v>5.07</v>
      </c>
      <c r="F515" s="3">
        <v>12.92</v>
      </c>
      <c r="G515" s="3">
        <v>13.01</v>
      </c>
      <c r="H515" s="2">
        <v>4</v>
      </c>
    </row>
    <row r="516" spans="1:8" x14ac:dyDescent="0.2">
      <c r="A516" s="2" t="s">
        <v>807</v>
      </c>
      <c r="B516" s="2" t="s">
        <v>423</v>
      </c>
      <c r="C516" s="2" t="s">
        <v>22</v>
      </c>
      <c r="D516" s="3">
        <v>42.9</v>
      </c>
      <c r="E516" s="3">
        <v>5.61</v>
      </c>
      <c r="F516" s="3">
        <v>37.29</v>
      </c>
      <c r="G516" s="3">
        <v>0</v>
      </c>
      <c r="H516" s="2">
        <v>8</v>
      </c>
    </row>
    <row r="517" spans="1:8" x14ac:dyDescent="0.2">
      <c r="A517" s="2" t="s">
        <v>808</v>
      </c>
      <c r="B517" s="2" t="s">
        <v>809</v>
      </c>
      <c r="C517" s="2" t="s">
        <v>92</v>
      </c>
      <c r="D517" s="3">
        <v>7.86</v>
      </c>
      <c r="E517" s="3">
        <v>1.03</v>
      </c>
      <c r="F517" s="3">
        <v>5.1100000000000003</v>
      </c>
      <c r="G517" s="3">
        <v>1.72</v>
      </c>
      <c r="H517" s="2">
        <v>2</v>
      </c>
    </row>
    <row r="518" spans="1:8" x14ac:dyDescent="0.2">
      <c r="A518" s="2" t="s">
        <v>810</v>
      </c>
      <c r="B518" s="2" t="s">
        <v>55</v>
      </c>
      <c r="C518" s="2" t="s">
        <v>57</v>
      </c>
      <c r="D518" s="3">
        <v>0.01</v>
      </c>
      <c r="E518" s="3">
        <v>0.01</v>
      </c>
      <c r="F518" s="3">
        <v>0</v>
      </c>
      <c r="G518" s="3">
        <v>0</v>
      </c>
      <c r="H518" s="2">
        <v>0</v>
      </c>
    </row>
    <row r="519" spans="1:8" x14ac:dyDescent="0.2">
      <c r="A519" s="2" t="s">
        <v>811</v>
      </c>
      <c r="B519" s="2" t="s">
        <v>812</v>
      </c>
      <c r="C519" s="2" t="s">
        <v>74</v>
      </c>
      <c r="D519" s="3">
        <v>1.92</v>
      </c>
      <c r="E519" s="3">
        <v>1.1499999999999999</v>
      </c>
      <c r="F519" s="3">
        <v>0</v>
      </c>
      <c r="G519" s="3">
        <v>0.76</v>
      </c>
      <c r="H519" s="2">
        <v>0</v>
      </c>
    </row>
    <row r="520" spans="1:8" x14ac:dyDescent="0.2">
      <c r="A520" s="2" t="s">
        <v>813</v>
      </c>
      <c r="B520" s="2" t="s">
        <v>814</v>
      </c>
      <c r="C520" s="2" t="s">
        <v>104</v>
      </c>
      <c r="D520" s="3">
        <v>0.03</v>
      </c>
      <c r="E520" s="3">
        <v>0.03</v>
      </c>
      <c r="F520" s="3">
        <v>0</v>
      </c>
      <c r="G520" s="3">
        <v>0</v>
      </c>
      <c r="H520" s="2">
        <v>0</v>
      </c>
    </row>
    <row r="521" spans="1:8" x14ac:dyDescent="0.2">
      <c r="A521" s="2" t="s">
        <v>815</v>
      </c>
      <c r="B521" s="2" t="s">
        <v>809</v>
      </c>
      <c r="C521" s="2" t="s">
        <v>25</v>
      </c>
      <c r="D521" s="3">
        <v>1.93</v>
      </c>
      <c r="E521" s="3">
        <v>0.38</v>
      </c>
      <c r="F521" s="3">
        <v>0.7</v>
      </c>
      <c r="G521" s="3">
        <v>0.84</v>
      </c>
      <c r="H521" s="2">
        <v>1</v>
      </c>
    </row>
    <row r="522" spans="1:8" x14ac:dyDescent="0.2">
      <c r="A522" s="2" t="s">
        <v>816</v>
      </c>
      <c r="B522" s="2" t="s">
        <v>809</v>
      </c>
      <c r="C522" s="2" t="s">
        <v>25</v>
      </c>
      <c r="D522" s="3">
        <v>1.93</v>
      </c>
      <c r="E522" s="3">
        <v>0.4</v>
      </c>
      <c r="F522" s="3">
        <v>0.69</v>
      </c>
      <c r="G522" s="3">
        <v>0.84</v>
      </c>
      <c r="H522" s="2">
        <v>1</v>
      </c>
    </row>
    <row r="523" spans="1:8" x14ac:dyDescent="0.2">
      <c r="A523" s="2" t="s">
        <v>817</v>
      </c>
      <c r="B523" s="2" t="s">
        <v>556</v>
      </c>
      <c r="C523" s="2" t="s">
        <v>28</v>
      </c>
      <c r="D523" s="3">
        <v>1.1299999999999999</v>
      </c>
      <c r="E523" s="3">
        <v>0.09</v>
      </c>
      <c r="F523" s="3">
        <v>1.03</v>
      </c>
      <c r="G523" s="3">
        <v>0</v>
      </c>
      <c r="H523" s="2">
        <v>1</v>
      </c>
    </row>
    <row r="524" spans="1:8" x14ac:dyDescent="0.2">
      <c r="A524" s="2" t="s">
        <v>818</v>
      </c>
      <c r="B524" s="2" t="s">
        <v>819</v>
      </c>
      <c r="C524" s="2" t="s">
        <v>92</v>
      </c>
      <c r="D524" s="3">
        <v>8.9</v>
      </c>
      <c r="E524" s="3">
        <v>3.13</v>
      </c>
      <c r="F524" s="3">
        <v>5.77</v>
      </c>
      <c r="G524" s="3">
        <v>0</v>
      </c>
      <c r="H524" s="2">
        <v>2</v>
      </c>
    </row>
    <row r="525" spans="1:8" x14ac:dyDescent="0.2">
      <c r="A525" s="2" t="s">
        <v>820</v>
      </c>
      <c r="B525" s="2" t="s">
        <v>137</v>
      </c>
      <c r="C525" s="2" t="s">
        <v>22</v>
      </c>
      <c r="D525" s="3">
        <v>7.03</v>
      </c>
      <c r="E525" s="3">
        <v>3.88</v>
      </c>
      <c r="F525" s="3">
        <v>3.15</v>
      </c>
      <c r="G525" s="3">
        <v>0</v>
      </c>
      <c r="H525" s="2">
        <v>1</v>
      </c>
    </row>
    <row r="526" spans="1:8" x14ac:dyDescent="0.2">
      <c r="A526" s="2" t="s">
        <v>821</v>
      </c>
      <c r="B526" s="2" t="s">
        <v>822</v>
      </c>
      <c r="C526" s="2" t="s">
        <v>25</v>
      </c>
      <c r="D526" s="3">
        <v>5.91</v>
      </c>
      <c r="E526" s="3">
        <v>1.94</v>
      </c>
      <c r="F526" s="3">
        <v>0</v>
      </c>
      <c r="G526" s="3">
        <v>3.97</v>
      </c>
      <c r="H526" s="2">
        <v>0</v>
      </c>
    </row>
    <row r="527" spans="1:8" x14ac:dyDescent="0.2">
      <c r="A527" s="2" t="s">
        <v>823</v>
      </c>
      <c r="B527" s="2" t="s">
        <v>538</v>
      </c>
      <c r="C527" s="2" t="s">
        <v>25</v>
      </c>
      <c r="D527" s="3">
        <v>30.06</v>
      </c>
      <c r="E527" s="3">
        <v>0.24</v>
      </c>
      <c r="F527" s="3">
        <v>29.82</v>
      </c>
      <c r="G527" s="3">
        <v>0</v>
      </c>
      <c r="H527" s="2">
        <v>8</v>
      </c>
    </row>
    <row r="528" spans="1:8" x14ac:dyDescent="0.2">
      <c r="A528" s="2" t="s">
        <v>824</v>
      </c>
      <c r="B528" s="2" t="s">
        <v>149</v>
      </c>
      <c r="C528" s="2" t="s">
        <v>154</v>
      </c>
      <c r="D528" s="3">
        <v>0.91</v>
      </c>
      <c r="E528" s="3">
        <v>0.91</v>
      </c>
      <c r="F528" s="3">
        <v>0</v>
      </c>
      <c r="G528" s="3">
        <v>0</v>
      </c>
      <c r="H528" s="2">
        <v>0</v>
      </c>
    </row>
    <row r="529" spans="1:8" x14ac:dyDescent="0.2">
      <c r="A529" s="2" t="s">
        <v>825</v>
      </c>
      <c r="B529" s="2" t="s">
        <v>193</v>
      </c>
      <c r="C529" s="2" t="s">
        <v>74</v>
      </c>
      <c r="D529" s="3">
        <v>0.04</v>
      </c>
      <c r="E529" s="3">
        <v>0.04</v>
      </c>
      <c r="F529" s="3">
        <v>0</v>
      </c>
      <c r="G529" s="3">
        <v>0</v>
      </c>
      <c r="H529" s="2">
        <v>0</v>
      </c>
    </row>
    <row r="530" spans="1:8" x14ac:dyDescent="0.2">
      <c r="A530" s="2" t="s">
        <v>826</v>
      </c>
      <c r="B530" s="2" t="s">
        <v>193</v>
      </c>
      <c r="C530" s="2" t="s">
        <v>74</v>
      </c>
      <c r="D530" s="3">
        <v>1.04</v>
      </c>
      <c r="E530" s="3">
        <v>1.04</v>
      </c>
      <c r="F530" s="3">
        <v>0</v>
      </c>
      <c r="G530" s="3">
        <v>0</v>
      </c>
      <c r="H530" s="2">
        <v>0</v>
      </c>
    </row>
    <row r="531" spans="1:8" x14ac:dyDescent="0.2">
      <c r="A531" s="2" t="s">
        <v>827</v>
      </c>
      <c r="B531" s="2" t="s">
        <v>644</v>
      </c>
      <c r="C531" s="2" t="s">
        <v>25</v>
      </c>
      <c r="D531" s="3">
        <v>1.82</v>
      </c>
      <c r="E531" s="3">
        <v>0.77</v>
      </c>
      <c r="F531" s="3">
        <v>1.05</v>
      </c>
      <c r="G531" s="3">
        <v>0</v>
      </c>
      <c r="H531" s="2">
        <v>1</v>
      </c>
    </row>
    <row r="532" spans="1:8" x14ac:dyDescent="0.2">
      <c r="A532" s="2" t="s">
        <v>828</v>
      </c>
      <c r="B532" s="2" t="s">
        <v>215</v>
      </c>
      <c r="C532" s="2" t="s">
        <v>92</v>
      </c>
      <c r="D532" s="3">
        <v>2.78</v>
      </c>
      <c r="E532" s="3">
        <v>1.46</v>
      </c>
      <c r="F532" s="3">
        <v>0</v>
      </c>
      <c r="G532" s="3">
        <v>1.32</v>
      </c>
      <c r="H532" s="2">
        <v>0</v>
      </c>
    </row>
    <row r="533" spans="1:8" x14ac:dyDescent="0.2">
      <c r="A533" s="2" t="s">
        <v>829</v>
      </c>
      <c r="B533" s="2" t="s">
        <v>376</v>
      </c>
      <c r="C533" s="2" t="s">
        <v>104</v>
      </c>
      <c r="D533" s="3">
        <v>0</v>
      </c>
      <c r="E533" s="2">
        <v>0</v>
      </c>
      <c r="F533" s="2">
        <v>0</v>
      </c>
      <c r="G533" s="2">
        <v>0</v>
      </c>
      <c r="H533" s="2">
        <v>0</v>
      </c>
    </row>
  </sheetData>
  <hyperlinks>
    <hyperlink ref="A1" location="Contents!A1" display="&lt;&lt;&lt;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523"/>
  <sheetViews>
    <sheetView tabSelected="1" workbookViewId="0">
      <selection activeCell="M1" sqref="M1"/>
    </sheetView>
  </sheetViews>
  <sheetFormatPr baseColWidth="10" defaultRowHeight="15" x14ac:dyDescent="0.25"/>
  <sheetData>
    <row r="1" spans="1:15" ht="15.75" thickBot="1" x14ac:dyDescent="0.3">
      <c r="A1" s="15" t="s">
        <v>10</v>
      </c>
    </row>
    <row r="2" spans="1:15" x14ac:dyDescent="0.25">
      <c r="A2" s="3">
        <v>29.73</v>
      </c>
      <c r="B2" s="21" t="s">
        <v>840</v>
      </c>
      <c r="C2" s="21"/>
      <c r="I2" s="20" t="s">
        <v>833</v>
      </c>
      <c r="J2" s="20" t="s">
        <v>834</v>
      </c>
      <c r="K2" s="20" t="s">
        <v>835</v>
      </c>
      <c r="L2" s="20" t="s">
        <v>836</v>
      </c>
      <c r="M2" s="20" t="s">
        <v>837</v>
      </c>
      <c r="N2" s="20" t="s">
        <v>838</v>
      </c>
      <c r="O2" s="20" t="s">
        <v>839</v>
      </c>
    </row>
    <row r="3" spans="1:15" x14ac:dyDescent="0.25">
      <c r="A3" s="3">
        <v>6.83</v>
      </c>
      <c r="B3" s="16"/>
      <c r="C3" s="16"/>
      <c r="I3" s="3">
        <v>0</v>
      </c>
      <c r="J3">
        <v>1</v>
      </c>
      <c r="K3">
        <f>J3/$C$16</f>
        <v>1.9193857965451055E-3</v>
      </c>
      <c r="L3">
        <f>K3</f>
        <v>1.9193857965451055E-3</v>
      </c>
    </row>
    <row r="4" spans="1:15" x14ac:dyDescent="0.25">
      <c r="A4" s="3">
        <v>6.86</v>
      </c>
      <c r="B4" s="16" t="s">
        <v>841</v>
      </c>
      <c r="C4" s="16">
        <v>9.4223416506717843</v>
      </c>
      <c r="I4" s="3">
        <v>0</v>
      </c>
      <c r="J4">
        <v>1</v>
      </c>
      <c r="K4">
        <f t="shared" ref="K4:K67" si="0">J4/$C$16</f>
        <v>1.9193857965451055E-3</v>
      </c>
      <c r="L4">
        <f>L3+K4</f>
        <v>3.838771593090211E-3</v>
      </c>
    </row>
    <row r="5" spans="1:15" x14ac:dyDescent="0.25">
      <c r="A5" s="3">
        <v>6.93</v>
      </c>
      <c r="B5" s="16" t="s">
        <v>842</v>
      </c>
      <c r="C5" s="16">
        <v>0.55468259254311048</v>
      </c>
      <c r="I5" s="3">
        <v>0</v>
      </c>
      <c r="J5">
        <v>1</v>
      </c>
      <c r="K5">
        <f t="shared" si="0"/>
        <v>1.9193857965451055E-3</v>
      </c>
      <c r="L5">
        <f t="shared" ref="L5:L68" si="1">L4+K5</f>
        <v>5.7581573896353169E-3</v>
      </c>
    </row>
    <row r="6" spans="1:15" x14ac:dyDescent="0.25">
      <c r="A6" s="3">
        <v>19.809999999999999</v>
      </c>
      <c r="B6" s="16" t="s">
        <v>843</v>
      </c>
      <c r="C6" s="16">
        <v>4.07</v>
      </c>
      <c r="I6" s="3">
        <v>0</v>
      </c>
      <c r="J6">
        <v>1</v>
      </c>
      <c r="K6">
        <f t="shared" si="0"/>
        <v>1.9193857965451055E-3</v>
      </c>
      <c r="L6">
        <f t="shared" si="1"/>
        <v>7.677543186180422E-3</v>
      </c>
    </row>
    <row r="7" spans="1:15" x14ac:dyDescent="0.25">
      <c r="A7" s="3">
        <v>5.7</v>
      </c>
      <c r="B7" s="16" t="s">
        <v>844</v>
      </c>
      <c r="C7" s="16">
        <v>0</v>
      </c>
      <c r="I7" s="3">
        <v>0</v>
      </c>
      <c r="J7">
        <v>1</v>
      </c>
      <c r="K7">
        <f t="shared" si="0"/>
        <v>1.9193857965451055E-3</v>
      </c>
      <c r="L7">
        <f t="shared" si="1"/>
        <v>9.5969289827255271E-3</v>
      </c>
    </row>
    <row r="8" spans="1:15" x14ac:dyDescent="0.25">
      <c r="A8" s="3">
        <v>7.63</v>
      </c>
      <c r="B8" s="16" t="s">
        <v>845</v>
      </c>
      <c r="C8" s="16">
        <v>12.660865593751891</v>
      </c>
      <c r="I8" s="3">
        <v>0</v>
      </c>
      <c r="J8">
        <v>1</v>
      </c>
      <c r="K8">
        <f t="shared" si="0"/>
        <v>1.9193857965451055E-3</v>
      </c>
      <c r="L8">
        <f t="shared" si="1"/>
        <v>1.1516314779270632E-2</v>
      </c>
    </row>
    <row r="9" spans="1:15" x14ac:dyDescent="0.25">
      <c r="A9" s="3">
        <v>6.84</v>
      </c>
      <c r="B9" s="16" t="s">
        <v>846</v>
      </c>
      <c r="C9" s="16">
        <v>160.29751758305042</v>
      </c>
      <c r="I9" s="3">
        <v>0</v>
      </c>
      <c r="J9">
        <v>1</v>
      </c>
      <c r="K9">
        <f t="shared" si="0"/>
        <v>1.9193857965451055E-3</v>
      </c>
      <c r="L9">
        <f t="shared" si="1"/>
        <v>1.3435700575815737E-2</v>
      </c>
    </row>
    <row r="10" spans="1:15" x14ac:dyDescent="0.25">
      <c r="A10" s="3">
        <v>13.55</v>
      </c>
      <c r="B10" s="16" t="s">
        <v>847</v>
      </c>
      <c r="C10" s="16">
        <v>4.0055748612295563</v>
      </c>
      <c r="I10" s="3">
        <v>0</v>
      </c>
      <c r="J10">
        <v>1</v>
      </c>
      <c r="K10">
        <f t="shared" si="0"/>
        <v>1.9193857965451055E-3</v>
      </c>
      <c r="L10">
        <f t="shared" si="1"/>
        <v>1.5355086372360842E-2</v>
      </c>
    </row>
    <row r="11" spans="1:15" x14ac:dyDescent="0.25">
      <c r="A11" s="3">
        <v>4.7</v>
      </c>
      <c r="B11" s="16" t="s">
        <v>848</v>
      </c>
      <c r="C11" s="16">
        <v>2.0500749585702889</v>
      </c>
      <c r="I11" s="3">
        <v>0</v>
      </c>
      <c r="J11">
        <v>1</v>
      </c>
      <c r="K11">
        <f t="shared" si="0"/>
        <v>1.9193857965451055E-3</v>
      </c>
      <c r="L11">
        <f t="shared" si="1"/>
        <v>1.7274472168905947E-2</v>
      </c>
    </row>
    <row r="12" spans="1:15" x14ac:dyDescent="0.25">
      <c r="A12" s="3">
        <v>34.450000000000003</v>
      </c>
      <c r="B12" s="16" t="s">
        <v>849</v>
      </c>
      <c r="C12" s="16">
        <v>59.8</v>
      </c>
      <c r="I12" s="3">
        <v>0</v>
      </c>
      <c r="J12">
        <v>1</v>
      </c>
      <c r="K12">
        <f t="shared" si="0"/>
        <v>1.9193857965451055E-3</v>
      </c>
      <c r="L12">
        <f t="shared" si="1"/>
        <v>1.9193857965451054E-2</v>
      </c>
    </row>
    <row r="13" spans="1:15" x14ac:dyDescent="0.25">
      <c r="A13" s="3">
        <v>6.48</v>
      </c>
      <c r="B13" s="16" t="s">
        <v>850</v>
      </c>
      <c r="C13" s="16">
        <v>0</v>
      </c>
      <c r="I13" s="3">
        <v>0</v>
      </c>
      <c r="J13">
        <v>1</v>
      </c>
      <c r="K13">
        <f t="shared" si="0"/>
        <v>1.9193857965451055E-3</v>
      </c>
      <c r="L13">
        <f t="shared" si="1"/>
        <v>2.1113243761996161E-2</v>
      </c>
    </row>
    <row r="14" spans="1:15" x14ac:dyDescent="0.25">
      <c r="A14" s="3">
        <v>20.55</v>
      </c>
      <c r="B14" s="16" t="s">
        <v>851</v>
      </c>
      <c r="C14" s="16">
        <v>59.8</v>
      </c>
      <c r="I14" s="3">
        <v>0</v>
      </c>
      <c r="J14">
        <v>1</v>
      </c>
      <c r="K14">
        <f t="shared" si="0"/>
        <v>1.9193857965451055E-3</v>
      </c>
      <c r="L14">
        <f t="shared" si="1"/>
        <v>2.3032629558541268E-2</v>
      </c>
    </row>
    <row r="15" spans="1:15" x14ac:dyDescent="0.25">
      <c r="A15" s="3">
        <v>20.56</v>
      </c>
      <c r="B15" s="16" t="s">
        <v>852</v>
      </c>
      <c r="C15" s="16">
        <v>4909.04</v>
      </c>
      <c r="I15" s="3">
        <v>0</v>
      </c>
      <c r="J15">
        <v>1</v>
      </c>
      <c r="K15">
        <f t="shared" si="0"/>
        <v>1.9193857965451055E-3</v>
      </c>
      <c r="L15">
        <f t="shared" si="1"/>
        <v>2.4952015355086374E-2</v>
      </c>
    </row>
    <row r="16" spans="1:15" ht="15.75" thickBot="1" x14ac:dyDescent="0.3">
      <c r="A16" s="3">
        <v>6.62</v>
      </c>
      <c r="B16" s="18" t="s">
        <v>853</v>
      </c>
      <c r="C16" s="18">
        <v>521</v>
      </c>
      <c r="I16" s="3">
        <v>0</v>
      </c>
      <c r="J16">
        <v>1</v>
      </c>
      <c r="K16">
        <f t="shared" si="0"/>
        <v>1.9193857965451055E-3</v>
      </c>
      <c r="L16">
        <f t="shared" si="1"/>
        <v>2.6871401151631481E-2</v>
      </c>
    </row>
    <row r="17" spans="1:12" x14ac:dyDescent="0.25">
      <c r="A17" s="3">
        <v>7.58</v>
      </c>
      <c r="I17" s="3">
        <v>0</v>
      </c>
      <c r="J17">
        <v>1</v>
      </c>
      <c r="K17">
        <f t="shared" si="0"/>
        <v>1.9193857965451055E-3</v>
      </c>
      <c r="L17">
        <f t="shared" si="1"/>
        <v>2.8790786948176588E-2</v>
      </c>
    </row>
    <row r="18" spans="1:12" x14ac:dyDescent="0.25">
      <c r="A18" s="3">
        <v>13.24</v>
      </c>
      <c r="I18" s="3">
        <v>0</v>
      </c>
      <c r="J18">
        <v>1</v>
      </c>
      <c r="K18">
        <f t="shared" si="0"/>
        <v>1.9193857965451055E-3</v>
      </c>
      <c r="L18">
        <f t="shared" si="1"/>
        <v>3.0710172744721695E-2</v>
      </c>
    </row>
    <row r="19" spans="1:12" x14ac:dyDescent="0.25">
      <c r="A19" s="3">
        <v>59.06</v>
      </c>
      <c r="I19" s="3">
        <v>0</v>
      </c>
      <c r="J19">
        <v>1</v>
      </c>
      <c r="K19">
        <f t="shared" si="0"/>
        <v>1.9193857965451055E-3</v>
      </c>
      <c r="L19">
        <f t="shared" si="1"/>
        <v>3.2629558541266798E-2</v>
      </c>
    </row>
    <row r="20" spans="1:12" x14ac:dyDescent="0.25">
      <c r="A20" s="3">
        <v>0.95</v>
      </c>
      <c r="I20" s="3">
        <v>0</v>
      </c>
      <c r="J20">
        <v>1</v>
      </c>
      <c r="K20">
        <f t="shared" si="0"/>
        <v>1.9193857965451055E-3</v>
      </c>
      <c r="L20">
        <f t="shared" si="1"/>
        <v>3.4548944337811902E-2</v>
      </c>
    </row>
    <row r="21" spans="1:12" x14ac:dyDescent="0.25">
      <c r="A21" s="3">
        <v>0.95</v>
      </c>
      <c r="I21" s="3">
        <v>0.01</v>
      </c>
      <c r="J21">
        <v>1</v>
      </c>
      <c r="K21">
        <f t="shared" si="0"/>
        <v>1.9193857965451055E-3</v>
      </c>
      <c r="L21">
        <f t="shared" si="1"/>
        <v>3.6468330134357005E-2</v>
      </c>
    </row>
    <row r="22" spans="1:12" x14ac:dyDescent="0.25">
      <c r="A22" s="3">
        <v>6.03</v>
      </c>
      <c r="I22" s="3">
        <v>0.01</v>
      </c>
      <c r="J22">
        <v>1</v>
      </c>
      <c r="K22">
        <f t="shared" si="0"/>
        <v>1.9193857965451055E-3</v>
      </c>
      <c r="L22">
        <f t="shared" si="1"/>
        <v>3.8387715930902108E-2</v>
      </c>
    </row>
    <row r="23" spans="1:12" x14ac:dyDescent="0.25">
      <c r="A23" s="3">
        <v>6.12</v>
      </c>
      <c r="I23" s="3">
        <v>0.01</v>
      </c>
      <c r="J23">
        <v>1</v>
      </c>
      <c r="K23">
        <f t="shared" si="0"/>
        <v>1.9193857965451055E-3</v>
      </c>
      <c r="L23">
        <f t="shared" si="1"/>
        <v>4.0307101727447212E-2</v>
      </c>
    </row>
    <row r="24" spans="1:12" x14ac:dyDescent="0.25">
      <c r="A24" s="3">
        <v>4.67</v>
      </c>
      <c r="I24" s="3">
        <v>0.01</v>
      </c>
      <c r="J24">
        <v>1</v>
      </c>
      <c r="K24">
        <f t="shared" si="0"/>
        <v>1.9193857965451055E-3</v>
      </c>
      <c r="L24">
        <f t="shared" si="1"/>
        <v>4.2226487523992315E-2</v>
      </c>
    </row>
    <row r="25" spans="1:12" x14ac:dyDescent="0.25">
      <c r="A25" s="3">
        <v>0.84</v>
      </c>
      <c r="I25" s="3">
        <v>0.01</v>
      </c>
      <c r="J25">
        <v>1</v>
      </c>
      <c r="K25">
        <f t="shared" si="0"/>
        <v>1.9193857965451055E-3</v>
      </c>
      <c r="L25">
        <f t="shared" si="1"/>
        <v>4.4145873320537418E-2</v>
      </c>
    </row>
    <row r="26" spans="1:12" x14ac:dyDescent="0.25">
      <c r="A26" s="3">
        <v>0.24</v>
      </c>
      <c r="I26" s="3">
        <v>0.01</v>
      </c>
      <c r="J26">
        <v>1</v>
      </c>
      <c r="K26">
        <f t="shared" si="0"/>
        <v>1.9193857965451055E-3</v>
      </c>
      <c r="L26">
        <f t="shared" si="1"/>
        <v>4.6065259117082522E-2</v>
      </c>
    </row>
    <row r="27" spans="1:12" x14ac:dyDescent="0.25">
      <c r="A27" s="3">
        <v>5.33</v>
      </c>
      <c r="I27" s="3">
        <v>0.01</v>
      </c>
      <c r="J27">
        <v>1</v>
      </c>
      <c r="K27">
        <f t="shared" si="0"/>
        <v>1.9193857965451055E-3</v>
      </c>
      <c r="L27">
        <f t="shared" si="1"/>
        <v>4.7984644913627625E-2</v>
      </c>
    </row>
    <row r="28" spans="1:12" x14ac:dyDescent="0.25">
      <c r="A28" s="3">
        <v>5.43</v>
      </c>
      <c r="I28" s="3">
        <v>0.01</v>
      </c>
      <c r="J28">
        <v>1</v>
      </c>
      <c r="K28">
        <f t="shared" si="0"/>
        <v>1.9193857965451055E-3</v>
      </c>
      <c r="L28">
        <f t="shared" si="1"/>
        <v>4.9904030710172728E-2</v>
      </c>
    </row>
    <row r="29" spans="1:12" x14ac:dyDescent="0.25">
      <c r="A29" s="3">
        <v>4.1900000000000004</v>
      </c>
      <c r="I29" s="3">
        <v>0.01</v>
      </c>
      <c r="J29">
        <v>1</v>
      </c>
      <c r="K29">
        <f t="shared" si="0"/>
        <v>1.9193857965451055E-3</v>
      </c>
      <c r="L29">
        <f t="shared" si="1"/>
        <v>5.1823416506717832E-2</v>
      </c>
    </row>
    <row r="30" spans="1:12" x14ac:dyDescent="0.25">
      <c r="A30" s="3">
        <v>18.170000000000002</v>
      </c>
      <c r="I30" s="3">
        <v>0.01</v>
      </c>
      <c r="J30">
        <v>1</v>
      </c>
      <c r="K30">
        <f t="shared" si="0"/>
        <v>1.9193857965451055E-3</v>
      </c>
      <c r="L30">
        <f t="shared" si="1"/>
        <v>5.3742802303262935E-2</v>
      </c>
    </row>
    <row r="31" spans="1:12" x14ac:dyDescent="0.25">
      <c r="A31" s="3">
        <v>24.08</v>
      </c>
      <c r="I31" s="3">
        <v>0.01</v>
      </c>
      <c r="J31">
        <v>1</v>
      </c>
      <c r="K31">
        <f t="shared" si="0"/>
        <v>1.9193857965451055E-3</v>
      </c>
      <c r="L31">
        <f t="shared" si="1"/>
        <v>5.5662188099808038E-2</v>
      </c>
    </row>
    <row r="32" spans="1:12" x14ac:dyDescent="0.25">
      <c r="A32" s="3">
        <v>0.17</v>
      </c>
      <c r="I32" s="3">
        <v>0.02</v>
      </c>
      <c r="J32">
        <v>1</v>
      </c>
      <c r="K32">
        <f t="shared" si="0"/>
        <v>1.9193857965451055E-3</v>
      </c>
      <c r="L32">
        <f t="shared" si="1"/>
        <v>5.7581573896353141E-2</v>
      </c>
    </row>
    <row r="33" spans="1:12" x14ac:dyDescent="0.25">
      <c r="A33" s="3">
        <v>10.27</v>
      </c>
      <c r="I33" s="3">
        <v>0.02</v>
      </c>
      <c r="J33">
        <v>1</v>
      </c>
      <c r="K33">
        <f t="shared" si="0"/>
        <v>1.9193857965451055E-3</v>
      </c>
      <c r="L33">
        <f t="shared" si="1"/>
        <v>5.9500959692898245E-2</v>
      </c>
    </row>
    <row r="34" spans="1:12" x14ac:dyDescent="0.25">
      <c r="A34" s="3">
        <v>0</v>
      </c>
      <c r="I34" s="3">
        <v>0.02</v>
      </c>
      <c r="J34">
        <v>1</v>
      </c>
      <c r="K34">
        <f t="shared" si="0"/>
        <v>1.9193857965451055E-3</v>
      </c>
      <c r="L34">
        <f t="shared" si="1"/>
        <v>6.1420345489443348E-2</v>
      </c>
    </row>
    <row r="35" spans="1:12" x14ac:dyDescent="0.25">
      <c r="A35" s="3">
        <v>5.26</v>
      </c>
      <c r="I35" s="3">
        <v>0.02</v>
      </c>
      <c r="J35">
        <v>1</v>
      </c>
      <c r="K35">
        <f t="shared" si="0"/>
        <v>1.9193857965451055E-3</v>
      </c>
      <c r="L35">
        <f t="shared" si="1"/>
        <v>6.3339731285988451E-2</v>
      </c>
    </row>
    <row r="36" spans="1:12" x14ac:dyDescent="0.25">
      <c r="A36" s="3">
        <v>4.1100000000000003</v>
      </c>
      <c r="I36" s="3">
        <v>0.03</v>
      </c>
      <c r="J36">
        <v>1</v>
      </c>
      <c r="K36">
        <f t="shared" si="0"/>
        <v>1.9193857965451055E-3</v>
      </c>
      <c r="L36">
        <f t="shared" si="1"/>
        <v>6.5259117082533555E-2</v>
      </c>
    </row>
    <row r="37" spans="1:12" x14ac:dyDescent="0.25">
      <c r="A37" s="3">
        <v>11.3</v>
      </c>
      <c r="I37" s="3">
        <v>0.03</v>
      </c>
      <c r="J37">
        <v>1</v>
      </c>
      <c r="K37">
        <f t="shared" si="0"/>
        <v>1.9193857965451055E-3</v>
      </c>
      <c r="L37">
        <f t="shared" si="1"/>
        <v>6.7178502879078658E-2</v>
      </c>
    </row>
    <row r="38" spans="1:12" x14ac:dyDescent="0.25">
      <c r="A38" s="3">
        <v>28</v>
      </c>
      <c r="I38" s="3">
        <v>0.03</v>
      </c>
      <c r="J38">
        <v>1</v>
      </c>
      <c r="K38">
        <f t="shared" si="0"/>
        <v>1.9193857965451055E-3</v>
      </c>
      <c r="L38">
        <f t="shared" si="1"/>
        <v>6.9097888675623761E-2</v>
      </c>
    </row>
    <row r="39" spans="1:12" x14ac:dyDescent="0.25">
      <c r="A39" s="3">
        <v>20.190000000000001</v>
      </c>
      <c r="I39" s="3">
        <v>0.03</v>
      </c>
      <c r="J39">
        <v>1</v>
      </c>
      <c r="K39">
        <f t="shared" si="0"/>
        <v>1.9193857965451055E-3</v>
      </c>
      <c r="L39">
        <f t="shared" si="1"/>
        <v>7.1017274472168865E-2</v>
      </c>
    </row>
    <row r="40" spans="1:12" x14ac:dyDescent="0.25">
      <c r="A40" s="3">
        <v>0</v>
      </c>
      <c r="I40" s="3">
        <v>0.03</v>
      </c>
      <c r="J40">
        <v>1</v>
      </c>
      <c r="K40">
        <f t="shared" si="0"/>
        <v>1.9193857965451055E-3</v>
      </c>
      <c r="L40">
        <f t="shared" si="1"/>
        <v>7.2936660268713968E-2</v>
      </c>
    </row>
    <row r="41" spans="1:12" x14ac:dyDescent="0.25">
      <c r="A41" s="3">
        <v>33.049999999999997</v>
      </c>
      <c r="I41" s="3">
        <v>0.04</v>
      </c>
      <c r="J41">
        <v>1</v>
      </c>
      <c r="K41">
        <f t="shared" si="0"/>
        <v>1.9193857965451055E-3</v>
      </c>
      <c r="L41">
        <f t="shared" si="1"/>
        <v>7.4856046065259071E-2</v>
      </c>
    </row>
    <row r="42" spans="1:12" x14ac:dyDescent="0.25">
      <c r="A42" s="3">
        <v>0.04</v>
      </c>
      <c r="I42" s="3">
        <v>0.04</v>
      </c>
      <c r="J42">
        <v>1</v>
      </c>
      <c r="K42">
        <f t="shared" si="0"/>
        <v>1.9193857965451055E-3</v>
      </c>
      <c r="L42">
        <f t="shared" si="1"/>
        <v>7.6775431861804175E-2</v>
      </c>
    </row>
    <row r="43" spans="1:12" x14ac:dyDescent="0.25">
      <c r="A43" s="3">
        <v>3</v>
      </c>
      <c r="I43" s="3">
        <v>0.04</v>
      </c>
      <c r="J43">
        <v>1</v>
      </c>
      <c r="K43">
        <f t="shared" si="0"/>
        <v>1.9193857965451055E-3</v>
      </c>
      <c r="L43">
        <f t="shared" si="1"/>
        <v>7.8694817658349278E-2</v>
      </c>
    </row>
    <row r="44" spans="1:12" x14ac:dyDescent="0.25">
      <c r="A44" s="3">
        <v>0.16</v>
      </c>
      <c r="I44" s="3">
        <v>0.04</v>
      </c>
      <c r="J44">
        <v>1</v>
      </c>
      <c r="K44">
        <f t="shared" si="0"/>
        <v>1.9193857965451055E-3</v>
      </c>
      <c r="L44">
        <f t="shared" si="1"/>
        <v>8.0614203454894381E-2</v>
      </c>
    </row>
    <row r="45" spans="1:12" x14ac:dyDescent="0.25">
      <c r="A45" s="3">
        <v>0.02</v>
      </c>
      <c r="I45" s="3">
        <v>0.05</v>
      </c>
      <c r="J45">
        <v>1</v>
      </c>
      <c r="K45">
        <f t="shared" si="0"/>
        <v>1.9193857965451055E-3</v>
      </c>
      <c r="L45">
        <f t="shared" si="1"/>
        <v>8.2533589251439485E-2</v>
      </c>
    </row>
    <row r="46" spans="1:12" x14ac:dyDescent="0.25">
      <c r="A46" s="3">
        <v>40.03</v>
      </c>
      <c r="I46" s="3">
        <v>0.05</v>
      </c>
      <c r="J46">
        <v>1</v>
      </c>
      <c r="K46">
        <f t="shared" si="0"/>
        <v>1.9193857965451055E-3</v>
      </c>
      <c r="L46">
        <f t="shared" si="1"/>
        <v>8.4452975047984588E-2</v>
      </c>
    </row>
    <row r="47" spans="1:12" x14ac:dyDescent="0.25">
      <c r="A47" s="3">
        <v>25.15</v>
      </c>
      <c r="I47" s="3">
        <v>0.06</v>
      </c>
      <c r="J47">
        <v>1</v>
      </c>
      <c r="K47">
        <f t="shared" si="0"/>
        <v>1.9193857965451055E-3</v>
      </c>
      <c r="L47">
        <f t="shared" si="1"/>
        <v>8.6372360844529691E-2</v>
      </c>
    </row>
    <row r="48" spans="1:12" x14ac:dyDescent="0.25">
      <c r="A48" s="3">
        <v>6.01</v>
      </c>
      <c r="I48" s="3">
        <v>0.06</v>
      </c>
      <c r="J48">
        <v>1</v>
      </c>
      <c r="K48">
        <f t="shared" si="0"/>
        <v>1.9193857965451055E-3</v>
      </c>
      <c r="L48">
        <f t="shared" si="1"/>
        <v>8.8291746641074795E-2</v>
      </c>
    </row>
    <row r="49" spans="1:12" x14ac:dyDescent="0.25">
      <c r="A49" s="3">
        <v>5.97</v>
      </c>
      <c r="I49" s="3">
        <v>0.06</v>
      </c>
      <c r="J49">
        <v>1</v>
      </c>
      <c r="K49">
        <f t="shared" si="0"/>
        <v>1.9193857965451055E-3</v>
      </c>
      <c r="L49">
        <f t="shared" si="1"/>
        <v>9.0211132437619898E-2</v>
      </c>
    </row>
    <row r="50" spans="1:12" x14ac:dyDescent="0.25">
      <c r="A50" s="3">
        <v>19.100000000000001</v>
      </c>
      <c r="I50" s="3">
        <v>0.06</v>
      </c>
      <c r="J50">
        <v>1</v>
      </c>
      <c r="K50">
        <f t="shared" si="0"/>
        <v>1.9193857965451055E-3</v>
      </c>
      <c r="L50">
        <f t="shared" si="1"/>
        <v>9.2130518234165001E-2</v>
      </c>
    </row>
    <row r="51" spans="1:12" x14ac:dyDescent="0.25">
      <c r="A51" s="3">
        <v>31.05</v>
      </c>
      <c r="I51" s="3">
        <v>0.06</v>
      </c>
      <c r="J51">
        <v>1</v>
      </c>
      <c r="K51">
        <f t="shared" si="0"/>
        <v>1.9193857965451055E-3</v>
      </c>
      <c r="L51">
        <f t="shared" si="1"/>
        <v>9.4049904030710105E-2</v>
      </c>
    </row>
    <row r="52" spans="1:12" x14ac:dyDescent="0.25">
      <c r="A52" s="3">
        <v>3.24</v>
      </c>
      <c r="I52" s="3">
        <v>7.0000000000000007E-2</v>
      </c>
      <c r="J52">
        <v>1</v>
      </c>
      <c r="K52">
        <f t="shared" si="0"/>
        <v>1.9193857965451055E-3</v>
      </c>
      <c r="L52">
        <f t="shared" si="1"/>
        <v>9.5969289827255208E-2</v>
      </c>
    </row>
    <row r="53" spans="1:12" x14ac:dyDescent="0.25">
      <c r="A53" s="3">
        <v>0.2</v>
      </c>
      <c r="I53" s="3">
        <v>7.0000000000000007E-2</v>
      </c>
      <c r="J53">
        <v>1</v>
      </c>
      <c r="K53">
        <f t="shared" si="0"/>
        <v>1.9193857965451055E-3</v>
      </c>
      <c r="L53">
        <f t="shared" si="1"/>
        <v>9.7888675623800311E-2</v>
      </c>
    </row>
    <row r="54" spans="1:12" x14ac:dyDescent="0.25">
      <c r="A54" s="3">
        <v>41.26</v>
      </c>
      <c r="I54" s="3">
        <v>0.09</v>
      </c>
      <c r="J54">
        <v>1</v>
      </c>
      <c r="K54">
        <f t="shared" si="0"/>
        <v>1.9193857965451055E-3</v>
      </c>
      <c r="L54">
        <f t="shared" si="1"/>
        <v>9.9808061420345415E-2</v>
      </c>
    </row>
    <row r="55" spans="1:12" x14ac:dyDescent="0.25">
      <c r="A55" s="3">
        <v>3.05</v>
      </c>
      <c r="I55" s="3">
        <v>0.1</v>
      </c>
      <c r="J55">
        <v>1</v>
      </c>
      <c r="K55">
        <f t="shared" si="0"/>
        <v>1.9193857965451055E-3</v>
      </c>
      <c r="L55">
        <f t="shared" si="1"/>
        <v>0.10172744721689052</v>
      </c>
    </row>
    <row r="56" spans="1:12" x14ac:dyDescent="0.25">
      <c r="A56" s="3">
        <v>0.25</v>
      </c>
      <c r="I56" s="3">
        <v>0.11</v>
      </c>
      <c r="J56">
        <v>1</v>
      </c>
      <c r="K56">
        <f t="shared" si="0"/>
        <v>1.9193857965451055E-3</v>
      </c>
      <c r="L56">
        <f t="shared" si="1"/>
        <v>0.10364683301343562</v>
      </c>
    </row>
    <row r="57" spans="1:12" x14ac:dyDescent="0.25">
      <c r="A57" s="3">
        <v>5.77</v>
      </c>
      <c r="I57" s="3">
        <v>0.12</v>
      </c>
      <c r="J57">
        <v>1</v>
      </c>
      <c r="K57">
        <f t="shared" si="0"/>
        <v>1.9193857965451055E-3</v>
      </c>
      <c r="L57">
        <f t="shared" si="1"/>
        <v>0.10556621880998072</v>
      </c>
    </row>
    <row r="58" spans="1:12" x14ac:dyDescent="0.25">
      <c r="A58" s="3">
        <v>0.16</v>
      </c>
      <c r="I58" s="3">
        <v>0.13</v>
      </c>
      <c r="J58">
        <v>1</v>
      </c>
      <c r="K58">
        <f t="shared" si="0"/>
        <v>1.9193857965451055E-3</v>
      </c>
      <c r="L58">
        <f t="shared" si="1"/>
        <v>0.10748560460652583</v>
      </c>
    </row>
    <row r="59" spans="1:12" x14ac:dyDescent="0.25">
      <c r="A59" s="3">
        <v>6.94</v>
      </c>
      <c r="I59" s="3">
        <v>0.13</v>
      </c>
      <c r="J59">
        <v>1</v>
      </c>
      <c r="K59">
        <f t="shared" si="0"/>
        <v>1.9193857965451055E-3</v>
      </c>
      <c r="L59">
        <f t="shared" si="1"/>
        <v>0.10940499040307093</v>
      </c>
    </row>
    <row r="60" spans="1:12" x14ac:dyDescent="0.25">
      <c r="A60" s="3">
        <v>5.93</v>
      </c>
      <c r="I60" s="3">
        <v>0.14000000000000001</v>
      </c>
      <c r="J60">
        <v>1</v>
      </c>
      <c r="K60">
        <f t="shared" si="0"/>
        <v>1.9193857965451055E-3</v>
      </c>
      <c r="L60">
        <f t="shared" si="1"/>
        <v>0.11132437619961603</v>
      </c>
    </row>
    <row r="61" spans="1:12" x14ac:dyDescent="0.25">
      <c r="A61" s="3">
        <v>23.92</v>
      </c>
      <c r="I61" s="3">
        <v>0.14000000000000001</v>
      </c>
      <c r="J61">
        <v>1</v>
      </c>
      <c r="K61">
        <f t="shared" si="0"/>
        <v>1.9193857965451055E-3</v>
      </c>
      <c r="L61">
        <f t="shared" si="1"/>
        <v>0.11324376199616114</v>
      </c>
    </row>
    <row r="62" spans="1:12" x14ac:dyDescent="0.25">
      <c r="A62" s="3">
        <v>0.11</v>
      </c>
      <c r="I62" s="3">
        <v>0.14000000000000001</v>
      </c>
      <c r="J62">
        <v>1</v>
      </c>
      <c r="K62">
        <f t="shared" si="0"/>
        <v>1.9193857965451055E-3</v>
      </c>
      <c r="L62">
        <f t="shared" si="1"/>
        <v>0.11516314779270624</v>
      </c>
    </row>
    <row r="63" spans="1:12" x14ac:dyDescent="0.25">
      <c r="A63" s="3">
        <v>24.97</v>
      </c>
      <c r="I63" s="3">
        <v>0.14000000000000001</v>
      </c>
      <c r="J63">
        <v>1</v>
      </c>
      <c r="K63">
        <f t="shared" si="0"/>
        <v>1.9193857965451055E-3</v>
      </c>
      <c r="L63">
        <f t="shared" si="1"/>
        <v>0.11708253358925134</v>
      </c>
    </row>
    <row r="64" spans="1:12" x14ac:dyDescent="0.25">
      <c r="A64" s="3">
        <v>0.17</v>
      </c>
      <c r="I64" s="3">
        <v>0.15</v>
      </c>
      <c r="J64">
        <v>1</v>
      </c>
      <c r="K64">
        <f t="shared" si="0"/>
        <v>1.9193857965451055E-3</v>
      </c>
      <c r="L64">
        <f t="shared" si="1"/>
        <v>0.11900191938579645</v>
      </c>
    </row>
    <row r="65" spans="1:12" x14ac:dyDescent="0.25">
      <c r="A65" s="3">
        <v>6.01</v>
      </c>
      <c r="I65" s="3">
        <v>0.16</v>
      </c>
      <c r="J65">
        <v>1</v>
      </c>
      <c r="K65">
        <f t="shared" si="0"/>
        <v>1.9193857965451055E-3</v>
      </c>
      <c r="L65">
        <f t="shared" si="1"/>
        <v>0.12092130518234155</v>
      </c>
    </row>
    <row r="66" spans="1:12" x14ac:dyDescent="0.25">
      <c r="A66" s="3">
        <v>31.12</v>
      </c>
      <c r="I66" s="3">
        <v>0.16</v>
      </c>
      <c r="J66">
        <v>1</v>
      </c>
      <c r="K66">
        <f t="shared" si="0"/>
        <v>1.9193857965451055E-3</v>
      </c>
      <c r="L66">
        <f t="shared" si="1"/>
        <v>0.12284069097888665</v>
      </c>
    </row>
    <row r="67" spans="1:12" x14ac:dyDescent="0.25">
      <c r="A67" s="3">
        <v>9.9600000000000009</v>
      </c>
      <c r="I67" s="3">
        <v>0.16</v>
      </c>
      <c r="J67">
        <v>1</v>
      </c>
      <c r="K67">
        <f t="shared" si="0"/>
        <v>1.9193857965451055E-3</v>
      </c>
      <c r="L67">
        <f t="shared" si="1"/>
        <v>0.12476007677543176</v>
      </c>
    </row>
    <row r="68" spans="1:12" x14ac:dyDescent="0.25">
      <c r="A68" s="3">
        <v>4.0599999999999996</v>
      </c>
      <c r="I68" s="3">
        <v>0.17</v>
      </c>
      <c r="J68">
        <v>1</v>
      </c>
      <c r="K68">
        <f t="shared" ref="K68:K131" si="2">J68/$C$16</f>
        <v>1.9193857965451055E-3</v>
      </c>
      <c r="L68">
        <f t="shared" si="1"/>
        <v>0.12667946257197688</v>
      </c>
    </row>
    <row r="69" spans="1:12" x14ac:dyDescent="0.25">
      <c r="A69" s="3">
        <v>11.05</v>
      </c>
      <c r="I69" s="3">
        <v>0.17</v>
      </c>
      <c r="J69">
        <v>1</v>
      </c>
      <c r="K69">
        <f t="shared" si="2"/>
        <v>1.9193857965451055E-3</v>
      </c>
      <c r="L69">
        <f t="shared" ref="L69:L132" si="3">L68+K69</f>
        <v>0.12859884836852198</v>
      </c>
    </row>
    <row r="70" spans="1:12" x14ac:dyDescent="0.25">
      <c r="A70" s="3">
        <v>51.05</v>
      </c>
      <c r="I70" s="3">
        <v>0.17</v>
      </c>
      <c r="J70">
        <v>1</v>
      </c>
      <c r="K70">
        <f t="shared" si="2"/>
        <v>1.9193857965451055E-3</v>
      </c>
      <c r="L70">
        <f t="shared" si="3"/>
        <v>0.13051823416506708</v>
      </c>
    </row>
    <row r="71" spans="1:12" x14ac:dyDescent="0.25">
      <c r="A71" s="3">
        <v>7.14</v>
      </c>
      <c r="I71" s="3">
        <v>0.17</v>
      </c>
      <c r="J71">
        <v>1</v>
      </c>
      <c r="K71">
        <f t="shared" si="2"/>
        <v>1.9193857965451055E-3</v>
      </c>
      <c r="L71">
        <f t="shared" si="3"/>
        <v>0.13243761996161219</v>
      </c>
    </row>
    <row r="72" spans="1:12" x14ac:dyDescent="0.25">
      <c r="A72" s="3">
        <v>28.11</v>
      </c>
      <c r="I72" s="3">
        <v>0.17</v>
      </c>
      <c r="J72">
        <v>1</v>
      </c>
      <c r="K72">
        <f t="shared" si="2"/>
        <v>1.9193857965451055E-3</v>
      </c>
      <c r="L72">
        <f t="shared" si="3"/>
        <v>0.13435700575815729</v>
      </c>
    </row>
    <row r="73" spans="1:12" x14ac:dyDescent="0.25">
      <c r="A73" s="3">
        <v>6.18</v>
      </c>
      <c r="I73" s="3">
        <v>0.17</v>
      </c>
      <c r="J73">
        <v>1</v>
      </c>
      <c r="K73">
        <f t="shared" si="2"/>
        <v>1.9193857965451055E-3</v>
      </c>
      <c r="L73">
        <f t="shared" si="3"/>
        <v>0.13627639155470239</v>
      </c>
    </row>
    <row r="74" spans="1:12" x14ac:dyDescent="0.25">
      <c r="A74" s="3">
        <v>38.1</v>
      </c>
      <c r="I74" s="3">
        <v>0.17</v>
      </c>
      <c r="J74">
        <v>1</v>
      </c>
      <c r="K74">
        <f t="shared" si="2"/>
        <v>1.9193857965451055E-3</v>
      </c>
      <c r="L74">
        <f t="shared" si="3"/>
        <v>0.1381957773512475</v>
      </c>
    </row>
    <row r="75" spans="1:12" x14ac:dyDescent="0.25">
      <c r="A75" s="3">
        <v>53.17</v>
      </c>
      <c r="I75" s="3">
        <v>0.18</v>
      </c>
      <c r="J75">
        <v>1</v>
      </c>
      <c r="K75">
        <f t="shared" si="2"/>
        <v>1.9193857965451055E-3</v>
      </c>
      <c r="L75">
        <f t="shared" si="3"/>
        <v>0.1401151631477926</v>
      </c>
    </row>
    <row r="76" spans="1:12" x14ac:dyDescent="0.25">
      <c r="A76" s="3">
        <v>3.21</v>
      </c>
      <c r="I76" s="3">
        <v>0.19</v>
      </c>
      <c r="J76">
        <v>1</v>
      </c>
      <c r="K76">
        <f t="shared" si="2"/>
        <v>1.9193857965451055E-3</v>
      </c>
      <c r="L76">
        <f t="shared" si="3"/>
        <v>0.1420345489443377</v>
      </c>
    </row>
    <row r="77" spans="1:12" x14ac:dyDescent="0.25">
      <c r="A77" s="3">
        <v>0.01</v>
      </c>
      <c r="I77" s="3">
        <v>0.2</v>
      </c>
      <c r="J77">
        <v>1</v>
      </c>
      <c r="K77">
        <f t="shared" si="2"/>
        <v>1.9193857965451055E-3</v>
      </c>
      <c r="L77">
        <f t="shared" si="3"/>
        <v>0.14395393474088281</v>
      </c>
    </row>
    <row r="78" spans="1:12" x14ac:dyDescent="0.25">
      <c r="A78" s="3">
        <v>6.12</v>
      </c>
      <c r="I78" s="3">
        <v>0.2</v>
      </c>
      <c r="J78">
        <v>1</v>
      </c>
      <c r="K78">
        <f t="shared" si="2"/>
        <v>1.9193857965451055E-3</v>
      </c>
      <c r="L78">
        <f t="shared" si="3"/>
        <v>0.14587332053742791</v>
      </c>
    </row>
    <row r="79" spans="1:12" x14ac:dyDescent="0.25">
      <c r="A79" s="3">
        <v>9.92</v>
      </c>
      <c r="I79" s="3">
        <v>0.21</v>
      </c>
      <c r="J79">
        <v>1</v>
      </c>
      <c r="K79">
        <f t="shared" si="2"/>
        <v>1.9193857965451055E-3</v>
      </c>
      <c r="L79">
        <f t="shared" si="3"/>
        <v>0.14779270633397301</v>
      </c>
    </row>
    <row r="80" spans="1:12" x14ac:dyDescent="0.25">
      <c r="A80" s="3">
        <v>5.2</v>
      </c>
      <c r="I80" s="3">
        <v>0.24</v>
      </c>
      <c r="J80">
        <v>1</v>
      </c>
      <c r="K80">
        <f t="shared" si="2"/>
        <v>1.9193857965451055E-3</v>
      </c>
      <c r="L80">
        <f t="shared" si="3"/>
        <v>0.14971209213051812</v>
      </c>
    </row>
    <row r="81" spans="1:12" x14ac:dyDescent="0.25">
      <c r="A81" s="3">
        <v>3.79</v>
      </c>
      <c r="I81" s="3">
        <v>0.24</v>
      </c>
      <c r="J81">
        <v>1</v>
      </c>
      <c r="K81">
        <f t="shared" si="2"/>
        <v>1.9193857965451055E-3</v>
      </c>
      <c r="L81">
        <f t="shared" si="3"/>
        <v>0.15163147792706322</v>
      </c>
    </row>
    <row r="82" spans="1:12" x14ac:dyDescent="0.25">
      <c r="A82" s="3">
        <v>3.93</v>
      </c>
      <c r="I82" s="3">
        <v>0.24</v>
      </c>
      <c r="J82">
        <v>1</v>
      </c>
      <c r="K82">
        <f t="shared" si="2"/>
        <v>1.9193857965451055E-3</v>
      </c>
      <c r="L82">
        <f t="shared" si="3"/>
        <v>0.15355086372360832</v>
      </c>
    </row>
    <row r="83" spans="1:12" x14ac:dyDescent="0.25">
      <c r="A83" s="3">
        <v>33.93</v>
      </c>
      <c r="I83" s="3">
        <v>0.25</v>
      </c>
      <c r="J83">
        <v>1</v>
      </c>
      <c r="K83">
        <f t="shared" si="2"/>
        <v>1.9193857965451055E-3</v>
      </c>
      <c r="L83">
        <f t="shared" si="3"/>
        <v>0.15547024952015343</v>
      </c>
    </row>
    <row r="84" spans="1:12" x14ac:dyDescent="0.25">
      <c r="A84" s="3">
        <v>17</v>
      </c>
      <c r="I84" s="3">
        <v>0.25</v>
      </c>
      <c r="J84">
        <v>1</v>
      </c>
      <c r="K84">
        <f t="shared" si="2"/>
        <v>1.9193857965451055E-3</v>
      </c>
      <c r="L84">
        <f t="shared" si="3"/>
        <v>0.15738963531669853</v>
      </c>
    </row>
    <row r="85" spans="1:12" x14ac:dyDescent="0.25">
      <c r="A85" s="3">
        <v>0</v>
      </c>
      <c r="I85" s="3">
        <v>0.26</v>
      </c>
      <c r="J85">
        <v>1</v>
      </c>
      <c r="K85">
        <f t="shared" si="2"/>
        <v>1.9193857965451055E-3</v>
      </c>
      <c r="L85">
        <f t="shared" si="3"/>
        <v>0.15930902111324363</v>
      </c>
    </row>
    <row r="86" spans="1:12" x14ac:dyDescent="0.25">
      <c r="A86" s="3">
        <v>0</v>
      </c>
      <c r="I86" s="3">
        <v>0.26</v>
      </c>
      <c r="J86">
        <v>1</v>
      </c>
      <c r="K86">
        <f t="shared" si="2"/>
        <v>1.9193857965451055E-3</v>
      </c>
      <c r="L86">
        <f t="shared" si="3"/>
        <v>0.16122840690978874</v>
      </c>
    </row>
    <row r="87" spans="1:12" x14ac:dyDescent="0.25">
      <c r="A87" s="3">
        <v>7.86</v>
      </c>
      <c r="I87" s="3">
        <v>0.26</v>
      </c>
      <c r="J87">
        <v>1</v>
      </c>
      <c r="K87">
        <f t="shared" si="2"/>
        <v>1.9193857965451055E-3</v>
      </c>
      <c r="L87">
        <f t="shared" si="3"/>
        <v>0.16314779270633384</v>
      </c>
    </row>
    <row r="88" spans="1:12" x14ac:dyDescent="0.25">
      <c r="A88" s="3">
        <v>13.15</v>
      </c>
      <c r="I88" s="3">
        <v>0.27</v>
      </c>
      <c r="J88">
        <v>1</v>
      </c>
      <c r="K88">
        <f t="shared" si="2"/>
        <v>1.9193857965451055E-3</v>
      </c>
      <c r="L88">
        <f t="shared" si="3"/>
        <v>0.16506717850287894</v>
      </c>
    </row>
    <row r="89" spans="1:12" x14ac:dyDescent="0.25">
      <c r="A89" s="3">
        <v>0.02</v>
      </c>
      <c r="I89" s="3">
        <v>0.28000000000000003</v>
      </c>
      <c r="J89">
        <v>1</v>
      </c>
      <c r="K89">
        <f t="shared" si="2"/>
        <v>1.9193857965451055E-3</v>
      </c>
      <c r="L89">
        <f t="shared" si="3"/>
        <v>0.16698656429942405</v>
      </c>
    </row>
    <row r="90" spans="1:12" x14ac:dyDescent="0.25">
      <c r="A90" s="3">
        <v>46.88</v>
      </c>
      <c r="I90" s="3">
        <v>0.31</v>
      </c>
      <c r="J90">
        <v>1</v>
      </c>
      <c r="K90">
        <f t="shared" si="2"/>
        <v>1.9193857965451055E-3</v>
      </c>
      <c r="L90">
        <f t="shared" si="3"/>
        <v>0.16890595009596915</v>
      </c>
    </row>
    <row r="91" spans="1:12" x14ac:dyDescent="0.25">
      <c r="A91" s="3">
        <v>0.17</v>
      </c>
      <c r="I91" s="3">
        <v>0.5</v>
      </c>
      <c r="J91">
        <v>1</v>
      </c>
      <c r="K91">
        <f t="shared" si="2"/>
        <v>1.9193857965451055E-3</v>
      </c>
      <c r="L91">
        <f t="shared" si="3"/>
        <v>0.17082533589251425</v>
      </c>
    </row>
    <row r="92" spans="1:12" x14ac:dyDescent="0.25">
      <c r="A92" s="3">
        <v>17.09</v>
      </c>
      <c r="I92" s="3">
        <v>0.59</v>
      </c>
      <c r="J92">
        <v>1</v>
      </c>
      <c r="K92">
        <f t="shared" si="2"/>
        <v>1.9193857965451055E-3</v>
      </c>
      <c r="L92">
        <f t="shared" si="3"/>
        <v>0.17274472168905936</v>
      </c>
    </row>
    <row r="93" spans="1:12" x14ac:dyDescent="0.25">
      <c r="A93" s="3">
        <v>24.95</v>
      </c>
      <c r="I93" s="3">
        <v>0.6</v>
      </c>
      <c r="J93">
        <v>1</v>
      </c>
      <c r="K93">
        <f t="shared" si="2"/>
        <v>1.9193857965451055E-3</v>
      </c>
      <c r="L93">
        <f t="shared" si="3"/>
        <v>0.17466410748560446</v>
      </c>
    </row>
    <row r="94" spans="1:12" x14ac:dyDescent="0.25">
      <c r="A94" s="3">
        <v>2.85</v>
      </c>
      <c r="I94" s="3">
        <v>0.62</v>
      </c>
      <c r="J94">
        <v>1</v>
      </c>
      <c r="K94">
        <f t="shared" si="2"/>
        <v>1.9193857965451055E-3</v>
      </c>
      <c r="L94">
        <f t="shared" si="3"/>
        <v>0.17658349328214956</v>
      </c>
    </row>
    <row r="95" spans="1:12" x14ac:dyDescent="0.25">
      <c r="A95" s="3">
        <v>3.09</v>
      </c>
      <c r="I95" s="3">
        <v>0.65</v>
      </c>
      <c r="J95">
        <v>1</v>
      </c>
      <c r="K95">
        <f t="shared" si="2"/>
        <v>1.9193857965451055E-3</v>
      </c>
      <c r="L95">
        <f t="shared" si="3"/>
        <v>0.17850287907869467</v>
      </c>
    </row>
    <row r="96" spans="1:12" x14ac:dyDescent="0.25">
      <c r="A96" s="3">
        <v>55.13</v>
      </c>
      <c r="I96" s="3">
        <v>0.67</v>
      </c>
      <c r="J96">
        <v>1</v>
      </c>
      <c r="K96">
        <f t="shared" si="2"/>
        <v>1.9193857965451055E-3</v>
      </c>
      <c r="L96">
        <f t="shared" si="3"/>
        <v>0.18042226487523977</v>
      </c>
    </row>
    <row r="97" spans="1:12" x14ac:dyDescent="0.25">
      <c r="A97" s="3">
        <v>0.06</v>
      </c>
      <c r="I97" s="3">
        <v>0.67</v>
      </c>
      <c r="J97">
        <v>1</v>
      </c>
      <c r="K97">
        <f t="shared" si="2"/>
        <v>1.9193857965451055E-3</v>
      </c>
      <c r="L97">
        <f t="shared" si="3"/>
        <v>0.18234165067178487</v>
      </c>
    </row>
    <row r="98" spans="1:12" x14ac:dyDescent="0.25">
      <c r="A98" s="3">
        <v>5.85</v>
      </c>
      <c r="I98" s="3">
        <v>0.68</v>
      </c>
      <c r="J98">
        <v>1</v>
      </c>
      <c r="K98">
        <f t="shared" si="2"/>
        <v>1.9193857965451055E-3</v>
      </c>
      <c r="L98">
        <f t="shared" si="3"/>
        <v>0.18426103646832998</v>
      </c>
    </row>
    <row r="99" spans="1:12" x14ac:dyDescent="0.25">
      <c r="A99" s="3">
        <v>3.01</v>
      </c>
      <c r="I99" s="3">
        <v>0.7</v>
      </c>
      <c r="J99">
        <v>1</v>
      </c>
      <c r="K99">
        <f t="shared" si="2"/>
        <v>1.9193857965451055E-3</v>
      </c>
      <c r="L99">
        <f t="shared" si="3"/>
        <v>0.18618042226487508</v>
      </c>
    </row>
    <row r="100" spans="1:12" x14ac:dyDescent="0.25">
      <c r="A100" s="3">
        <v>6.93</v>
      </c>
      <c r="I100" s="3">
        <v>0.7</v>
      </c>
      <c r="J100">
        <v>1</v>
      </c>
      <c r="K100">
        <f t="shared" si="2"/>
        <v>1.9193857965451055E-3</v>
      </c>
      <c r="L100">
        <f t="shared" si="3"/>
        <v>0.18809980806142018</v>
      </c>
    </row>
    <row r="101" spans="1:12" x14ac:dyDescent="0.25">
      <c r="A101" s="3">
        <v>17.87</v>
      </c>
      <c r="I101" s="3">
        <v>0.71</v>
      </c>
      <c r="J101">
        <v>1</v>
      </c>
      <c r="K101">
        <f t="shared" si="2"/>
        <v>1.9193857965451055E-3</v>
      </c>
      <c r="L101">
        <f t="shared" si="3"/>
        <v>0.19001919385796529</v>
      </c>
    </row>
    <row r="102" spans="1:12" x14ac:dyDescent="0.25">
      <c r="A102" s="3">
        <v>5.03</v>
      </c>
      <c r="I102" s="3">
        <v>0.73</v>
      </c>
      <c r="J102">
        <v>1</v>
      </c>
      <c r="K102">
        <f t="shared" si="2"/>
        <v>1.9193857965451055E-3</v>
      </c>
      <c r="L102">
        <f t="shared" si="3"/>
        <v>0.19193857965451039</v>
      </c>
    </row>
    <row r="103" spans="1:12" x14ac:dyDescent="0.25">
      <c r="A103" s="3">
        <v>0.01</v>
      </c>
      <c r="I103" s="3">
        <v>0.73</v>
      </c>
      <c r="J103">
        <v>1</v>
      </c>
      <c r="K103">
        <f t="shared" si="2"/>
        <v>1.9193857965451055E-3</v>
      </c>
      <c r="L103">
        <f t="shared" si="3"/>
        <v>0.19385796545105549</v>
      </c>
    </row>
    <row r="104" spans="1:12" x14ac:dyDescent="0.25">
      <c r="A104" s="3">
        <v>18.98</v>
      </c>
      <c r="I104" s="3">
        <v>0.73</v>
      </c>
      <c r="J104">
        <v>1</v>
      </c>
      <c r="K104">
        <f t="shared" si="2"/>
        <v>1.9193857965451055E-3</v>
      </c>
      <c r="L104">
        <f t="shared" si="3"/>
        <v>0.1957773512476006</v>
      </c>
    </row>
    <row r="105" spans="1:12" x14ac:dyDescent="0.25">
      <c r="A105" s="3">
        <v>9.94</v>
      </c>
      <c r="I105" s="3">
        <v>0.74</v>
      </c>
      <c r="J105">
        <v>1</v>
      </c>
      <c r="K105">
        <f t="shared" si="2"/>
        <v>1.9193857965451055E-3</v>
      </c>
      <c r="L105">
        <f t="shared" si="3"/>
        <v>0.1976967370441457</v>
      </c>
    </row>
    <row r="106" spans="1:12" x14ac:dyDescent="0.25">
      <c r="A106" s="3">
        <v>0</v>
      </c>
      <c r="I106" s="3">
        <v>0.75</v>
      </c>
      <c r="J106">
        <v>1</v>
      </c>
      <c r="K106">
        <f t="shared" si="2"/>
        <v>1.9193857965451055E-3</v>
      </c>
      <c r="L106">
        <f t="shared" si="3"/>
        <v>0.1996161228406908</v>
      </c>
    </row>
    <row r="107" spans="1:12" x14ac:dyDescent="0.25">
      <c r="A107" s="3">
        <v>11.01</v>
      </c>
      <c r="I107" s="3">
        <v>0.77</v>
      </c>
      <c r="J107">
        <v>1</v>
      </c>
      <c r="K107">
        <f t="shared" si="2"/>
        <v>1.9193857965451055E-3</v>
      </c>
      <c r="L107">
        <f t="shared" si="3"/>
        <v>0.20153550863723591</v>
      </c>
    </row>
    <row r="108" spans="1:12" x14ac:dyDescent="0.25">
      <c r="A108" s="3">
        <v>7.04</v>
      </c>
      <c r="I108" s="3">
        <v>0.77</v>
      </c>
      <c r="J108">
        <v>1</v>
      </c>
      <c r="K108">
        <f t="shared" si="2"/>
        <v>1.9193857965451055E-3</v>
      </c>
      <c r="L108">
        <f t="shared" si="3"/>
        <v>0.20345489443378101</v>
      </c>
    </row>
    <row r="109" spans="1:12" x14ac:dyDescent="0.25">
      <c r="A109" s="3">
        <v>20.74</v>
      </c>
      <c r="I109" s="3">
        <v>0.81</v>
      </c>
      <c r="J109">
        <v>1</v>
      </c>
      <c r="K109">
        <f t="shared" si="2"/>
        <v>1.9193857965451055E-3</v>
      </c>
      <c r="L109">
        <f t="shared" si="3"/>
        <v>0.20537428023032611</v>
      </c>
    </row>
    <row r="110" spans="1:12" x14ac:dyDescent="0.25">
      <c r="A110" s="3">
        <v>2.77</v>
      </c>
      <c r="I110" s="3">
        <v>0.83</v>
      </c>
      <c r="J110">
        <v>1</v>
      </c>
      <c r="K110">
        <f t="shared" si="2"/>
        <v>1.9193857965451055E-3</v>
      </c>
      <c r="L110">
        <f t="shared" si="3"/>
        <v>0.20729366602687122</v>
      </c>
    </row>
    <row r="111" spans="1:12" x14ac:dyDescent="0.25">
      <c r="A111" s="3">
        <v>7.05</v>
      </c>
      <c r="I111" s="3">
        <v>0.84</v>
      </c>
      <c r="J111">
        <v>1</v>
      </c>
      <c r="K111">
        <f t="shared" si="2"/>
        <v>1.9193857965451055E-3</v>
      </c>
      <c r="L111">
        <f t="shared" si="3"/>
        <v>0.20921305182341632</v>
      </c>
    </row>
    <row r="112" spans="1:12" x14ac:dyDescent="0.25">
      <c r="A112" s="3">
        <v>9.98</v>
      </c>
      <c r="I112" s="3">
        <v>0.84</v>
      </c>
      <c r="J112">
        <v>1</v>
      </c>
      <c r="K112">
        <f t="shared" si="2"/>
        <v>1.9193857965451055E-3</v>
      </c>
      <c r="L112">
        <f t="shared" si="3"/>
        <v>0.21113243761996142</v>
      </c>
    </row>
    <row r="113" spans="1:12" x14ac:dyDescent="0.25">
      <c r="A113" s="3">
        <v>18.72</v>
      </c>
      <c r="I113" s="3">
        <v>0.85</v>
      </c>
      <c r="J113">
        <v>1</v>
      </c>
      <c r="K113">
        <f t="shared" si="2"/>
        <v>1.9193857965451055E-3</v>
      </c>
      <c r="L113">
        <f t="shared" si="3"/>
        <v>0.21305182341650652</v>
      </c>
    </row>
    <row r="114" spans="1:12" x14ac:dyDescent="0.25">
      <c r="A114" s="3">
        <v>11.85</v>
      </c>
      <c r="I114" s="3">
        <v>0.86</v>
      </c>
      <c r="J114">
        <v>1</v>
      </c>
      <c r="K114">
        <f t="shared" si="2"/>
        <v>1.9193857965451055E-3</v>
      </c>
      <c r="L114">
        <f t="shared" si="3"/>
        <v>0.21497120921305163</v>
      </c>
    </row>
    <row r="115" spans="1:12" x14ac:dyDescent="0.25">
      <c r="A115" s="3">
        <v>2.81</v>
      </c>
      <c r="I115" s="3">
        <v>0.86</v>
      </c>
      <c r="J115">
        <v>1</v>
      </c>
      <c r="K115">
        <f t="shared" si="2"/>
        <v>1.9193857965451055E-3</v>
      </c>
      <c r="L115">
        <f t="shared" si="3"/>
        <v>0.21689059500959673</v>
      </c>
    </row>
    <row r="116" spans="1:12" x14ac:dyDescent="0.25">
      <c r="A116" s="3">
        <v>6.67</v>
      </c>
      <c r="I116" s="3">
        <v>0.87</v>
      </c>
      <c r="J116">
        <v>1</v>
      </c>
      <c r="K116">
        <f t="shared" si="2"/>
        <v>1.9193857965451055E-3</v>
      </c>
      <c r="L116">
        <f t="shared" si="3"/>
        <v>0.21880998080614183</v>
      </c>
    </row>
    <row r="117" spans="1:12" x14ac:dyDescent="0.25">
      <c r="A117" s="3">
        <v>20.98</v>
      </c>
      <c r="I117" s="3">
        <v>0.88</v>
      </c>
      <c r="J117">
        <v>1</v>
      </c>
      <c r="K117">
        <f t="shared" si="2"/>
        <v>1.9193857965451055E-3</v>
      </c>
      <c r="L117">
        <f t="shared" si="3"/>
        <v>0.22072936660268694</v>
      </c>
    </row>
    <row r="118" spans="1:12" x14ac:dyDescent="0.25">
      <c r="A118" s="3">
        <v>2.75</v>
      </c>
      <c r="I118" s="3">
        <v>0.88</v>
      </c>
      <c r="J118">
        <v>1</v>
      </c>
      <c r="K118">
        <f t="shared" si="2"/>
        <v>1.9193857965451055E-3</v>
      </c>
      <c r="L118">
        <f t="shared" si="3"/>
        <v>0.22264875239923204</v>
      </c>
    </row>
    <row r="119" spans="1:12" x14ac:dyDescent="0.25">
      <c r="A119" s="3">
        <v>0</v>
      </c>
      <c r="I119" s="3">
        <v>0.9</v>
      </c>
      <c r="J119">
        <v>1</v>
      </c>
      <c r="K119">
        <f t="shared" si="2"/>
        <v>1.9193857965451055E-3</v>
      </c>
      <c r="L119">
        <f t="shared" si="3"/>
        <v>0.22456813819577714</v>
      </c>
    </row>
    <row r="120" spans="1:12" x14ac:dyDescent="0.25">
      <c r="A120" s="3">
        <v>2.82</v>
      </c>
      <c r="I120" s="3">
        <v>0.9</v>
      </c>
      <c r="J120">
        <v>1</v>
      </c>
      <c r="K120">
        <f t="shared" si="2"/>
        <v>1.9193857965451055E-3</v>
      </c>
      <c r="L120">
        <f t="shared" si="3"/>
        <v>0.22648752399232225</v>
      </c>
    </row>
    <row r="121" spans="1:12" x14ac:dyDescent="0.25">
      <c r="A121" s="3">
        <v>2.92</v>
      </c>
      <c r="I121" s="3">
        <v>0.9</v>
      </c>
      <c r="J121">
        <v>1</v>
      </c>
      <c r="K121">
        <f t="shared" si="2"/>
        <v>1.9193857965451055E-3</v>
      </c>
      <c r="L121">
        <f t="shared" si="3"/>
        <v>0.22840690978886735</v>
      </c>
    </row>
    <row r="122" spans="1:12" x14ac:dyDescent="0.25">
      <c r="A122" s="3">
        <v>59.8</v>
      </c>
      <c r="I122" s="3">
        <v>0.91</v>
      </c>
      <c r="J122">
        <v>1</v>
      </c>
      <c r="K122">
        <f t="shared" si="2"/>
        <v>1.9193857965451055E-3</v>
      </c>
      <c r="L122">
        <f t="shared" si="3"/>
        <v>0.23032629558541245</v>
      </c>
    </row>
    <row r="123" spans="1:12" x14ac:dyDescent="0.25">
      <c r="A123" s="3">
        <v>6.79</v>
      </c>
      <c r="I123" s="3">
        <v>0.91</v>
      </c>
      <c r="J123">
        <v>1</v>
      </c>
      <c r="K123">
        <f t="shared" si="2"/>
        <v>1.9193857965451055E-3</v>
      </c>
      <c r="L123">
        <f t="shared" si="3"/>
        <v>0.23224568138195756</v>
      </c>
    </row>
    <row r="124" spans="1:12" x14ac:dyDescent="0.25">
      <c r="A124" s="3">
        <v>3.64</v>
      </c>
      <c r="I124" s="3">
        <v>0.91</v>
      </c>
      <c r="J124">
        <v>1</v>
      </c>
      <c r="K124">
        <f t="shared" si="2"/>
        <v>1.9193857965451055E-3</v>
      </c>
      <c r="L124">
        <f t="shared" si="3"/>
        <v>0.23416506717850266</v>
      </c>
    </row>
    <row r="125" spans="1:12" x14ac:dyDescent="0.25">
      <c r="A125" s="3">
        <v>3.63</v>
      </c>
      <c r="I125" s="3">
        <v>0.92</v>
      </c>
      <c r="J125">
        <v>1</v>
      </c>
      <c r="K125">
        <f t="shared" si="2"/>
        <v>1.9193857965451055E-3</v>
      </c>
      <c r="L125">
        <f t="shared" si="3"/>
        <v>0.23608445297504776</v>
      </c>
    </row>
    <row r="126" spans="1:12" x14ac:dyDescent="0.25">
      <c r="A126" s="3">
        <v>12.76</v>
      </c>
      <c r="I126" s="3">
        <v>0.93</v>
      </c>
      <c r="J126">
        <v>1</v>
      </c>
      <c r="K126">
        <f t="shared" si="2"/>
        <v>1.9193857965451055E-3</v>
      </c>
      <c r="L126">
        <f t="shared" si="3"/>
        <v>0.23800383877159287</v>
      </c>
    </row>
    <row r="127" spans="1:12" x14ac:dyDescent="0.25">
      <c r="A127" s="3">
        <v>5.85</v>
      </c>
      <c r="I127" s="3">
        <v>0.93</v>
      </c>
      <c r="J127">
        <v>1</v>
      </c>
      <c r="K127">
        <f t="shared" si="2"/>
        <v>1.9193857965451055E-3</v>
      </c>
      <c r="L127">
        <f t="shared" si="3"/>
        <v>0.23992322456813797</v>
      </c>
    </row>
    <row r="128" spans="1:12" x14ac:dyDescent="0.25">
      <c r="A128" s="3">
        <v>2.93</v>
      </c>
      <c r="I128" s="3">
        <v>0.95</v>
      </c>
      <c r="J128">
        <v>1</v>
      </c>
      <c r="K128">
        <f t="shared" si="2"/>
        <v>1.9193857965451055E-3</v>
      </c>
      <c r="L128">
        <f t="shared" si="3"/>
        <v>0.24184261036468307</v>
      </c>
    </row>
    <row r="129" spans="1:12" x14ac:dyDescent="0.25">
      <c r="A129" s="3">
        <v>4.8</v>
      </c>
      <c r="I129" s="3">
        <v>0.95</v>
      </c>
      <c r="J129">
        <v>1</v>
      </c>
      <c r="K129">
        <f t="shared" si="2"/>
        <v>1.9193857965451055E-3</v>
      </c>
      <c r="L129">
        <f t="shared" si="3"/>
        <v>0.24376199616122818</v>
      </c>
    </row>
    <row r="130" spans="1:12" x14ac:dyDescent="0.25">
      <c r="A130" s="3">
        <v>16.97</v>
      </c>
      <c r="I130" s="3">
        <v>0.97</v>
      </c>
      <c r="J130">
        <v>1</v>
      </c>
      <c r="K130">
        <f t="shared" si="2"/>
        <v>1.9193857965451055E-3</v>
      </c>
      <c r="L130">
        <f t="shared" si="3"/>
        <v>0.24568138195777328</v>
      </c>
    </row>
    <row r="131" spans="1:12" x14ac:dyDescent="0.25">
      <c r="A131" s="3">
        <v>13.83</v>
      </c>
      <c r="I131" s="3">
        <v>0.97</v>
      </c>
      <c r="J131">
        <v>1</v>
      </c>
      <c r="K131">
        <f t="shared" si="2"/>
        <v>1.9193857965451055E-3</v>
      </c>
      <c r="L131">
        <f t="shared" si="3"/>
        <v>0.24760076775431838</v>
      </c>
    </row>
    <row r="132" spans="1:12" x14ac:dyDescent="0.25">
      <c r="A132" s="3">
        <v>9.94</v>
      </c>
      <c r="I132" s="3">
        <v>1.04</v>
      </c>
      <c r="J132">
        <v>1</v>
      </c>
      <c r="K132">
        <f t="shared" ref="K132:K195" si="4">J132/$C$16</f>
        <v>1.9193857965451055E-3</v>
      </c>
      <c r="L132">
        <f t="shared" si="3"/>
        <v>0.24952015355086349</v>
      </c>
    </row>
    <row r="133" spans="1:12" x14ac:dyDescent="0.25">
      <c r="A133" s="3">
        <v>2.84</v>
      </c>
      <c r="I133" s="3">
        <v>1.04</v>
      </c>
      <c r="J133">
        <v>1</v>
      </c>
      <c r="K133">
        <f t="shared" si="4"/>
        <v>1.9193857965451055E-3</v>
      </c>
      <c r="L133">
        <f t="shared" ref="L133:L196" si="5">L132+K133</f>
        <v>0.25143953934740859</v>
      </c>
    </row>
    <row r="134" spans="1:12" x14ac:dyDescent="0.25">
      <c r="A134" s="3">
        <v>19.88</v>
      </c>
      <c r="I134" s="3">
        <v>1.05</v>
      </c>
      <c r="J134">
        <v>1</v>
      </c>
      <c r="K134">
        <f t="shared" si="4"/>
        <v>1.9193857965451055E-3</v>
      </c>
      <c r="L134">
        <f t="shared" si="5"/>
        <v>0.25335892514395369</v>
      </c>
    </row>
    <row r="135" spans="1:12" x14ac:dyDescent="0.25">
      <c r="A135" s="3">
        <v>15.93</v>
      </c>
      <c r="I135" s="3">
        <v>1.06</v>
      </c>
      <c r="J135">
        <v>1</v>
      </c>
      <c r="K135">
        <f t="shared" si="4"/>
        <v>1.9193857965451055E-3</v>
      </c>
      <c r="L135">
        <f t="shared" si="5"/>
        <v>0.2552783109404988</v>
      </c>
    </row>
    <row r="136" spans="1:12" x14ac:dyDescent="0.25">
      <c r="A136" s="3">
        <v>2.61</v>
      </c>
      <c r="I136" s="3">
        <v>1.07</v>
      </c>
      <c r="J136">
        <v>1</v>
      </c>
      <c r="K136">
        <f t="shared" si="4"/>
        <v>1.9193857965451055E-3</v>
      </c>
      <c r="L136">
        <f t="shared" si="5"/>
        <v>0.2571976967370439</v>
      </c>
    </row>
    <row r="137" spans="1:12" x14ac:dyDescent="0.25">
      <c r="A137" s="3">
        <v>5.82</v>
      </c>
      <c r="I137" s="3">
        <v>1.07</v>
      </c>
      <c r="J137">
        <v>1</v>
      </c>
      <c r="K137">
        <f t="shared" si="4"/>
        <v>1.9193857965451055E-3</v>
      </c>
      <c r="L137">
        <f t="shared" si="5"/>
        <v>0.259117082533589</v>
      </c>
    </row>
    <row r="138" spans="1:12" x14ac:dyDescent="0.25">
      <c r="A138" s="3">
        <v>2.69</v>
      </c>
      <c r="I138" s="3">
        <v>1.0900000000000001</v>
      </c>
      <c r="J138">
        <v>1</v>
      </c>
      <c r="K138">
        <f t="shared" si="4"/>
        <v>1.9193857965451055E-3</v>
      </c>
      <c r="L138">
        <f t="shared" si="5"/>
        <v>0.26103646833013411</v>
      </c>
    </row>
    <row r="139" spans="1:12" x14ac:dyDescent="0.25">
      <c r="A139" s="3">
        <v>3.85</v>
      </c>
      <c r="I139" s="3">
        <v>1.1000000000000001</v>
      </c>
      <c r="J139">
        <v>1</v>
      </c>
      <c r="K139">
        <f t="shared" si="4"/>
        <v>1.9193857965451055E-3</v>
      </c>
      <c r="L139">
        <f t="shared" si="5"/>
        <v>0.26295585412667921</v>
      </c>
    </row>
    <row r="140" spans="1:12" x14ac:dyDescent="0.25">
      <c r="A140" s="3">
        <v>58.71</v>
      </c>
      <c r="I140" s="3">
        <v>1.1100000000000001</v>
      </c>
      <c r="J140">
        <v>1</v>
      </c>
      <c r="K140">
        <f t="shared" si="4"/>
        <v>1.9193857965451055E-3</v>
      </c>
      <c r="L140">
        <f t="shared" si="5"/>
        <v>0.26487523992322431</v>
      </c>
    </row>
    <row r="141" spans="1:12" x14ac:dyDescent="0.25">
      <c r="A141" s="3">
        <v>16.739999999999998</v>
      </c>
      <c r="I141" s="3">
        <v>1.1200000000000001</v>
      </c>
      <c r="J141">
        <v>1</v>
      </c>
      <c r="K141">
        <f t="shared" si="4"/>
        <v>1.9193857965451055E-3</v>
      </c>
      <c r="L141">
        <f t="shared" si="5"/>
        <v>0.26679462571976942</v>
      </c>
    </row>
    <row r="142" spans="1:12" x14ac:dyDescent="0.25">
      <c r="A142" s="3">
        <v>38.869999999999997</v>
      </c>
      <c r="I142" s="3">
        <v>1.1200000000000001</v>
      </c>
      <c r="J142">
        <v>1</v>
      </c>
      <c r="K142">
        <f t="shared" si="4"/>
        <v>1.9193857965451055E-3</v>
      </c>
      <c r="L142">
        <f t="shared" si="5"/>
        <v>0.26871401151631452</v>
      </c>
    </row>
    <row r="143" spans="1:12" x14ac:dyDescent="0.25">
      <c r="A143" s="3">
        <v>4.79</v>
      </c>
      <c r="I143" s="3">
        <v>1.1299999999999999</v>
      </c>
      <c r="J143">
        <v>1</v>
      </c>
      <c r="K143">
        <f t="shared" si="4"/>
        <v>1.9193857965451055E-3</v>
      </c>
      <c r="L143">
        <f t="shared" si="5"/>
        <v>0.27063339731285962</v>
      </c>
    </row>
    <row r="144" spans="1:12" x14ac:dyDescent="0.25">
      <c r="A144" s="3">
        <v>5.8</v>
      </c>
      <c r="I144" s="3">
        <v>1.1299999999999999</v>
      </c>
      <c r="J144">
        <v>1</v>
      </c>
      <c r="K144">
        <f t="shared" si="4"/>
        <v>1.9193857965451055E-3</v>
      </c>
      <c r="L144">
        <f t="shared" si="5"/>
        <v>0.27255278310940473</v>
      </c>
    </row>
    <row r="145" spans="1:12" x14ac:dyDescent="0.25">
      <c r="A145" s="3">
        <v>2.59</v>
      </c>
      <c r="I145" s="3">
        <v>1.17</v>
      </c>
      <c r="J145">
        <v>1</v>
      </c>
      <c r="K145">
        <f t="shared" si="4"/>
        <v>1.9193857965451055E-3</v>
      </c>
      <c r="L145">
        <f t="shared" si="5"/>
        <v>0.27447216890594983</v>
      </c>
    </row>
    <row r="146" spans="1:12" x14ac:dyDescent="0.25">
      <c r="A146" s="3">
        <v>5.81</v>
      </c>
      <c r="I146" s="3">
        <v>1.18</v>
      </c>
      <c r="J146">
        <v>1</v>
      </c>
      <c r="K146">
        <f t="shared" si="4"/>
        <v>1.9193857965451055E-3</v>
      </c>
      <c r="L146">
        <f t="shared" si="5"/>
        <v>0.27639155470249493</v>
      </c>
    </row>
    <row r="147" spans="1:12" x14ac:dyDescent="0.25">
      <c r="A147" s="3">
        <v>2.59</v>
      </c>
      <c r="I147" s="3">
        <v>1.2</v>
      </c>
      <c r="J147">
        <v>1</v>
      </c>
      <c r="K147">
        <f t="shared" si="4"/>
        <v>1.9193857965451055E-3</v>
      </c>
      <c r="L147">
        <f t="shared" si="5"/>
        <v>0.27831094049904004</v>
      </c>
    </row>
    <row r="148" spans="1:12" x14ac:dyDescent="0.25">
      <c r="A148" s="3">
        <v>2.59</v>
      </c>
      <c r="I148" s="3">
        <v>1.21</v>
      </c>
      <c r="J148">
        <v>1</v>
      </c>
      <c r="K148">
        <f t="shared" si="4"/>
        <v>1.9193857965451055E-3</v>
      </c>
      <c r="L148">
        <f t="shared" si="5"/>
        <v>0.28023032629558514</v>
      </c>
    </row>
    <row r="149" spans="1:12" x14ac:dyDescent="0.25">
      <c r="A149" s="3">
        <v>10.76</v>
      </c>
      <c r="I149" s="3">
        <v>1.22</v>
      </c>
      <c r="J149">
        <v>1</v>
      </c>
      <c r="K149">
        <f t="shared" si="4"/>
        <v>1.9193857965451055E-3</v>
      </c>
      <c r="L149">
        <f t="shared" si="5"/>
        <v>0.28214971209213024</v>
      </c>
    </row>
    <row r="150" spans="1:12" x14ac:dyDescent="0.25">
      <c r="A150" s="3">
        <v>6.65</v>
      </c>
      <c r="I150" s="3">
        <v>1.22</v>
      </c>
      <c r="J150">
        <v>1</v>
      </c>
      <c r="K150">
        <f t="shared" si="4"/>
        <v>1.9193857965451055E-3</v>
      </c>
      <c r="L150">
        <f t="shared" si="5"/>
        <v>0.28406909788867535</v>
      </c>
    </row>
    <row r="151" spans="1:12" x14ac:dyDescent="0.25">
      <c r="A151" s="3">
        <v>9.6199999999999992</v>
      </c>
      <c r="I151" s="3">
        <v>1.25</v>
      </c>
      <c r="J151">
        <v>1</v>
      </c>
      <c r="K151">
        <f t="shared" si="4"/>
        <v>1.9193857965451055E-3</v>
      </c>
      <c r="L151">
        <f t="shared" si="5"/>
        <v>0.28598848368522045</v>
      </c>
    </row>
    <row r="152" spans="1:12" x14ac:dyDescent="0.25">
      <c r="A152" s="3">
        <v>51.89</v>
      </c>
      <c r="I152" s="3">
        <v>1.27</v>
      </c>
      <c r="J152">
        <v>1</v>
      </c>
      <c r="K152">
        <f t="shared" si="4"/>
        <v>1.9193857965451055E-3</v>
      </c>
      <c r="L152">
        <f t="shared" si="5"/>
        <v>0.28790786948176555</v>
      </c>
    </row>
    <row r="153" spans="1:12" x14ac:dyDescent="0.25">
      <c r="A153" s="3">
        <v>31.61</v>
      </c>
      <c r="I153" s="3">
        <v>1.27</v>
      </c>
      <c r="J153">
        <v>1</v>
      </c>
      <c r="K153">
        <f t="shared" si="4"/>
        <v>1.9193857965451055E-3</v>
      </c>
      <c r="L153">
        <f t="shared" si="5"/>
        <v>0.28982725527831066</v>
      </c>
    </row>
    <row r="154" spans="1:12" x14ac:dyDescent="0.25">
      <c r="A154" s="3">
        <v>9.73</v>
      </c>
      <c r="I154" s="3">
        <v>1.3</v>
      </c>
      <c r="J154">
        <v>1</v>
      </c>
      <c r="K154">
        <f t="shared" si="4"/>
        <v>1.9193857965451055E-3</v>
      </c>
      <c r="L154">
        <f t="shared" si="5"/>
        <v>0.29174664107485576</v>
      </c>
    </row>
    <row r="155" spans="1:12" x14ac:dyDescent="0.25">
      <c r="A155" s="3">
        <v>20.8</v>
      </c>
      <c r="I155" s="3">
        <v>1.3</v>
      </c>
      <c r="J155">
        <v>1</v>
      </c>
      <c r="K155">
        <f t="shared" si="4"/>
        <v>1.9193857965451055E-3</v>
      </c>
      <c r="L155">
        <f t="shared" si="5"/>
        <v>0.29366602687140086</v>
      </c>
    </row>
    <row r="156" spans="1:12" x14ac:dyDescent="0.25">
      <c r="A156" s="3">
        <v>4.66</v>
      </c>
      <c r="I156" s="3">
        <v>1.32</v>
      </c>
      <c r="J156">
        <v>1</v>
      </c>
      <c r="K156">
        <f t="shared" si="4"/>
        <v>1.9193857965451055E-3</v>
      </c>
      <c r="L156">
        <f t="shared" si="5"/>
        <v>0.29558541266794597</v>
      </c>
    </row>
    <row r="157" spans="1:12" x14ac:dyDescent="0.25">
      <c r="A157" s="3">
        <v>5.62</v>
      </c>
      <c r="I157" s="3">
        <v>1.33</v>
      </c>
      <c r="J157">
        <v>1</v>
      </c>
      <c r="K157">
        <f t="shared" si="4"/>
        <v>1.9193857965451055E-3</v>
      </c>
      <c r="L157">
        <f t="shared" si="5"/>
        <v>0.29750479846449107</v>
      </c>
    </row>
    <row r="158" spans="1:12" x14ac:dyDescent="0.25">
      <c r="A158" s="3">
        <v>13.47</v>
      </c>
      <c r="I158" s="3">
        <v>1.55</v>
      </c>
      <c r="J158">
        <v>1</v>
      </c>
      <c r="K158">
        <f t="shared" si="4"/>
        <v>1.9193857965451055E-3</v>
      </c>
      <c r="L158">
        <f t="shared" si="5"/>
        <v>0.29942418426103617</v>
      </c>
    </row>
    <row r="159" spans="1:12" x14ac:dyDescent="0.25">
      <c r="A159" s="3">
        <v>10.73</v>
      </c>
      <c r="I159" s="3">
        <v>1.66</v>
      </c>
      <c r="J159">
        <v>1</v>
      </c>
      <c r="K159">
        <f t="shared" si="4"/>
        <v>1.9193857965451055E-3</v>
      </c>
      <c r="L159">
        <f t="shared" si="5"/>
        <v>0.30134357005758128</v>
      </c>
    </row>
    <row r="160" spans="1:12" x14ac:dyDescent="0.25">
      <c r="A160" s="3">
        <v>2.58</v>
      </c>
      <c r="I160" s="3">
        <v>1.71</v>
      </c>
      <c r="J160">
        <v>1</v>
      </c>
      <c r="K160">
        <f t="shared" si="4"/>
        <v>1.9193857965451055E-3</v>
      </c>
      <c r="L160">
        <f t="shared" si="5"/>
        <v>0.30326295585412638</v>
      </c>
    </row>
    <row r="161" spans="1:12" x14ac:dyDescent="0.25">
      <c r="A161" s="3">
        <v>3.47</v>
      </c>
      <c r="I161" s="3">
        <v>1.78</v>
      </c>
      <c r="J161">
        <v>1</v>
      </c>
      <c r="K161">
        <f t="shared" si="4"/>
        <v>1.9193857965451055E-3</v>
      </c>
      <c r="L161">
        <f t="shared" si="5"/>
        <v>0.30518234165067148</v>
      </c>
    </row>
    <row r="162" spans="1:12" x14ac:dyDescent="0.25">
      <c r="A162" s="3">
        <v>3.38</v>
      </c>
      <c r="I162" s="3">
        <v>1.78</v>
      </c>
      <c r="J162">
        <v>1</v>
      </c>
      <c r="K162">
        <f t="shared" si="4"/>
        <v>1.9193857965451055E-3</v>
      </c>
      <c r="L162">
        <f t="shared" si="5"/>
        <v>0.30710172744721659</v>
      </c>
    </row>
    <row r="163" spans="1:12" x14ac:dyDescent="0.25">
      <c r="A163" s="3">
        <v>5.42</v>
      </c>
      <c r="I163" s="3">
        <v>1.82</v>
      </c>
      <c r="J163">
        <v>1</v>
      </c>
      <c r="K163">
        <f t="shared" si="4"/>
        <v>1.9193857965451055E-3</v>
      </c>
      <c r="L163">
        <f t="shared" si="5"/>
        <v>0.30902111324376169</v>
      </c>
    </row>
    <row r="164" spans="1:12" x14ac:dyDescent="0.25">
      <c r="A164" s="3">
        <v>5.4</v>
      </c>
      <c r="I164" s="3">
        <v>1.86</v>
      </c>
      <c r="J164">
        <v>1</v>
      </c>
      <c r="K164">
        <f t="shared" si="4"/>
        <v>1.9193857965451055E-3</v>
      </c>
      <c r="L164">
        <f t="shared" si="5"/>
        <v>0.31094049904030679</v>
      </c>
    </row>
    <row r="165" spans="1:12" x14ac:dyDescent="0.25">
      <c r="A165" s="3">
        <v>4.6100000000000003</v>
      </c>
      <c r="I165" s="3">
        <v>1.9</v>
      </c>
      <c r="J165">
        <v>1</v>
      </c>
      <c r="K165">
        <f t="shared" si="4"/>
        <v>1.9193857965451055E-3</v>
      </c>
      <c r="L165">
        <f t="shared" si="5"/>
        <v>0.3128598848368519</v>
      </c>
    </row>
    <row r="166" spans="1:12" x14ac:dyDescent="0.25">
      <c r="A166" s="3">
        <v>5.42</v>
      </c>
      <c r="I166" s="3">
        <v>1.9</v>
      </c>
      <c r="J166">
        <v>1</v>
      </c>
      <c r="K166">
        <f t="shared" si="4"/>
        <v>1.9193857965451055E-3</v>
      </c>
      <c r="L166">
        <f t="shared" si="5"/>
        <v>0.314779270633397</v>
      </c>
    </row>
    <row r="167" spans="1:12" x14ac:dyDescent="0.25">
      <c r="A167" s="3">
        <v>6.26</v>
      </c>
      <c r="I167" s="3">
        <v>1.91</v>
      </c>
      <c r="J167">
        <v>1</v>
      </c>
      <c r="K167">
        <f t="shared" si="4"/>
        <v>1.9193857965451055E-3</v>
      </c>
      <c r="L167">
        <f t="shared" si="5"/>
        <v>0.3166986564299421</v>
      </c>
    </row>
    <row r="168" spans="1:12" x14ac:dyDescent="0.25">
      <c r="A168" s="3">
        <v>2.15</v>
      </c>
      <c r="I168" s="3">
        <v>1.92</v>
      </c>
      <c r="J168">
        <v>1</v>
      </c>
      <c r="K168">
        <f t="shared" si="4"/>
        <v>1.9193857965451055E-3</v>
      </c>
      <c r="L168">
        <f t="shared" si="5"/>
        <v>0.31861804222648721</v>
      </c>
    </row>
    <row r="169" spans="1:12" x14ac:dyDescent="0.25">
      <c r="A169" s="3">
        <v>18.21</v>
      </c>
      <c r="I169" s="3">
        <v>1.92</v>
      </c>
      <c r="J169">
        <v>1</v>
      </c>
      <c r="K169">
        <f t="shared" si="4"/>
        <v>1.9193857965451055E-3</v>
      </c>
      <c r="L169">
        <f t="shared" si="5"/>
        <v>0.32053742802303231</v>
      </c>
    </row>
    <row r="170" spans="1:12" x14ac:dyDescent="0.25">
      <c r="A170" s="3">
        <v>2.14</v>
      </c>
      <c r="I170" s="3">
        <v>1.93</v>
      </c>
      <c r="J170">
        <v>1</v>
      </c>
      <c r="K170">
        <f t="shared" si="4"/>
        <v>1.9193857965451055E-3</v>
      </c>
      <c r="L170">
        <f t="shared" si="5"/>
        <v>0.32245681381957741</v>
      </c>
    </row>
    <row r="171" spans="1:12" x14ac:dyDescent="0.25">
      <c r="A171" s="3">
        <v>5.24</v>
      </c>
      <c r="I171" s="3">
        <v>1.93</v>
      </c>
      <c r="J171">
        <v>1</v>
      </c>
      <c r="K171">
        <f t="shared" si="4"/>
        <v>1.9193857965451055E-3</v>
      </c>
      <c r="L171">
        <f t="shared" si="5"/>
        <v>0.32437619961612252</v>
      </c>
    </row>
    <row r="172" spans="1:12" x14ac:dyDescent="0.25">
      <c r="A172" s="3">
        <v>53.17</v>
      </c>
      <c r="I172" s="3">
        <v>1.94</v>
      </c>
      <c r="J172">
        <v>1</v>
      </c>
      <c r="K172">
        <f t="shared" si="4"/>
        <v>1.9193857965451055E-3</v>
      </c>
      <c r="L172">
        <f t="shared" si="5"/>
        <v>0.32629558541266762</v>
      </c>
    </row>
    <row r="173" spans="1:12" x14ac:dyDescent="0.25">
      <c r="A173" s="3">
        <v>2.84</v>
      </c>
      <c r="I173" s="3">
        <v>1.98</v>
      </c>
      <c r="J173">
        <v>1</v>
      </c>
      <c r="K173">
        <f t="shared" si="4"/>
        <v>1.9193857965451055E-3</v>
      </c>
      <c r="L173">
        <f t="shared" si="5"/>
        <v>0.32821497120921272</v>
      </c>
    </row>
    <row r="174" spans="1:12" x14ac:dyDescent="0.25">
      <c r="A174" s="3">
        <v>19.79</v>
      </c>
      <c r="I174" s="3">
        <v>1.99</v>
      </c>
      <c r="J174">
        <v>1</v>
      </c>
      <c r="K174">
        <f t="shared" si="4"/>
        <v>1.9193857965451055E-3</v>
      </c>
      <c r="L174">
        <f t="shared" si="5"/>
        <v>0.33013435700575783</v>
      </c>
    </row>
    <row r="175" spans="1:12" x14ac:dyDescent="0.25">
      <c r="A175" s="3">
        <v>12.84</v>
      </c>
      <c r="I175" s="3">
        <v>2.0099999999999998</v>
      </c>
      <c r="J175">
        <v>1</v>
      </c>
      <c r="K175">
        <f t="shared" si="4"/>
        <v>1.9193857965451055E-3</v>
      </c>
      <c r="L175">
        <f t="shared" si="5"/>
        <v>0.33205374280230293</v>
      </c>
    </row>
    <row r="176" spans="1:12" x14ac:dyDescent="0.25">
      <c r="A176" s="3">
        <v>14.87</v>
      </c>
      <c r="I176" s="3">
        <v>2.02</v>
      </c>
      <c r="J176">
        <v>1</v>
      </c>
      <c r="K176">
        <f t="shared" si="4"/>
        <v>1.9193857965451055E-3</v>
      </c>
      <c r="L176">
        <f t="shared" si="5"/>
        <v>0.33397312859884803</v>
      </c>
    </row>
    <row r="177" spans="1:12" x14ac:dyDescent="0.25">
      <c r="A177" s="3">
        <v>4.9400000000000004</v>
      </c>
      <c r="I177" s="3">
        <v>2.02</v>
      </c>
      <c r="J177">
        <v>1</v>
      </c>
      <c r="K177">
        <f t="shared" si="4"/>
        <v>1.9193857965451055E-3</v>
      </c>
      <c r="L177">
        <f t="shared" si="5"/>
        <v>0.33589251439539314</v>
      </c>
    </row>
    <row r="178" spans="1:12" x14ac:dyDescent="0.25">
      <c r="A178" s="3">
        <v>26.06</v>
      </c>
      <c r="I178" s="3">
        <v>2.0299999999999998</v>
      </c>
      <c r="J178">
        <v>1</v>
      </c>
      <c r="K178">
        <f t="shared" si="4"/>
        <v>1.9193857965451055E-3</v>
      </c>
      <c r="L178">
        <f t="shared" si="5"/>
        <v>0.33781190019193824</v>
      </c>
    </row>
    <row r="179" spans="1:12" x14ac:dyDescent="0.25">
      <c r="A179" s="3">
        <v>21.86</v>
      </c>
      <c r="I179" s="3">
        <v>2.0299999999999998</v>
      </c>
      <c r="J179">
        <v>1</v>
      </c>
      <c r="K179">
        <f t="shared" si="4"/>
        <v>1.9193857965451055E-3</v>
      </c>
      <c r="L179">
        <f t="shared" si="5"/>
        <v>0.33973128598848334</v>
      </c>
    </row>
    <row r="180" spans="1:12" x14ac:dyDescent="0.25">
      <c r="A180" s="3">
        <v>0.73</v>
      </c>
      <c r="I180" s="3">
        <v>2.0299999999999998</v>
      </c>
      <c r="J180">
        <v>1</v>
      </c>
      <c r="K180">
        <f t="shared" si="4"/>
        <v>1.9193857965451055E-3</v>
      </c>
      <c r="L180">
        <f t="shared" si="5"/>
        <v>0.34165067178502845</v>
      </c>
    </row>
    <row r="181" spans="1:12" x14ac:dyDescent="0.25">
      <c r="A181" s="3">
        <v>3.38</v>
      </c>
      <c r="I181" s="3">
        <v>2.08</v>
      </c>
      <c r="J181">
        <v>1</v>
      </c>
      <c r="K181">
        <f t="shared" si="4"/>
        <v>1.9193857965451055E-3</v>
      </c>
      <c r="L181">
        <f t="shared" si="5"/>
        <v>0.34357005758157355</v>
      </c>
    </row>
    <row r="182" spans="1:12" x14ac:dyDescent="0.25">
      <c r="A182" s="3">
        <v>7.37</v>
      </c>
      <c r="I182" s="3">
        <v>2.08</v>
      </c>
      <c r="J182">
        <v>1</v>
      </c>
      <c r="K182">
        <f t="shared" si="4"/>
        <v>1.9193857965451055E-3</v>
      </c>
      <c r="L182">
        <f t="shared" si="5"/>
        <v>0.34548944337811865</v>
      </c>
    </row>
    <row r="183" spans="1:12" x14ac:dyDescent="0.25">
      <c r="A183" s="3">
        <v>8.31</v>
      </c>
      <c r="I183" s="3">
        <v>2.1</v>
      </c>
      <c r="J183">
        <v>1</v>
      </c>
      <c r="K183">
        <f t="shared" si="4"/>
        <v>1.9193857965451055E-3</v>
      </c>
      <c r="L183">
        <f t="shared" si="5"/>
        <v>0.34740882917466376</v>
      </c>
    </row>
    <row r="184" spans="1:12" x14ac:dyDescent="0.25">
      <c r="A184" s="3">
        <v>8.39</v>
      </c>
      <c r="I184" s="3">
        <v>2.1</v>
      </c>
      <c r="J184">
        <v>1</v>
      </c>
      <c r="K184">
        <f t="shared" si="4"/>
        <v>1.9193857965451055E-3</v>
      </c>
      <c r="L184">
        <f t="shared" si="5"/>
        <v>0.34932821497120886</v>
      </c>
    </row>
    <row r="185" spans="1:12" x14ac:dyDescent="0.25">
      <c r="A185" s="3">
        <v>32.36</v>
      </c>
      <c r="I185" s="3">
        <v>2.11</v>
      </c>
      <c r="J185">
        <v>1</v>
      </c>
      <c r="K185">
        <f t="shared" si="4"/>
        <v>1.9193857965451055E-3</v>
      </c>
      <c r="L185">
        <f t="shared" si="5"/>
        <v>0.35124760076775396</v>
      </c>
    </row>
    <row r="186" spans="1:12" x14ac:dyDescent="0.25">
      <c r="A186" s="3">
        <v>1.2</v>
      </c>
      <c r="I186" s="3">
        <v>2.12</v>
      </c>
      <c r="J186">
        <v>1</v>
      </c>
      <c r="K186">
        <f t="shared" si="4"/>
        <v>1.9193857965451055E-3</v>
      </c>
      <c r="L186">
        <f t="shared" si="5"/>
        <v>0.35316698656429907</v>
      </c>
    </row>
    <row r="187" spans="1:12" x14ac:dyDescent="0.25">
      <c r="A187" s="3">
        <v>21.12</v>
      </c>
      <c r="I187" s="3">
        <v>2.12</v>
      </c>
      <c r="J187">
        <v>1</v>
      </c>
      <c r="K187">
        <f t="shared" si="4"/>
        <v>1.9193857965451055E-3</v>
      </c>
      <c r="L187">
        <f t="shared" si="5"/>
        <v>0.35508637236084417</v>
      </c>
    </row>
    <row r="188" spans="1:12" x14ac:dyDescent="0.25">
      <c r="A188" s="3">
        <v>0.17</v>
      </c>
      <c r="I188" s="3">
        <v>2.13</v>
      </c>
      <c r="J188">
        <v>1</v>
      </c>
      <c r="K188">
        <f t="shared" si="4"/>
        <v>1.9193857965451055E-3</v>
      </c>
      <c r="L188">
        <f t="shared" si="5"/>
        <v>0.35700575815738927</v>
      </c>
    </row>
    <row r="189" spans="1:12" x14ac:dyDescent="0.25">
      <c r="A189" s="3">
        <v>1.04</v>
      </c>
      <c r="I189" s="3">
        <v>2.14</v>
      </c>
      <c r="J189">
        <v>1</v>
      </c>
      <c r="K189">
        <f t="shared" si="4"/>
        <v>1.9193857965451055E-3</v>
      </c>
      <c r="L189">
        <f t="shared" si="5"/>
        <v>0.35892514395393438</v>
      </c>
    </row>
    <row r="190" spans="1:12" x14ac:dyDescent="0.25">
      <c r="A190" s="3">
        <v>0.28000000000000003</v>
      </c>
      <c r="I190" s="3">
        <v>2.15</v>
      </c>
      <c r="J190">
        <v>1</v>
      </c>
      <c r="K190">
        <f t="shared" si="4"/>
        <v>1.9193857965451055E-3</v>
      </c>
      <c r="L190">
        <f t="shared" si="5"/>
        <v>0.36084452975047948</v>
      </c>
    </row>
    <row r="191" spans="1:12" x14ac:dyDescent="0.25">
      <c r="A191" s="3">
        <v>0.31</v>
      </c>
      <c r="I191" s="3">
        <v>2.1800000000000002</v>
      </c>
      <c r="J191">
        <v>1</v>
      </c>
      <c r="K191">
        <f t="shared" si="4"/>
        <v>1.9193857965451055E-3</v>
      </c>
      <c r="L191">
        <f t="shared" si="5"/>
        <v>0.36276391554702458</v>
      </c>
    </row>
    <row r="192" spans="1:12" x14ac:dyDescent="0.25">
      <c r="A192" s="3">
        <v>22.34</v>
      </c>
      <c r="I192" s="3">
        <v>2.21</v>
      </c>
      <c r="J192">
        <v>1</v>
      </c>
      <c r="K192">
        <f t="shared" si="4"/>
        <v>1.9193857965451055E-3</v>
      </c>
      <c r="L192">
        <f t="shared" si="5"/>
        <v>0.36468330134356969</v>
      </c>
    </row>
    <row r="193" spans="1:12" x14ac:dyDescent="0.25">
      <c r="A193" s="3">
        <v>1.25</v>
      </c>
      <c r="I193" s="3">
        <v>2.23</v>
      </c>
      <c r="J193">
        <v>1</v>
      </c>
      <c r="K193">
        <f t="shared" si="4"/>
        <v>1.9193857965451055E-3</v>
      </c>
      <c r="L193">
        <f t="shared" si="5"/>
        <v>0.36660268714011479</v>
      </c>
    </row>
    <row r="194" spans="1:12" x14ac:dyDescent="0.25">
      <c r="A194" s="3">
        <v>8.19</v>
      </c>
      <c r="I194" s="3">
        <v>2.27</v>
      </c>
      <c r="J194">
        <v>1</v>
      </c>
      <c r="K194">
        <f t="shared" si="4"/>
        <v>1.9193857965451055E-3</v>
      </c>
      <c r="L194">
        <f t="shared" si="5"/>
        <v>0.36852207293665989</v>
      </c>
    </row>
    <row r="195" spans="1:12" x14ac:dyDescent="0.25">
      <c r="A195" s="3">
        <v>3.14</v>
      </c>
      <c r="I195" s="3">
        <v>2.29</v>
      </c>
      <c r="J195">
        <v>1</v>
      </c>
      <c r="K195">
        <f t="shared" si="4"/>
        <v>1.9193857965451055E-3</v>
      </c>
      <c r="L195">
        <f t="shared" si="5"/>
        <v>0.370441458733205</v>
      </c>
    </row>
    <row r="196" spans="1:12" x14ac:dyDescent="0.25">
      <c r="A196" s="3">
        <v>2.13</v>
      </c>
      <c r="I196" s="3">
        <v>2.31</v>
      </c>
      <c r="J196">
        <v>1</v>
      </c>
      <c r="K196">
        <f t="shared" ref="K196:K259" si="6">J196/$C$16</f>
        <v>1.9193857965451055E-3</v>
      </c>
      <c r="L196">
        <f t="shared" si="5"/>
        <v>0.3723608445297501</v>
      </c>
    </row>
    <row r="197" spans="1:12" x14ac:dyDescent="0.25">
      <c r="A197" s="3">
        <v>0</v>
      </c>
      <c r="I197" s="3">
        <v>2.38</v>
      </c>
      <c r="J197">
        <v>1</v>
      </c>
      <c r="K197">
        <f t="shared" si="6"/>
        <v>1.9193857965451055E-3</v>
      </c>
      <c r="L197">
        <f t="shared" ref="L197:L260" si="7">L196+K197</f>
        <v>0.3742802303262952</v>
      </c>
    </row>
    <row r="198" spans="1:12" x14ac:dyDescent="0.25">
      <c r="A198" s="3">
        <v>10.199999999999999</v>
      </c>
      <c r="I198" s="3">
        <v>2.58</v>
      </c>
      <c r="J198">
        <v>1</v>
      </c>
      <c r="K198">
        <f t="shared" si="6"/>
        <v>1.9193857965451055E-3</v>
      </c>
      <c r="L198">
        <f t="shared" si="7"/>
        <v>0.37619961612284031</v>
      </c>
    </row>
    <row r="199" spans="1:12" x14ac:dyDescent="0.25">
      <c r="A199" s="3">
        <v>22.96</v>
      </c>
      <c r="I199" s="3">
        <v>2.59</v>
      </c>
      <c r="J199">
        <v>1</v>
      </c>
      <c r="K199">
        <f t="shared" si="6"/>
        <v>1.9193857965451055E-3</v>
      </c>
      <c r="L199">
        <f t="shared" si="7"/>
        <v>0.37811900191938541</v>
      </c>
    </row>
    <row r="200" spans="1:12" x14ac:dyDescent="0.25">
      <c r="A200" s="3">
        <v>8.16</v>
      </c>
      <c r="I200" s="3">
        <v>2.59</v>
      </c>
      <c r="J200">
        <v>1</v>
      </c>
      <c r="K200">
        <f t="shared" si="6"/>
        <v>1.9193857965451055E-3</v>
      </c>
      <c r="L200">
        <f t="shared" si="7"/>
        <v>0.38003838771593051</v>
      </c>
    </row>
    <row r="201" spans="1:12" x14ac:dyDescent="0.25">
      <c r="A201" s="3">
        <v>20.2</v>
      </c>
      <c r="I201" s="3">
        <v>2.59</v>
      </c>
      <c r="J201">
        <v>1</v>
      </c>
      <c r="K201">
        <f t="shared" si="6"/>
        <v>1.9193857965451055E-3</v>
      </c>
      <c r="L201">
        <f t="shared" si="7"/>
        <v>0.38195777351247562</v>
      </c>
    </row>
    <row r="202" spans="1:12" x14ac:dyDescent="0.25">
      <c r="A202" s="3">
        <v>7.25</v>
      </c>
      <c r="I202" s="3">
        <v>2.61</v>
      </c>
      <c r="J202">
        <v>1</v>
      </c>
      <c r="K202">
        <f t="shared" si="6"/>
        <v>1.9193857965451055E-3</v>
      </c>
      <c r="L202">
        <f t="shared" si="7"/>
        <v>0.38387715930902072</v>
      </c>
    </row>
    <row r="203" spans="1:12" x14ac:dyDescent="0.25">
      <c r="A203" s="3">
        <v>1.32</v>
      </c>
      <c r="I203" s="3">
        <v>2.69</v>
      </c>
      <c r="J203">
        <v>1</v>
      </c>
      <c r="K203">
        <f t="shared" si="6"/>
        <v>1.9193857965451055E-3</v>
      </c>
      <c r="L203">
        <f t="shared" si="7"/>
        <v>0.38579654510556582</v>
      </c>
    </row>
    <row r="204" spans="1:12" x14ac:dyDescent="0.25">
      <c r="A204" s="3">
        <v>2.11</v>
      </c>
      <c r="I204" s="3">
        <v>2.74</v>
      </c>
      <c r="J204">
        <v>1</v>
      </c>
      <c r="K204">
        <f t="shared" si="6"/>
        <v>1.9193857965451055E-3</v>
      </c>
      <c r="L204">
        <f t="shared" si="7"/>
        <v>0.38771593090211093</v>
      </c>
    </row>
    <row r="205" spans="1:12" x14ac:dyDescent="0.25">
      <c r="A205" s="3">
        <v>0.02</v>
      </c>
      <c r="I205" s="3">
        <v>2.75</v>
      </c>
      <c r="J205">
        <v>1</v>
      </c>
      <c r="K205">
        <f t="shared" si="6"/>
        <v>1.9193857965451055E-3</v>
      </c>
      <c r="L205">
        <f t="shared" si="7"/>
        <v>0.38963531669865603</v>
      </c>
    </row>
    <row r="206" spans="1:12" x14ac:dyDescent="0.25">
      <c r="A206" s="3">
        <v>0.01</v>
      </c>
      <c r="I206" s="3">
        <v>2.77</v>
      </c>
      <c r="J206">
        <v>1</v>
      </c>
      <c r="K206">
        <f t="shared" si="6"/>
        <v>1.9193857965451055E-3</v>
      </c>
      <c r="L206">
        <f t="shared" si="7"/>
        <v>0.39155470249520113</v>
      </c>
    </row>
    <row r="207" spans="1:12" x14ac:dyDescent="0.25">
      <c r="A207" s="3">
        <v>3.11</v>
      </c>
      <c r="I207" s="3">
        <v>2.77</v>
      </c>
      <c r="J207">
        <v>1</v>
      </c>
      <c r="K207">
        <f t="shared" si="6"/>
        <v>1.9193857965451055E-3</v>
      </c>
      <c r="L207">
        <f t="shared" si="7"/>
        <v>0.39347408829174624</v>
      </c>
    </row>
    <row r="208" spans="1:12" x14ac:dyDescent="0.25">
      <c r="A208" s="3">
        <v>0.27</v>
      </c>
      <c r="I208" s="3">
        <v>2.78</v>
      </c>
      <c r="J208">
        <v>1</v>
      </c>
      <c r="K208">
        <f t="shared" si="6"/>
        <v>1.9193857965451055E-3</v>
      </c>
      <c r="L208">
        <f t="shared" si="7"/>
        <v>0.39539347408829134</v>
      </c>
    </row>
    <row r="209" spans="1:12" x14ac:dyDescent="0.25">
      <c r="A209" s="3">
        <v>17.07</v>
      </c>
      <c r="I209" s="3">
        <v>2.79</v>
      </c>
      <c r="J209">
        <v>1</v>
      </c>
      <c r="K209">
        <f t="shared" si="6"/>
        <v>1.9193857965451055E-3</v>
      </c>
      <c r="L209">
        <f t="shared" si="7"/>
        <v>0.39731285988483644</v>
      </c>
    </row>
    <row r="210" spans="1:12" x14ac:dyDescent="0.25">
      <c r="A210" s="3">
        <v>0.15</v>
      </c>
      <c r="I210" s="3">
        <v>2.8</v>
      </c>
      <c r="J210">
        <v>1</v>
      </c>
      <c r="K210">
        <f t="shared" si="6"/>
        <v>1.9193857965451055E-3</v>
      </c>
      <c r="L210">
        <f t="shared" si="7"/>
        <v>0.39923224568138155</v>
      </c>
    </row>
    <row r="211" spans="1:12" x14ac:dyDescent="0.25">
      <c r="A211" s="3">
        <v>0.14000000000000001</v>
      </c>
      <c r="I211" s="3">
        <v>2.81</v>
      </c>
      <c r="J211">
        <v>1</v>
      </c>
      <c r="K211">
        <f t="shared" si="6"/>
        <v>1.9193857965451055E-3</v>
      </c>
      <c r="L211">
        <f t="shared" si="7"/>
        <v>0.40115163147792665</v>
      </c>
    </row>
    <row r="212" spans="1:12" x14ac:dyDescent="0.25">
      <c r="A212" s="3">
        <v>0.14000000000000001</v>
      </c>
      <c r="I212" s="3">
        <v>2.82</v>
      </c>
      <c r="J212">
        <v>1</v>
      </c>
      <c r="K212">
        <f t="shared" si="6"/>
        <v>1.9193857965451055E-3</v>
      </c>
      <c r="L212">
        <f t="shared" si="7"/>
        <v>0.40307101727447175</v>
      </c>
    </row>
    <row r="213" spans="1:12" x14ac:dyDescent="0.25">
      <c r="A213" s="3">
        <v>11.27</v>
      </c>
      <c r="I213" s="3">
        <v>2.83</v>
      </c>
      <c r="J213">
        <v>1</v>
      </c>
      <c r="K213">
        <f t="shared" si="6"/>
        <v>1.9193857965451055E-3</v>
      </c>
      <c r="L213">
        <f t="shared" si="7"/>
        <v>0.40499040307101686</v>
      </c>
    </row>
    <row r="214" spans="1:12" x14ac:dyDescent="0.25">
      <c r="A214" s="3">
        <v>0.26</v>
      </c>
      <c r="I214" s="3">
        <v>2.84</v>
      </c>
      <c r="J214">
        <v>1</v>
      </c>
      <c r="K214">
        <f t="shared" si="6"/>
        <v>1.9193857965451055E-3</v>
      </c>
      <c r="L214">
        <f t="shared" si="7"/>
        <v>0.40690978886756196</v>
      </c>
    </row>
    <row r="215" spans="1:12" x14ac:dyDescent="0.25">
      <c r="A215" s="3">
        <v>0.14000000000000001</v>
      </c>
      <c r="I215" s="3">
        <v>2.84</v>
      </c>
      <c r="J215">
        <v>1</v>
      </c>
      <c r="K215">
        <f t="shared" si="6"/>
        <v>1.9193857965451055E-3</v>
      </c>
      <c r="L215">
        <f t="shared" si="7"/>
        <v>0.40882917466410706</v>
      </c>
    </row>
    <row r="216" spans="1:12" x14ac:dyDescent="0.25">
      <c r="A216" s="3">
        <v>0.26</v>
      </c>
      <c r="I216" s="3">
        <v>2.85</v>
      </c>
      <c r="J216">
        <v>1</v>
      </c>
      <c r="K216">
        <f t="shared" si="6"/>
        <v>1.9193857965451055E-3</v>
      </c>
      <c r="L216">
        <f t="shared" si="7"/>
        <v>0.41074856046065217</v>
      </c>
    </row>
    <row r="217" spans="1:12" x14ac:dyDescent="0.25">
      <c r="A217" s="3">
        <v>0.26</v>
      </c>
      <c r="I217" s="3">
        <v>2.85</v>
      </c>
      <c r="J217">
        <v>1</v>
      </c>
      <c r="K217">
        <f t="shared" si="6"/>
        <v>1.9193857965451055E-3</v>
      </c>
      <c r="L217">
        <f t="shared" si="7"/>
        <v>0.41266794625719727</v>
      </c>
    </row>
    <row r="218" spans="1:12" x14ac:dyDescent="0.25">
      <c r="A218" s="3">
        <v>0.25</v>
      </c>
      <c r="I218" s="3">
        <v>2.86</v>
      </c>
      <c r="J218">
        <v>1</v>
      </c>
      <c r="K218">
        <f t="shared" si="6"/>
        <v>1.9193857965451055E-3</v>
      </c>
      <c r="L218">
        <f t="shared" si="7"/>
        <v>0.41458733205374237</v>
      </c>
    </row>
    <row r="219" spans="1:12" x14ac:dyDescent="0.25">
      <c r="A219" s="3">
        <v>10.220000000000001</v>
      </c>
      <c r="I219" s="3">
        <v>2.87</v>
      </c>
      <c r="J219">
        <v>1</v>
      </c>
      <c r="K219">
        <f t="shared" si="6"/>
        <v>1.9193857965451055E-3</v>
      </c>
      <c r="L219">
        <f t="shared" si="7"/>
        <v>0.41650671785028748</v>
      </c>
    </row>
    <row r="220" spans="1:12" x14ac:dyDescent="0.25">
      <c r="A220" s="3">
        <v>1.1000000000000001</v>
      </c>
      <c r="I220" s="3">
        <v>2.92</v>
      </c>
      <c r="J220">
        <v>1</v>
      </c>
      <c r="K220">
        <f t="shared" si="6"/>
        <v>1.9193857965451055E-3</v>
      </c>
      <c r="L220">
        <f t="shared" si="7"/>
        <v>0.41842610364683258</v>
      </c>
    </row>
    <row r="221" spans="1:12" x14ac:dyDescent="0.25">
      <c r="A221" s="3">
        <v>0.01</v>
      </c>
      <c r="I221" s="3">
        <v>2.93</v>
      </c>
      <c r="J221">
        <v>1</v>
      </c>
      <c r="K221">
        <f t="shared" si="6"/>
        <v>1.9193857965451055E-3</v>
      </c>
      <c r="L221">
        <f t="shared" si="7"/>
        <v>0.42034548944337768</v>
      </c>
    </row>
    <row r="222" spans="1:12" x14ac:dyDescent="0.25">
      <c r="A222" s="3">
        <v>0.01</v>
      </c>
      <c r="I222" s="3">
        <v>2.93</v>
      </c>
      <c r="J222">
        <v>1</v>
      </c>
      <c r="K222">
        <f t="shared" si="6"/>
        <v>1.9193857965451055E-3</v>
      </c>
      <c r="L222">
        <f t="shared" si="7"/>
        <v>0.42226487523992279</v>
      </c>
    </row>
    <row r="223" spans="1:12" x14ac:dyDescent="0.25">
      <c r="A223" s="3">
        <v>0.24</v>
      </c>
      <c r="I223" s="3">
        <v>2.95</v>
      </c>
      <c r="J223">
        <v>1</v>
      </c>
      <c r="K223">
        <f t="shared" si="6"/>
        <v>1.9193857965451055E-3</v>
      </c>
      <c r="L223">
        <f t="shared" si="7"/>
        <v>0.42418426103646789</v>
      </c>
    </row>
    <row r="224" spans="1:12" x14ac:dyDescent="0.25">
      <c r="A224" s="3">
        <v>0.24</v>
      </c>
      <c r="I224" s="3">
        <v>2.96</v>
      </c>
      <c r="J224">
        <v>1</v>
      </c>
      <c r="K224">
        <f t="shared" si="6"/>
        <v>1.9193857965451055E-3</v>
      </c>
      <c r="L224">
        <f t="shared" si="7"/>
        <v>0.42610364683301299</v>
      </c>
    </row>
    <row r="225" spans="1:12" x14ac:dyDescent="0.25">
      <c r="A225" s="3">
        <v>0.17</v>
      </c>
      <c r="I225" s="3">
        <v>2.96</v>
      </c>
      <c r="J225">
        <v>1</v>
      </c>
      <c r="K225">
        <f t="shared" si="6"/>
        <v>1.9193857965451055E-3</v>
      </c>
      <c r="L225">
        <f t="shared" si="7"/>
        <v>0.4280230326295581</v>
      </c>
    </row>
    <row r="226" spans="1:12" x14ac:dyDescent="0.25">
      <c r="A226" s="3">
        <v>3.1</v>
      </c>
      <c r="I226" s="3">
        <v>2.97</v>
      </c>
      <c r="J226">
        <v>1</v>
      </c>
      <c r="K226">
        <f t="shared" si="6"/>
        <v>1.9193857965451055E-3</v>
      </c>
      <c r="L226">
        <f t="shared" si="7"/>
        <v>0.4299424184261032</v>
      </c>
    </row>
    <row r="227" spans="1:12" x14ac:dyDescent="0.25">
      <c r="A227" s="3">
        <v>1.07</v>
      </c>
      <c r="I227" s="3">
        <v>2.99</v>
      </c>
      <c r="J227">
        <v>1</v>
      </c>
      <c r="K227">
        <f t="shared" si="6"/>
        <v>1.9193857965451055E-3</v>
      </c>
      <c r="L227">
        <f t="shared" si="7"/>
        <v>0.4318618042226483</v>
      </c>
    </row>
    <row r="228" spans="1:12" x14ac:dyDescent="0.25">
      <c r="A228" s="3">
        <v>3.11</v>
      </c>
      <c r="I228" s="3">
        <v>3</v>
      </c>
      <c r="J228">
        <v>1</v>
      </c>
      <c r="K228">
        <f t="shared" si="6"/>
        <v>1.9193857965451055E-3</v>
      </c>
      <c r="L228">
        <f t="shared" si="7"/>
        <v>0.43378119001919341</v>
      </c>
    </row>
    <row r="229" spans="1:12" x14ac:dyDescent="0.25">
      <c r="A229" s="3">
        <v>1.06</v>
      </c>
      <c r="I229" s="3">
        <v>3.01</v>
      </c>
      <c r="J229">
        <v>1</v>
      </c>
      <c r="K229">
        <f t="shared" si="6"/>
        <v>1.9193857965451055E-3</v>
      </c>
      <c r="L229">
        <f t="shared" si="7"/>
        <v>0.43570057581573851</v>
      </c>
    </row>
    <row r="230" spans="1:12" x14ac:dyDescent="0.25">
      <c r="A230" s="3">
        <v>4.07</v>
      </c>
      <c r="I230" s="3">
        <v>3.02</v>
      </c>
      <c r="J230">
        <v>1</v>
      </c>
      <c r="K230">
        <f t="shared" si="6"/>
        <v>1.9193857965451055E-3</v>
      </c>
      <c r="L230">
        <f t="shared" si="7"/>
        <v>0.43761996161228361</v>
      </c>
    </row>
    <row r="231" spans="1:12" x14ac:dyDescent="0.25">
      <c r="A231" s="3">
        <v>3.25</v>
      </c>
      <c r="I231" s="3">
        <v>3.03</v>
      </c>
      <c r="J231">
        <v>1</v>
      </c>
      <c r="K231">
        <f t="shared" si="6"/>
        <v>1.9193857965451055E-3</v>
      </c>
      <c r="L231">
        <f t="shared" si="7"/>
        <v>0.43953934740882872</v>
      </c>
    </row>
    <row r="232" spans="1:12" x14ac:dyDescent="0.25">
      <c r="A232" s="3">
        <v>0</v>
      </c>
      <c r="I232" s="3">
        <v>3.05</v>
      </c>
      <c r="J232">
        <v>1</v>
      </c>
      <c r="K232">
        <f t="shared" si="6"/>
        <v>1.9193857965451055E-3</v>
      </c>
      <c r="L232">
        <f t="shared" si="7"/>
        <v>0.44145873320537382</v>
      </c>
    </row>
    <row r="233" spans="1:12" x14ac:dyDescent="0.25">
      <c r="A233" s="3">
        <v>1.94</v>
      </c>
      <c r="I233" s="3">
        <v>3.05</v>
      </c>
      <c r="J233">
        <v>1</v>
      </c>
      <c r="K233">
        <f t="shared" si="6"/>
        <v>1.9193857965451055E-3</v>
      </c>
      <c r="L233">
        <f t="shared" si="7"/>
        <v>0.44337811900191892</v>
      </c>
    </row>
    <row r="234" spans="1:12" x14ac:dyDescent="0.25">
      <c r="A234" s="3">
        <v>0.03</v>
      </c>
      <c r="I234" s="3">
        <v>3.05</v>
      </c>
      <c r="J234">
        <v>1</v>
      </c>
      <c r="K234">
        <f t="shared" si="6"/>
        <v>1.9193857965451055E-3</v>
      </c>
      <c r="L234">
        <f t="shared" si="7"/>
        <v>0.44529750479846403</v>
      </c>
    </row>
    <row r="235" spans="1:12" x14ac:dyDescent="0.25">
      <c r="A235" s="3">
        <v>0.03</v>
      </c>
      <c r="I235" s="3">
        <v>3.06</v>
      </c>
      <c r="J235">
        <v>1</v>
      </c>
      <c r="K235">
        <f t="shared" si="6"/>
        <v>1.9193857965451055E-3</v>
      </c>
      <c r="L235">
        <f t="shared" si="7"/>
        <v>0.44721689059500913</v>
      </c>
    </row>
    <row r="236" spans="1:12" x14ac:dyDescent="0.25">
      <c r="A236" s="3">
        <v>2.23</v>
      </c>
      <c r="I236" s="3">
        <v>3.07</v>
      </c>
      <c r="J236">
        <v>1</v>
      </c>
      <c r="K236">
        <f t="shared" si="6"/>
        <v>1.9193857965451055E-3</v>
      </c>
      <c r="L236">
        <f t="shared" si="7"/>
        <v>0.44913627639155423</v>
      </c>
    </row>
    <row r="237" spans="1:12" x14ac:dyDescent="0.25">
      <c r="A237" s="3">
        <v>2.93</v>
      </c>
      <c r="I237" s="3">
        <v>3.08</v>
      </c>
      <c r="J237">
        <v>1</v>
      </c>
      <c r="K237">
        <f t="shared" si="6"/>
        <v>1.9193857965451055E-3</v>
      </c>
      <c r="L237">
        <f t="shared" si="7"/>
        <v>0.45105566218809934</v>
      </c>
    </row>
    <row r="238" spans="1:12" x14ac:dyDescent="0.25">
      <c r="A238" s="3">
        <v>3.06</v>
      </c>
      <c r="I238" s="3">
        <v>3.09</v>
      </c>
      <c r="J238">
        <v>1</v>
      </c>
      <c r="K238">
        <f t="shared" si="6"/>
        <v>1.9193857965451055E-3</v>
      </c>
      <c r="L238">
        <f t="shared" si="7"/>
        <v>0.45297504798464444</v>
      </c>
    </row>
    <row r="239" spans="1:12" x14ac:dyDescent="0.25">
      <c r="A239" s="3">
        <v>7.12</v>
      </c>
      <c r="I239" s="3">
        <v>3.1</v>
      </c>
      <c r="J239">
        <v>1</v>
      </c>
      <c r="K239">
        <f t="shared" si="6"/>
        <v>1.9193857965451055E-3</v>
      </c>
      <c r="L239">
        <f t="shared" si="7"/>
        <v>0.45489443378118954</v>
      </c>
    </row>
    <row r="240" spans="1:12" x14ac:dyDescent="0.25">
      <c r="A240" s="3">
        <v>0.2</v>
      </c>
      <c r="I240" s="3">
        <v>3.11</v>
      </c>
      <c r="J240">
        <v>1</v>
      </c>
      <c r="K240">
        <f t="shared" si="6"/>
        <v>1.9193857965451055E-3</v>
      </c>
      <c r="L240">
        <f t="shared" si="7"/>
        <v>0.45681381957773465</v>
      </c>
    </row>
    <row r="241" spans="1:12" x14ac:dyDescent="0.25">
      <c r="A241" s="3">
        <v>8.8699999999999992</v>
      </c>
      <c r="I241" s="3">
        <v>3.11</v>
      </c>
      <c r="J241">
        <v>1</v>
      </c>
      <c r="K241">
        <f t="shared" si="6"/>
        <v>1.9193857965451055E-3</v>
      </c>
      <c r="L241">
        <f t="shared" si="7"/>
        <v>0.45873320537427975</v>
      </c>
    </row>
    <row r="242" spans="1:12" x14ac:dyDescent="0.25">
      <c r="A242" s="3">
        <v>0.21</v>
      </c>
      <c r="I242" s="3">
        <v>3.11</v>
      </c>
      <c r="J242">
        <v>1</v>
      </c>
      <c r="K242">
        <f t="shared" si="6"/>
        <v>1.9193857965451055E-3</v>
      </c>
      <c r="L242">
        <f t="shared" si="7"/>
        <v>0.46065259117082485</v>
      </c>
    </row>
    <row r="243" spans="1:12" x14ac:dyDescent="0.25">
      <c r="A243" s="3">
        <v>6.88</v>
      </c>
      <c r="I243" s="3">
        <v>3.14</v>
      </c>
      <c r="J243">
        <v>1</v>
      </c>
      <c r="K243">
        <f t="shared" si="6"/>
        <v>1.9193857965451055E-3</v>
      </c>
      <c r="L243">
        <f t="shared" si="7"/>
        <v>0.46257197696736996</v>
      </c>
    </row>
    <row r="244" spans="1:12" x14ac:dyDescent="0.25">
      <c r="A244" s="3">
        <v>37.020000000000003</v>
      </c>
      <c r="I244" s="3">
        <v>3.21</v>
      </c>
      <c r="J244">
        <v>1</v>
      </c>
      <c r="K244">
        <f t="shared" si="6"/>
        <v>1.9193857965451055E-3</v>
      </c>
      <c r="L244">
        <f t="shared" si="7"/>
        <v>0.46449136276391506</v>
      </c>
    </row>
    <row r="245" spans="1:12" x14ac:dyDescent="0.25">
      <c r="A245" s="3">
        <v>0.87</v>
      </c>
      <c r="I245" s="3">
        <v>3.24</v>
      </c>
      <c r="J245">
        <v>1</v>
      </c>
      <c r="K245">
        <f t="shared" si="6"/>
        <v>1.9193857965451055E-3</v>
      </c>
      <c r="L245">
        <f t="shared" si="7"/>
        <v>0.46641074856046016</v>
      </c>
    </row>
    <row r="246" spans="1:12" x14ac:dyDescent="0.25">
      <c r="A246" s="3">
        <v>2.12</v>
      </c>
      <c r="I246" s="3">
        <v>3.25</v>
      </c>
      <c r="J246">
        <v>1</v>
      </c>
      <c r="K246">
        <f t="shared" si="6"/>
        <v>1.9193857965451055E-3</v>
      </c>
      <c r="L246">
        <f t="shared" si="7"/>
        <v>0.46833013435700527</v>
      </c>
    </row>
    <row r="247" spans="1:12" x14ac:dyDescent="0.25">
      <c r="A247" s="3">
        <v>9.0299999999999994</v>
      </c>
      <c r="I247" s="3">
        <v>3.38</v>
      </c>
      <c r="J247">
        <v>1</v>
      </c>
      <c r="K247">
        <f t="shared" si="6"/>
        <v>1.9193857965451055E-3</v>
      </c>
      <c r="L247">
        <f t="shared" si="7"/>
        <v>0.47024952015355037</v>
      </c>
    </row>
    <row r="248" spans="1:12" x14ac:dyDescent="0.25">
      <c r="A248" s="3">
        <v>11.01</v>
      </c>
      <c r="I248" s="3">
        <v>3.38</v>
      </c>
      <c r="J248">
        <v>1</v>
      </c>
      <c r="K248">
        <f t="shared" si="6"/>
        <v>1.9193857965451055E-3</v>
      </c>
      <c r="L248">
        <f t="shared" si="7"/>
        <v>0.47216890595009547</v>
      </c>
    </row>
    <row r="249" spans="1:12" x14ac:dyDescent="0.25">
      <c r="A249" s="3">
        <v>1.1200000000000001</v>
      </c>
      <c r="I249" s="3">
        <v>3.47</v>
      </c>
      <c r="J249">
        <v>1</v>
      </c>
      <c r="K249">
        <f t="shared" si="6"/>
        <v>1.9193857965451055E-3</v>
      </c>
      <c r="L249">
        <f t="shared" si="7"/>
        <v>0.47408829174664058</v>
      </c>
    </row>
    <row r="250" spans="1:12" x14ac:dyDescent="0.25">
      <c r="A250" s="3">
        <v>3.08</v>
      </c>
      <c r="I250" s="3">
        <v>3.5</v>
      </c>
      <c r="J250">
        <v>1</v>
      </c>
      <c r="K250">
        <f t="shared" si="6"/>
        <v>1.9193857965451055E-3</v>
      </c>
      <c r="L250">
        <f t="shared" si="7"/>
        <v>0.47600767754318568</v>
      </c>
    </row>
    <row r="251" spans="1:12" x14ac:dyDescent="0.25">
      <c r="A251" s="3">
        <v>0.1</v>
      </c>
      <c r="I251" s="3">
        <v>3.59</v>
      </c>
      <c r="J251">
        <v>1</v>
      </c>
      <c r="K251">
        <f t="shared" si="6"/>
        <v>1.9193857965451055E-3</v>
      </c>
      <c r="L251">
        <f t="shared" si="7"/>
        <v>0.47792706333973078</v>
      </c>
    </row>
    <row r="252" spans="1:12" x14ac:dyDescent="0.25">
      <c r="A252" s="3">
        <v>4.13</v>
      </c>
      <c r="I252" s="3">
        <v>3.61</v>
      </c>
      <c r="J252">
        <v>1</v>
      </c>
      <c r="K252">
        <f t="shared" si="6"/>
        <v>1.9193857965451055E-3</v>
      </c>
      <c r="L252">
        <f t="shared" si="7"/>
        <v>0.47984644913627589</v>
      </c>
    </row>
    <row r="253" spans="1:12" x14ac:dyDescent="0.25">
      <c r="A253" s="3">
        <v>7.05</v>
      </c>
      <c r="I253" s="3">
        <v>3.63</v>
      </c>
      <c r="J253">
        <v>1</v>
      </c>
      <c r="K253">
        <f t="shared" si="6"/>
        <v>1.9193857965451055E-3</v>
      </c>
      <c r="L253">
        <f t="shared" si="7"/>
        <v>0.48176583493282099</v>
      </c>
    </row>
    <row r="254" spans="1:12" x14ac:dyDescent="0.25">
      <c r="A254" s="3">
        <v>2.1800000000000002</v>
      </c>
      <c r="I254" s="3">
        <v>3.64</v>
      </c>
      <c r="J254">
        <v>1</v>
      </c>
      <c r="K254">
        <f t="shared" si="6"/>
        <v>1.9193857965451055E-3</v>
      </c>
      <c r="L254">
        <f t="shared" si="7"/>
        <v>0.48368522072936609</v>
      </c>
    </row>
    <row r="255" spans="1:12" x14ac:dyDescent="0.25">
      <c r="A255" s="3">
        <v>21.15</v>
      </c>
      <c r="I255" s="3">
        <v>3.79</v>
      </c>
      <c r="J255">
        <v>1</v>
      </c>
      <c r="K255">
        <f t="shared" si="6"/>
        <v>1.9193857965451055E-3</v>
      </c>
      <c r="L255">
        <f t="shared" si="7"/>
        <v>0.4856046065259112</v>
      </c>
    </row>
    <row r="256" spans="1:12" x14ac:dyDescent="0.25">
      <c r="A256" s="3">
        <v>0.18</v>
      </c>
      <c r="I256" s="3">
        <v>3.85</v>
      </c>
      <c r="J256">
        <v>1</v>
      </c>
      <c r="K256">
        <f t="shared" si="6"/>
        <v>1.9193857965451055E-3</v>
      </c>
      <c r="L256">
        <f t="shared" si="7"/>
        <v>0.4875239923224563</v>
      </c>
    </row>
    <row r="257" spans="1:12" x14ac:dyDescent="0.25">
      <c r="A257" s="3">
        <v>8.8699999999999992</v>
      </c>
      <c r="I257" s="3">
        <v>3.87</v>
      </c>
      <c r="J257">
        <v>1</v>
      </c>
      <c r="K257">
        <f t="shared" si="6"/>
        <v>1.9193857965451055E-3</v>
      </c>
      <c r="L257">
        <f t="shared" si="7"/>
        <v>0.4894433781190014</v>
      </c>
    </row>
    <row r="258" spans="1:12" x14ac:dyDescent="0.25">
      <c r="A258" s="3">
        <v>0.01</v>
      </c>
      <c r="I258" s="3">
        <v>3.91</v>
      </c>
      <c r="J258">
        <v>1</v>
      </c>
      <c r="K258">
        <f t="shared" si="6"/>
        <v>1.9193857965451055E-3</v>
      </c>
      <c r="L258">
        <f t="shared" si="7"/>
        <v>0.49136276391554651</v>
      </c>
    </row>
    <row r="259" spans="1:12" x14ac:dyDescent="0.25">
      <c r="A259" s="3">
        <v>0.17</v>
      </c>
      <c r="I259" s="3">
        <v>3.93</v>
      </c>
      <c r="J259">
        <v>1</v>
      </c>
      <c r="K259">
        <f t="shared" si="6"/>
        <v>1.9193857965451055E-3</v>
      </c>
      <c r="L259">
        <f t="shared" si="7"/>
        <v>0.49328214971209161</v>
      </c>
    </row>
    <row r="260" spans="1:12" x14ac:dyDescent="0.25">
      <c r="A260" s="3">
        <v>3.05</v>
      </c>
      <c r="I260" s="3">
        <v>3.96</v>
      </c>
      <c r="J260">
        <v>1</v>
      </c>
      <c r="K260">
        <f t="shared" ref="K260:K323" si="8">J260/$C$16</f>
        <v>1.9193857965451055E-3</v>
      </c>
      <c r="L260">
        <f t="shared" si="7"/>
        <v>0.49520153550863671</v>
      </c>
    </row>
    <row r="261" spans="1:12" x14ac:dyDescent="0.25">
      <c r="A261" s="3">
        <v>2.74</v>
      </c>
      <c r="I261" s="3">
        <v>4.05</v>
      </c>
      <c r="J261">
        <v>1</v>
      </c>
      <c r="K261">
        <f t="shared" si="8"/>
        <v>1.9193857965451055E-3</v>
      </c>
      <c r="L261">
        <f t="shared" ref="L261:L324" si="9">L260+K261</f>
        <v>0.49712092130518182</v>
      </c>
    </row>
    <row r="262" spans="1:12" x14ac:dyDescent="0.25">
      <c r="A262" s="3">
        <v>2.8</v>
      </c>
      <c r="I262" s="3">
        <v>4.0599999999999996</v>
      </c>
      <c r="J262">
        <v>1</v>
      </c>
      <c r="K262">
        <f t="shared" si="8"/>
        <v>1.9193857965451055E-3</v>
      </c>
      <c r="L262">
        <f t="shared" si="9"/>
        <v>0.49904030710172692</v>
      </c>
    </row>
    <row r="263" spans="1:12" x14ac:dyDescent="0.25">
      <c r="A263" s="3">
        <v>0.17</v>
      </c>
      <c r="I263" s="3">
        <v>4.07</v>
      </c>
      <c r="J263">
        <v>1</v>
      </c>
      <c r="K263">
        <f t="shared" si="8"/>
        <v>1.9193857965451055E-3</v>
      </c>
      <c r="L263">
        <f t="shared" si="9"/>
        <v>0.50095969289827202</v>
      </c>
    </row>
    <row r="264" spans="1:12" x14ac:dyDescent="0.25">
      <c r="A264" s="3">
        <v>0</v>
      </c>
      <c r="I264" s="3">
        <v>4.1100000000000003</v>
      </c>
      <c r="J264">
        <v>1</v>
      </c>
      <c r="K264">
        <f t="shared" si="8"/>
        <v>1.9193857965451055E-3</v>
      </c>
      <c r="L264">
        <f t="shared" si="9"/>
        <v>0.50287907869481718</v>
      </c>
    </row>
    <row r="265" spans="1:12" x14ac:dyDescent="0.25">
      <c r="A265" s="3">
        <v>17.14</v>
      </c>
      <c r="I265" s="3">
        <v>4.13</v>
      </c>
      <c r="J265">
        <v>1</v>
      </c>
      <c r="K265">
        <f t="shared" si="8"/>
        <v>1.9193857965451055E-3</v>
      </c>
      <c r="L265">
        <f t="shared" si="9"/>
        <v>0.50479846449136234</v>
      </c>
    </row>
    <row r="266" spans="1:12" x14ac:dyDescent="0.25">
      <c r="A266" s="3">
        <v>1.18</v>
      </c>
      <c r="I266" s="3">
        <v>4.1900000000000004</v>
      </c>
      <c r="J266">
        <v>1</v>
      </c>
      <c r="K266">
        <f t="shared" si="8"/>
        <v>1.9193857965451055E-3</v>
      </c>
      <c r="L266">
        <f t="shared" si="9"/>
        <v>0.5067178502879075</v>
      </c>
    </row>
    <row r="267" spans="1:12" x14ac:dyDescent="0.25">
      <c r="A267" s="3">
        <v>0.9</v>
      </c>
      <c r="I267" s="3">
        <v>4.6100000000000003</v>
      </c>
      <c r="J267">
        <v>1</v>
      </c>
      <c r="K267">
        <f t="shared" si="8"/>
        <v>1.9193857965451055E-3</v>
      </c>
      <c r="L267">
        <f t="shared" si="9"/>
        <v>0.50863723608445266</v>
      </c>
    </row>
    <row r="268" spans="1:12" x14ac:dyDescent="0.25">
      <c r="A268" s="3">
        <v>2.1</v>
      </c>
      <c r="I268" s="3">
        <v>4.66</v>
      </c>
      <c r="J268">
        <v>1</v>
      </c>
      <c r="K268">
        <f t="shared" si="8"/>
        <v>1.9193857965451055E-3</v>
      </c>
      <c r="L268">
        <f t="shared" si="9"/>
        <v>0.51055662188099782</v>
      </c>
    </row>
    <row r="269" spans="1:12" x14ac:dyDescent="0.25">
      <c r="A269" s="3">
        <v>1.9</v>
      </c>
      <c r="I269" s="3">
        <v>4.67</v>
      </c>
      <c r="J269">
        <v>1</v>
      </c>
      <c r="K269">
        <f t="shared" si="8"/>
        <v>1.9193857965451055E-3</v>
      </c>
      <c r="L269">
        <f t="shared" si="9"/>
        <v>0.51247600767754298</v>
      </c>
    </row>
    <row r="270" spans="1:12" x14ac:dyDescent="0.25">
      <c r="A270" s="3">
        <v>0.14000000000000001</v>
      </c>
      <c r="I270" s="3">
        <v>4.7</v>
      </c>
      <c r="J270">
        <v>1</v>
      </c>
      <c r="K270">
        <f t="shared" si="8"/>
        <v>1.9193857965451055E-3</v>
      </c>
      <c r="L270">
        <f t="shared" si="9"/>
        <v>0.51439539347408814</v>
      </c>
    </row>
    <row r="271" spans="1:12" x14ac:dyDescent="0.25">
      <c r="A271" s="3">
        <v>13.95</v>
      </c>
      <c r="I271" s="3">
        <v>4.79</v>
      </c>
      <c r="J271">
        <v>1</v>
      </c>
      <c r="K271">
        <f t="shared" si="8"/>
        <v>1.9193857965451055E-3</v>
      </c>
      <c r="L271">
        <f t="shared" si="9"/>
        <v>0.5163147792706333</v>
      </c>
    </row>
    <row r="272" spans="1:12" x14ac:dyDescent="0.25">
      <c r="A272" s="3">
        <v>0.92</v>
      </c>
      <c r="I272" s="3">
        <v>4.8</v>
      </c>
      <c r="J272">
        <v>1</v>
      </c>
      <c r="K272">
        <f t="shared" si="8"/>
        <v>1.9193857965451055E-3</v>
      </c>
      <c r="L272">
        <f t="shared" si="9"/>
        <v>0.51823416506717845</v>
      </c>
    </row>
    <row r="273" spans="1:12" x14ac:dyDescent="0.25">
      <c r="A273" s="3">
        <v>2.12</v>
      </c>
      <c r="I273" s="3">
        <v>4.9400000000000004</v>
      </c>
      <c r="J273">
        <v>1</v>
      </c>
      <c r="K273">
        <f t="shared" si="8"/>
        <v>1.9193857965451055E-3</v>
      </c>
      <c r="L273">
        <f t="shared" si="9"/>
        <v>0.52015355086372361</v>
      </c>
    </row>
    <row r="274" spans="1:12" x14ac:dyDescent="0.25">
      <c r="A274" s="3">
        <v>3.87</v>
      </c>
      <c r="I274" s="3">
        <v>5.03</v>
      </c>
      <c r="J274">
        <v>1</v>
      </c>
      <c r="K274">
        <f t="shared" si="8"/>
        <v>1.9193857965451055E-3</v>
      </c>
      <c r="L274">
        <f t="shared" si="9"/>
        <v>0.52207293666026877</v>
      </c>
    </row>
    <row r="275" spans="1:12" x14ac:dyDescent="0.25">
      <c r="A275" s="3">
        <v>4.05</v>
      </c>
      <c r="I275" s="3">
        <v>5.2</v>
      </c>
      <c r="J275">
        <v>1</v>
      </c>
      <c r="K275">
        <f t="shared" si="8"/>
        <v>1.9193857965451055E-3</v>
      </c>
      <c r="L275">
        <f t="shared" si="9"/>
        <v>0.52399232245681393</v>
      </c>
    </row>
    <row r="276" spans="1:12" x14ac:dyDescent="0.25">
      <c r="A276" s="3">
        <v>44.91</v>
      </c>
      <c r="I276" s="3">
        <v>5.24</v>
      </c>
      <c r="J276">
        <v>1</v>
      </c>
      <c r="K276">
        <f t="shared" si="8"/>
        <v>1.9193857965451055E-3</v>
      </c>
      <c r="L276">
        <f t="shared" si="9"/>
        <v>0.52591170825335909</v>
      </c>
    </row>
    <row r="277" spans="1:12" x14ac:dyDescent="0.25">
      <c r="A277" s="3">
        <v>44.89</v>
      </c>
      <c r="I277" s="3">
        <v>5.26</v>
      </c>
      <c r="J277">
        <v>1</v>
      </c>
      <c r="K277">
        <f t="shared" si="8"/>
        <v>1.9193857965451055E-3</v>
      </c>
      <c r="L277">
        <f t="shared" si="9"/>
        <v>0.52783109404990425</v>
      </c>
    </row>
    <row r="278" spans="1:12" x14ac:dyDescent="0.25">
      <c r="A278" s="3">
        <v>18.149999999999999</v>
      </c>
      <c r="I278" s="3">
        <v>5.33</v>
      </c>
      <c r="J278">
        <v>1</v>
      </c>
      <c r="K278">
        <f t="shared" si="8"/>
        <v>1.9193857965451055E-3</v>
      </c>
      <c r="L278">
        <f t="shared" si="9"/>
        <v>0.52975047984644941</v>
      </c>
    </row>
    <row r="279" spans="1:12" x14ac:dyDescent="0.25">
      <c r="A279" s="3">
        <v>44.89</v>
      </c>
      <c r="I279" s="3">
        <v>5.4</v>
      </c>
      <c r="J279">
        <v>1</v>
      </c>
      <c r="K279">
        <f t="shared" si="8"/>
        <v>1.9193857965451055E-3</v>
      </c>
      <c r="L279">
        <f t="shared" si="9"/>
        <v>0.53166986564299457</v>
      </c>
    </row>
    <row r="280" spans="1:12" x14ac:dyDescent="0.25">
      <c r="A280" s="3">
        <v>44.9</v>
      </c>
      <c r="I280" s="3">
        <v>5.42</v>
      </c>
      <c r="J280">
        <v>1</v>
      </c>
      <c r="K280">
        <f t="shared" si="8"/>
        <v>1.9193857965451055E-3</v>
      </c>
      <c r="L280">
        <f t="shared" si="9"/>
        <v>0.53358925143953972</v>
      </c>
    </row>
    <row r="281" spans="1:12" x14ac:dyDescent="0.25">
      <c r="A281" s="3">
        <v>10.119999999999999</v>
      </c>
      <c r="I281" s="3">
        <v>5.42</v>
      </c>
      <c r="J281">
        <v>1</v>
      </c>
      <c r="K281">
        <f t="shared" si="8"/>
        <v>1.9193857965451055E-3</v>
      </c>
      <c r="L281">
        <f t="shared" si="9"/>
        <v>0.53550863723608488</v>
      </c>
    </row>
    <row r="282" spans="1:12" x14ac:dyDescent="0.25">
      <c r="A282" s="3">
        <v>44.9</v>
      </c>
      <c r="I282" s="3">
        <v>5.43</v>
      </c>
      <c r="J282">
        <v>1</v>
      </c>
      <c r="K282">
        <f t="shared" si="8"/>
        <v>1.9193857965451055E-3</v>
      </c>
      <c r="L282">
        <f t="shared" si="9"/>
        <v>0.53742802303263004</v>
      </c>
    </row>
    <row r="283" spans="1:12" x14ac:dyDescent="0.25">
      <c r="A283" s="3">
        <v>13.74</v>
      </c>
      <c r="I283" s="3">
        <v>5.62</v>
      </c>
      <c r="J283">
        <v>1</v>
      </c>
      <c r="K283">
        <f t="shared" si="8"/>
        <v>1.9193857965451055E-3</v>
      </c>
      <c r="L283">
        <f t="shared" si="9"/>
        <v>0.5393474088291752</v>
      </c>
    </row>
    <row r="284" spans="1:12" x14ac:dyDescent="0.25">
      <c r="A284" s="3">
        <v>2.83</v>
      </c>
      <c r="I284" s="3">
        <v>5.7</v>
      </c>
      <c r="J284">
        <v>1</v>
      </c>
      <c r="K284">
        <f t="shared" si="8"/>
        <v>1.9193857965451055E-3</v>
      </c>
      <c r="L284">
        <f t="shared" si="9"/>
        <v>0.54126679462572036</v>
      </c>
    </row>
    <row r="285" spans="1:12" x14ac:dyDescent="0.25">
      <c r="A285" s="3">
        <v>10.96</v>
      </c>
      <c r="I285" s="3">
        <v>5.77</v>
      </c>
      <c r="J285">
        <v>1</v>
      </c>
      <c r="K285">
        <f t="shared" si="8"/>
        <v>1.9193857965451055E-3</v>
      </c>
      <c r="L285">
        <f t="shared" si="9"/>
        <v>0.54318618042226552</v>
      </c>
    </row>
    <row r="286" spans="1:12" x14ac:dyDescent="0.25">
      <c r="A286" s="3">
        <v>2.02</v>
      </c>
      <c r="I286" s="3">
        <v>5.8</v>
      </c>
      <c r="J286">
        <v>1</v>
      </c>
      <c r="K286">
        <f t="shared" si="8"/>
        <v>1.9193857965451055E-3</v>
      </c>
      <c r="L286">
        <f t="shared" si="9"/>
        <v>0.54510556621881068</v>
      </c>
    </row>
    <row r="287" spans="1:12" x14ac:dyDescent="0.25">
      <c r="A287" s="3">
        <v>2.77</v>
      </c>
      <c r="I287" s="3">
        <v>5.81</v>
      </c>
      <c r="J287">
        <v>1</v>
      </c>
      <c r="K287">
        <f t="shared" si="8"/>
        <v>1.9193857965451055E-3</v>
      </c>
      <c r="L287">
        <f t="shared" si="9"/>
        <v>0.54702495201535584</v>
      </c>
    </row>
    <row r="288" spans="1:12" x14ac:dyDescent="0.25">
      <c r="A288" s="3">
        <v>2.0299999999999998</v>
      </c>
      <c r="I288" s="3">
        <v>5.82</v>
      </c>
      <c r="J288">
        <v>1</v>
      </c>
      <c r="K288">
        <f t="shared" si="8"/>
        <v>1.9193857965451055E-3</v>
      </c>
      <c r="L288">
        <f t="shared" si="9"/>
        <v>0.548944337811901</v>
      </c>
    </row>
    <row r="289" spans="1:12" x14ac:dyDescent="0.25">
      <c r="A289" s="3">
        <v>2.1</v>
      </c>
      <c r="I289" s="3">
        <v>5.85</v>
      </c>
      <c r="J289">
        <v>1</v>
      </c>
      <c r="K289">
        <f t="shared" si="8"/>
        <v>1.9193857965451055E-3</v>
      </c>
      <c r="L289">
        <f t="shared" si="9"/>
        <v>0.55086372360844615</v>
      </c>
    </row>
    <row r="290" spans="1:12" x14ac:dyDescent="0.25">
      <c r="A290" s="3">
        <v>2.0299999999999998</v>
      </c>
      <c r="I290" s="3">
        <v>5.85</v>
      </c>
      <c r="J290">
        <v>1</v>
      </c>
      <c r="K290">
        <f t="shared" si="8"/>
        <v>1.9193857965451055E-3</v>
      </c>
      <c r="L290">
        <f t="shared" si="9"/>
        <v>0.55278310940499131</v>
      </c>
    </row>
    <row r="291" spans="1:12" x14ac:dyDescent="0.25">
      <c r="A291" s="3">
        <v>10.1</v>
      </c>
      <c r="I291" s="3">
        <v>5.91</v>
      </c>
      <c r="J291">
        <v>1</v>
      </c>
      <c r="K291">
        <f t="shared" si="8"/>
        <v>1.9193857965451055E-3</v>
      </c>
      <c r="L291">
        <f t="shared" si="9"/>
        <v>0.55470249520153647</v>
      </c>
    </row>
    <row r="292" spans="1:12" x14ac:dyDescent="0.25">
      <c r="A292" s="3">
        <v>0.81</v>
      </c>
      <c r="I292" s="3">
        <v>5.93</v>
      </c>
      <c r="J292">
        <v>1</v>
      </c>
      <c r="K292">
        <f t="shared" si="8"/>
        <v>1.9193857965451055E-3</v>
      </c>
      <c r="L292">
        <f t="shared" si="9"/>
        <v>0.55662188099808163</v>
      </c>
    </row>
    <row r="293" spans="1:12" x14ac:dyDescent="0.25">
      <c r="A293" s="3">
        <v>18.03</v>
      </c>
      <c r="I293" s="3">
        <v>5.97</v>
      </c>
      <c r="J293">
        <v>1</v>
      </c>
      <c r="K293">
        <f t="shared" si="8"/>
        <v>1.9193857965451055E-3</v>
      </c>
      <c r="L293">
        <f t="shared" si="9"/>
        <v>0.55854126679462679</v>
      </c>
    </row>
    <row r="294" spans="1:12" x14ac:dyDescent="0.25">
      <c r="A294" s="3">
        <v>9.0299999999999994</v>
      </c>
      <c r="I294" s="3">
        <v>6.01</v>
      </c>
      <c r="J294">
        <v>1</v>
      </c>
      <c r="K294">
        <f t="shared" si="8"/>
        <v>1.9193857965451055E-3</v>
      </c>
      <c r="L294">
        <f t="shared" si="9"/>
        <v>0.56046065259117195</v>
      </c>
    </row>
    <row r="295" spans="1:12" x14ac:dyDescent="0.25">
      <c r="A295" s="3">
        <v>2.08</v>
      </c>
      <c r="I295" s="3">
        <v>6.01</v>
      </c>
      <c r="J295">
        <v>1</v>
      </c>
      <c r="K295">
        <f t="shared" si="8"/>
        <v>1.9193857965451055E-3</v>
      </c>
      <c r="L295">
        <f t="shared" si="9"/>
        <v>0.56238003838771711</v>
      </c>
    </row>
    <row r="296" spans="1:12" x14ac:dyDescent="0.25">
      <c r="A296" s="3">
        <v>56.93</v>
      </c>
      <c r="I296" s="3">
        <v>6.02</v>
      </c>
      <c r="J296">
        <v>1</v>
      </c>
      <c r="K296">
        <f t="shared" si="8"/>
        <v>1.9193857965451055E-3</v>
      </c>
      <c r="L296">
        <f t="shared" si="9"/>
        <v>0.56429942418426227</v>
      </c>
    </row>
    <row r="297" spans="1:12" x14ac:dyDescent="0.25">
      <c r="A297" s="3">
        <v>42.75</v>
      </c>
      <c r="I297" s="3">
        <v>6.03</v>
      </c>
      <c r="J297">
        <v>1</v>
      </c>
      <c r="K297">
        <f t="shared" si="8"/>
        <v>1.9193857965451055E-3</v>
      </c>
      <c r="L297">
        <f t="shared" si="9"/>
        <v>0.56621880998080742</v>
      </c>
    </row>
    <row r="298" spans="1:12" x14ac:dyDescent="0.25">
      <c r="A298" s="3">
        <v>1.9</v>
      </c>
      <c r="I298" s="3">
        <v>6.12</v>
      </c>
      <c r="J298">
        <v>1</v>
      </c>
      <c r="K298">
        <f t="shared" si="8"/>
        <v>1.9193857965451055E-3</v>
      </c>
      <c r="L298">
        <f t="shared" si="9"/>
        <v>0.56813819577735258</v>
      </c>
    </row>
    <row r="299" spans="1:12" x14ac:dyDescent="0.25">
      <c r="A299" s="3">
        <v>3.11</v>
      </c>
      <c r="I299" s="3">
        <v>6.12</v>
      </c>
      <c r="J299">
        <v>1</v>
      </c>
      <c r="K299">
        <f t="shared" si="8"/>
        <v>1.9193857965451055E-3</v>
      </c>
      <c r="L299">
        <f t="shared" si="9"/>
        <v>0.57005758157389774</v>
      </c>
    </row>
    <row r="300" spans="1:12" x14ac:dyDescent="0.25">
      <c r="A300" s="3">
        <v>21.84</v>
      </c>
      <c r="I300" s="3">
        <v>6.13</v>
      </c>
      <c r="J300">
        <v>1</v>
      </c>
      <c r="K300">
        <f t="shared" si="8"/>
        <v>1.9193857965451055E-3</v>
      </c>
      <c r="L300">
        <f t="shared" si="9"/>
        <v>0.5719769673704429</v>
      </c>
    </row>
    <row r="301" spans="1:12" x14ac:dyDescent="0.25">
      <c r="A301" s="3">
        <v>0.09</v>
      </c>
      <c r="I301" s="3">
        <v>6.15</v>
      </c>
      <c r="J301">
        <v>1</v>
      </c>
      <c r="K301">
        <f t="shared" si="8"/>
        <v>1.9193857965451055E-3</v>
      </c>
      <c r="L301">
        <f t="shared" si="9"/>
        <v>0.57389635316698806</v>
      </c>
    </row>
    <row r="302" spans="1:12" x14ac:dyDescent="0.25">
      <c r="A302" s="3">
        <v>30.06</v>
      </c>
      <c r="I302" s="3">
        <v>6.15</v>
      </c>
      <c r="J302">
        <v>1</v>
      </c>
      <c r="K302">
        <f t="shared" si="8"/>
        <v>1.9193857965451055E-3</v>
      </c>
      <c r="L302">
        <f t="shared" si="9"/>
        <v>0.57581573896353322</v>
      </c>
    </row>
    <row r="303" spans="1:12" x14ac:dyDescent="0.25">
      <c r="A303" s="3">
        <v>0.97</v>
      </c>
      <c r="I303" s="3">
        <v>6.16</v>
      </c>
      <c r="J303">
        <v>1</v>
      </c>
      <c r="K303">
        <f t="shared" si="8"/>
        <v>1.9193857965451055E-3</v>
      </c>
      <c r="L303">
        <f t="shared" si="9"/>
        <v>0.57773512476007838</v>
      </c>
    </row>
    <row r="304" spans="1:12" x14ac:dyDescent="0.25">
      <c r="A304" s="3">
        <v>3.91</v>
      </c>
      <c r="I304" s="3">
        <v>6.18</v>
      </c>
      <c r="J304">
        <v>1</v>
      </c>
      <c r="K304">
        <f t="shared" si="8"/>
        <v>1.9193857965451055E-3</v>
      </c>
      <c r="L304">
        <f t="shared" si="9"/>
        <v>0.57965451055662354</v>
      </c>
    </row>
    <row r="305" spans="1:12" x14ac:dyDescent="0.25">
      <c r="A305" s="3">
        <v>2.08</v>
      </c>
      <c r="I305" s="3">
        <v>6.26</v>
      </c>
      <c r="J305">
        <v>1</v>
      </c>
      <c r="K305">
        <f t="shared" si="8"/>
        <v>1.9193857965451055E-3</v>
      </c>
      <c r="L305">
        <f t="shared" si="9"/>
        <v>0.5815738963531687</v>
      </c>
    </row>
    <row r="306" spans="1:12" x14ac:dyDescent="0.25">
      <c r="A306" s="3">
        <v>8.8000000000000007</v>
      </c>
      <c r="I306" s="3">
        <v>6.39</v>
      </c>
      <c r="J306">
        <v>1</v>
      </c>
      <c r="K306">
        <f t="shared" si="8"/>
        <v>1.9193857965451055E-3</v>
      </c>
      <c r="L306">
        <f t="shared" si="9"/>
        <v>0.58349328214971385</v>
      </c>
    </row>
    <row r="307" spans="1:12" x14ac:dyDescent="0.25">
      <c r="A307" s="3">
        <v>1.0900000000000001</v>
      </c>
      <c r="I307" s="3">
        <v>6.43</v>
      </c>
      <c r="J307">
        <v>1</v>
      </c>
      <c r="K307">
        <f t="shared" si="8"/>
        <v>1.9193857965451055E-3</v>
      </c>
      <c r="L307">
        <f t="shared" si="9"/>
        <v>0.58541266794625901</v>
      </c>
    </row>
    <row r="308" spans="1:12" x14ac:dyDescent="0.25">
      <c r="A308" s="3">
        <v>2.0299999999999998</v>
      </c>
      <c r="I308" s="3">
        <v>6.48</v>
      </c>
      <c r="J308">
        <v>1</v>
      </c>
      <c r="K308">
        <f t="shared" si="8"/>
        <v>1.9193857965451055E-3</v>
      </c>
      <c r="L308">
        <f t="shared" si="9"/>
        <v>0.58733205374280417</v>
      </c>
    </row>
    <row r="309" spans="1:12" x14ac:dyDescent="0.25">
      <c r="A309" s="3">
        <v>8.84</v>
      </c>
      <c r="I309" s="3">
        <v>6.62</v>
      </c>
      <c r="J309">
        <v>1</v>
      </c>
      <c r="K309">
        <f t="shared" si="8"/>
        <v>1.9193857965451055E-3</v>
      </c>
      <c r="L309">
        <f t="shared" si="9"/>
        <v>0.58925143953934933</v>
      </c>
    </row>
    <row r="310" spans="1:12" x14ac:dyDescent="0.25">
      <c r="A310" s="3">
        <v>2.87</v>
      </c>
      <c r="I310" s="3">
        <v>6.65</v>
      </c>
      <c r="J310">
        <v>1</v>
      </c>
      <c r="K310">
        <f t="shared" si="8"/>
        <v>1.9193857965451055E-3</v>
      </c>
      <c r="L310">
        <f t="shared" si="9"/>
        <v>0.59117082533589449</v>
      </c>
    </row>
    <row r="311" spans="1:12" x14ac:dyDescent="0.25">
      <c r="A311" s="3">
        <v>3.07</v>
      </c>
      <c r="I311" s="3">
        <v>6.67</v>
      </c>
      <c r="J311">
        <v>1</v>
      </c>
      <c r="K311">
        <f t="shared" si="8"/>
        <v>1.9193857965451055E-3</v>
      </c>
      <c r="L311">
        <f t="shared" si="9"/>
        <v>0.59309021113243965</v>
      </c>
    </row>
    <row r="312" spans="1:12" x14ac:dyDescent="0.25">
      <c r="A312" s="3">
        <v>14.92</v>
      </c>
      <c r="I312" s="3">
        <v>6.72</v>
      </c>
      <c r="J312">
        <v>1</v>
      </c>
      <c r="K312">
        <f t="shared" si="8"/>
        <v>1.9193857965451055E-3</v>
      </c>
      <c r="L312">
        <f t="shared" si="9"/>
        <v>0.59500959692898481</v>
      </c>
    </row>
    <row r="313" spans="1:12" x14ac:dyDescent="0.25">
      <c r="A313" s="3">
        <v>6.96</v>
      </c>
      <c r="I313" s="3">
        <v>6.75</v>
      </c>
      <c r="J313">
        <v>1</v>
      </c>
      <c r="K313">
        <f t="shared" si="8"/>
        <v>1.9193857965451055E-3</v>
      </c>
      <c r="L313">
        <f t="shared" si="9"/>
        <v>0.59692898272552997</v>
      </c>
    </row>
    <row r="314" spans="1:12" x14ac:dyDescent="0.25">
      <c r="A314" s="3">
        <v>2.96</v>
      </c>
      <c r="I314" s="3">
        <v>6.78</v>
      </c>
      <c r="J314">
        <v>1</v>
      </c>
      <c r="K314">
        <f t="shared" si="8"/>
        <v>1.9193857965451055E-3</v>
      </c>
      <c r="L314">
        <f t="shared" si="9"/>
        <v>0.59884836852207513</v>
      </c>
    </row>
    <row r="315" spans="1:12" x14ac:dyDescent="0.25">
      <c r="A315" s="3">
        <v>9.9700000000000006</v>
      </c>
      <c r="I315" s="3">
        <v>6.79</v>
      </c>
      <c r="J315">
        <v>1</v>
      </c>
      <c r="K315">
        <f t="shared" si="8"/>
        <v>1.9193857965451055E-3</v>
      </c>
      <c r="L315">
        <f t="shared" si="9"/>
        <v>0.60076775431862028</v>
      </c>
    </row>
    <row r="316" spans="1:12" x14ac:dyDescent="0.25">
      <c r="A316" s="3">
        <v>2.97</v>
      </c>
      <c r="I316" s="3">
        <v>6.83</v>
      </c>
      <c r="J316">
        <v>1</v>
      </c>
      <c r="K316">
        <f t="shared" si="8"/>
        <v>1.9193857965451055E-3</v>
      </c>
      <c r="L316">
        <f t="shared" si="9"/>
        <v>0.60268714011516544</v>
      </c>
    </row>
    <row r="317" spans="1:12" x14ac:dyDescent="0.25">
      <c r="A317" s="3">
        <v>3.02</v>
      </c>
      <c r="I317" s="3">
        <v>6.84</v>
      </c>
      <c r="J317">
        <v>1</v>
      </c>
      <c r="K317">
        <f t="shared" si="8"/>
        <v>1.9193857965451055E-3</v>
      </c>
      <c r="L317">
        <f t="shared" si="9"/>
        <v>0.6046065259117106</v>
      </c>
    </row>
    <row r="318" spans="1:12" x14ac:dyDescent="0.25">
      <c r="A318" s="3">
        <v>2.95</v>
      </c>
      <c r="I318" s="3">
        <v>6.86</v>
      </c>
      <c r="J318">
        <v>1</v>
      </c>
      <c r="K318">
        <f t="shared" si="8"/>
        <v>1.9193857965451055E-3</v>
      </c>
      <c r="L318">
        <f t="shared" si="9"/>
        <v>0.60652591170825576</v>
      </c>
    </row>
    <row r="319" spans="1:12" x14ac:dyDescent="0.25">
      <c r="A319" s="3">
        <v>6.72</v>
      </c>
      <c r="I319" s="3">
        <v>6.88</v>
      </c>
      <c r="J319">
        <v>1</v>
      </c>
      <c r="K319">
        <f t="shared" si="8"/>
        <v>1.9193857965451055E-3</v>
      </c>
      <c r="L319">
        <f t="shared" si="9"/>
        <v>0.60844529750480092</v>
      </c>
    </row>
    <row r="320" spans="1:12" x14ac:dyDescent="0.25">
      <c r="A320" s="3">
        <v>3.05</v>
      </c>
      <c r="I320" s="3">
        <v>6.93</v>
      </c>
      <c r="J320">
        <v>1</v>
      </c>
      <c r="K320">
        <f t="shared" si="8"/>
        <v>1.9193857965451055E-3</v>
      </c>
      <c r="L320">
        <f t="shared" si="9"/>
        <v>0.61036468330134608</v>
      </c>
    </row>
    <row r="321" spans="1:12" x14ac:dyDescent="0.25">
      <c r="A321" s="3">
        <v>0.83</v>
      </c>
      <c r="I321" s="3">
        <v>6.93</v>
      </c>
      <c r="J321">
        <v>1</v>
      </c>
      <c r="K321">
        <f t="shared" si="8"/>
        <v>1.9193857965451055E-3</v>
      </c>
      <c r="L321">
        <f t="shared" si="9"/>
        <v>0.61228406909789124</v>
      </c>
    </row>
    <row r="322" spans="1:12" x14ac:dyDescent="0.25">
      <c r="A322" s="3">
        <v>2.99</v>
      </c>
      <c r="I322" s="3">
        <v>6.94</v>
      </c>
      <c r="J322">
        <v>1</v>
      </c>
      <c r="K322">
        <f t="shared" si="8"/>
        <v>1.9193857965451055E-3</v>
      </c>
      <c r="L322">
        <f t="shared" si="9"/>
        <v>0.6142034548944364</v>
      </c>
    </row>
    <row r="323" spans="1:12" x14ac:dyDescent="0.25">
      <c r="A323" s="3">
        <v>8.0399999999999991</v>
      </c>
      <c r="I323" s="3">
        <v>6.96</v>
      </c>
      <c r="J323">
        <v>1</v>
      </c>
      <c r="K323">
        <f t="shared" si="8"/>
        <v>1.9193857965451055E-3</v>
      </c>
      <c r="L323">
        <f t="shared" si="9"/>
        <v>0.61612284069098155</v>
      </c>
    </row>
    <row r="324" spans="1:12" x14ac:dyDescent="0.25">
      <c r="A324" s="3">
        <v>27.77</v>
      </c>
      <c r="I324" s="3">
        <v>6.99</v>
      </c>
      <c r="J324">
        <v>1</v>
      </c>
      <c r="K324">
        <f t="shared" ref="K324:K387" si="10">J324/$C$16</f>
        <v>1.9193857965451055E-3</v>
      </c>
      <c r="L324">
        <f t="shared" si="9"/>
        <v>0.61804222648752671</v>
      </c>
    </row>
    <row r="325" spans="1:12" x14ac:dyDescent="0.25">
      <c r="A325" s="3">
        <v>0.68</v>
      </c>
      <c r="I325" s="3">
        <v>7.03</v>
      </c>
      <c r="J325">
        <v>1</v>
      </c>
      <c r="K325">
        <f t="shared" si="10"/>
        <v>1.9193857965451055E-3</v>
      </c>
      <c r="L325">
        <f t="shared" ref="L325:L388" si="11">L324+K325</f>
        <v>0.61996161228407187</v>
      </c>
    </row>
    <row r="326" spans="1:12" x14ac:dyDescent="0.25">
      <c r="A326" s="3">
        <v>16.96</v>
      </c>
      <c r="I326" s="3">
        <v>7.04</v>
      </c>
      <c r="J326">
        <v>1</v>
      </c>
      <c r="K326">
        <f t="shared" si="10"/>
        <v>1.9193857965451055E-3</v>
      </c>
      <c r="L326">
        <f t="shared" si="11"/>
        <v>0.62188099808061703</v>
      </c>
    </row>
    <row r="327" spans="1:12" x14ac:dyDescent="0.25">
      <c r="A327" s="3">
        <v>3.03</v>
      </c>
      <c r="I327" s="3">
        <v>7.05</v>
      </c>
      <c r="J327">
        <v>1</v>
      </c>
      <c r="K327">
        <f t="shared" si="10"/>
        <v>1.9193857965451055E-3</v>
      </c>
      <c r="L327">
        <f t="shared" si="11"/>
        <v>0.62380038387716219</v>
      </c>
    </row>
    <row r="328" spans="1:12" x14ac:dyDescent="0.25">
      <c r="A328" s="3">
        <v>1.07</v>
      </c>
      <c r="I328" s="3">
        <v>7.05</v>
      </c>
      <c r="J328">
        <v>1</v>
      </c>
      <c r="K328">
        <f t="shared" si="10"/>
        <v>1.9193857965451055E-3</v>
      </c>
      <c r="L328">
        <f t="shared" si="11"/>
        <v>0.62571976967370735</v>
      </c>
    </row>
    <row r="329" spans="1:12" x14ac:dyDescent="0.25">
      <c r="A329" s="3">
        <v>9.83</v>
      </c>
      <c r="I329" s="3">
        <v>7.09</v>
      </c>
      <c r="J329">
        <v>1</v>
      </c>
      <c r="K329">
        <f t="shared" si="10"/>
        <v>1.9193857965451055E-3</v>
      </c>
      <c r="L329">
        <f t="shared" si="11"/>
        <v>0.62763915547025251</v>
      </c>
    </row>
    <row r="330" spans="1:12" x14ac:dyDescent="0.25">
      <c r="A330" s="3">
        <v>0.91</v>
      </c>
      <c r="I330" s="3">
        <v>7.1</v>
      </c>
      <c r="J330">
        <v>1</v>
      </c>
      <c r="K330">
        <f t="shared" si="10"/>
        <v>1.9193857965451055E-3</v>
      </c>
      <c r="L330">
        <f t="shared" si="11"/>
        <v>0.62955854126679767</v>
      </c>
    </row>
    <row r="331" spans="1:12" x14ac:dyDescent="0.25">
      <c r="A331" s="3">
        <v>0.06</v>
      </c>
      <c r="I331" s="3">
        <v>7.12</v>
      </c>
      <c r="J331">
        <v>1</v>
      </c>
      <c r="K331">
        <f t="shared" si="10"/>
        <v>1.9193857965451055E-3</v>
      </c>
      <c r="L331">
        <f t="shared" si="11"/>
        <v>0.63147792706334283</v>
      </c>
    </row>
    <row r="332" spans="1:12" x14ac:dyDescent="0.25">
      <c r="A332" s="3">
        <v>7.89</v>
      </c>
      <c r="I332" s="3">
        <v>7.14</v>
      </c>
      <c r="J332">
        <v>1</v>
      </c>
      <c r="K332">
        <f t="shared" si="10"/>
        <v>1.9193857965451055E-3</v>
      </c>
      <c r="L332">
        <f t="shared" si="11"/>
        <v>0.63339731285988798</v>
      </c>
    </row>
    <row r="333" spans="1:12" x14ac:dyDescent="0.25">
      <c r="A333" s="3">
        <v>3.96</v>
      </c>
      <c r="I333" s="3">
        <v>7.19</v>
      </c>
      <c r="J333">
        <v>1</v>
      </c>
      <c r="K333">
        <f t="shared" si="10"/>
        <v>1.9193857965451055E-3</v>
      </c>
      <c r="L333">
        <f t="shared" si="11"/>
        <v>0.63531669865643314</v>
      </c>
    </row>
    <row r="334" spans="1:12" x14ac:dyDescent="0.25">
      <c r="A334" s="3">
        <v>0.86</v>
      </c>
      <c r="I334" s="3">
        <v>7.25</v>
      </c>
      <c r="J334">
        <v>1</v>
      </c>
      <c r="K334">
        <f t="shared" si="10"/>
        <v>1.9193857965451055E-3</v>
      </c>
      <c r="L334">
        <f t="shared" si="11"/>
        <v>0.6372360844529783</v>
      </c>
    </row>
    <row r="335" spans="1:12" x14ac:dyDescent="0.25">
      <c r="A335" s="3">
        <v>9.8699999999999992</v>
      </c>
      <c r="I335" s="3">
        <v>7.37</v>
      </c>
      <c r="J335">
        <v>1</v>
      </c>
      <c r="K335">
        <f t="shared" si="10"/>
        <v>1.9193857965451055E-3</v>
      </c>
      <c r="L335">
        <f t="shared" si="11"/>
        <v>0.63915547024952346</v>
      </c>
    </row>
    <row r="336" spans="1:12" x14ac:dyDescent="0.25">
      <c r="A336" s="3">
        <v>2.79</v>
      </c>
      <c r="I336" s="3">
        <v>7.58</v>
      </c>
      <c r="J336">
        <v>1</v>
      </c>
      <c r="K336">
        <f t="shared" si="10"/>
        <v>1.9193857965451055E-3</v>
      </c>
      <c r="L336">
        <f t="shared" si="11"/>
        <v>0.64107485604606862</v>
      </c>
    </row>
    <row r="337" spans="1:12" x14ac:dyDescent="0.25">
      <c r="A337" s="3">
        <v>0.77</v>
      </c>
      <c r="I337" s="3">
        <v>7.63</v>
      </c>
      <c r="J337">
        <v>1</v>
      </c>
      <c r="K337">
        <f t="shared" si="10"/>
        <v>1.9193857965451055E-3</v>
      </c>
      <c r="L337">
        <f t="shared" si="11"/>
        <v>0.64299424184261378</v>
      </c>
    </row>
    <row r="338" spans="1:12" x14ac:dyDescent="0.25">
      <c r="A338" s="3">
        <v>0.77</v>
      </c>
      <c r="I338" s="3">
        <v>7.86</v>
      </c>
      <c r="J338">
        <v>1</v>
      </c>
      <c r="K338">
        <f t="shared" si="10"/>
        <v>1.9193857965451055E-3</v>
      </c>
      <c r="L338">
        <f t="shared" si="11"/>
        <v>0.64491362763915894</v>
      </c>
    </row>
    <row r="339" spans="1:12" x14ac:dyDescent="0.25">
      <c r="A339" s="3">
        <v>0.9</v>
      </c>
      <c r="I339" s="3">
        <v>7.86</v>
      </c>
      <c r="J339">
        <v>1</v>
      </c>
      <c r="K339">
        <f t="shared" si="10"/>
        <v>1.9193857965451055E-3</v>
      </c>
      <c r="L339">
        <f t="shared" si="11"/>
        <v>0.6468330134357041</v>
      </c>
    </row>
    <row r="340" spans="1:12" x14ac:dyDescent="0.25">
      <c r="A340" s="3">
        <v>1.98</v>
      </c>
      <c r="I340" s="3">
        <v>7.89</v>
      </c>
      <c r="J340">
        <v>1</v>
      </c>
      <c r="K340">
        <f t="shared" si="10"/>
        <v>1.9193857965451055E-3</v>
      </c>
      <c r="L340">
        <f t="shared" si="11"/>
        <v>0.64875239923224925</v>
      </c>
    </row>
    <row r="341" spans="1:12" x14ac:dyDescent="0.25">
      <c r="A341" s="3">
        <v>0.93</v>
      </c>
      <c r="I341" s="3">
        <v>8</v>
      </c>
      <c r="J341">
        <v>1</v>
      </c>
      <c r="K341">
        <f t="shared" si="10"/>
        <v>1.9193857965451055E-3</v>
      </c>
      <c r="L341">
        <f t="shared" si="11"/>
        <v>0.65067178502879441</v>
      </c>
    </row>
    <row r="342" spans="1:12" x14ac:dyDescent="0.25">
      <c r="A342" s="3">
        <v>9.76</v>
      </c>
      <c r="I342" s="3">
        <v>8.0399999999999991</v>
      </c>
      <c r="J342">
        <v>1</v>
      </c>
      <c r="K342">
        <f t="shared" si="10"/>
        <v>1.9193857965451055E-3</v>
      </c>
      <c r="L342">
        <f t="shared" si="11"/>
        <v>0.65259117082533957</v>
      </c>
    </row>
    <row r="343" spans="1:12" x14ac:dyDescent="0.25">
      <c r="A343" s="3">
        <v>0</v>
      </c>
      <c r="I343" s="3">
        <v>8.16</v>
      </c>
      <c r="J343">
        <v>1</v>
      </c>
      <c r="K343">
        <f t="shared" si="10"/>
        <v>1.9193857965451055E-3</v>
      </c>
      <c r="L343">
        <f t="shared" si="11"/>
        <v>0.65451055662188473</v>
      </c>
    </row>
    <row r="344" spans="1:12" x14ac:dyDescent="0.25">
      <c r="A344" s="3">
        <v>0.9</v>
      </c>
      <c r="I344" s="3">
        <v>8.17</v>
      </c>
      <c r="J344">
        <v>1</v>
      </c>
      <c r="K344">
        <f t="shared" si="10"/>
        <v>1.9193857965451055E-3</v>
      </c>
      <c r="L344">
        <f t="shared" si="11"/>
        <v>0.65642994241842989</v>
      </c>
    </row>
    <row r="345" spans="1:12" x14ac:dyDescent="0.25">
      <c r="A345" s="3">
        <v>16.71</v>
      </c>
      <c r="I345" s="3">
        <v>8.19</v>
      </c>
      <c r="J345">
        <v>1</v>
      </c>
      <c r="K345">
        <f t="shared" si="10"/>
        <v>1.9193857965451055E-3</v>
      </c>
      <c r="L345">
        <f t="shared" si="11"/>
        <v>0.65834932821497505</v>
      </c>
    </row>
    <row r="346" spans="1:12" x14ac:dyDescent="0.25">
      <c r="A346" s="3">
        <v>2.85</v>
      </c>
      <c r="I346" s="3">
        <v>8.31</v>
      </c>
      <c r="J346">
        <v>1</v>
      </c>
      <c r="K346">
        <f t="shared" si="10"/>
        <v>1.9193857965451055E-3</v>
      </c>
      <c r="L346">
        <f t="shared" si="11"/>
        <v>0.66026871401152021</v>
      </c>
    </row>
    <row r="347" spans="1:12" x14ac:dyDescent="0.25">
      <c r="A347" s="3">
        <v>14.83</v>
      </c>
      <c r="I347" s="3">
        <v>8.39</v>
      </c>
      <c r="J347">
        <v>1</v>
      </c>
      <c r="K347">
        <f t="shared" si="10"/>
        <v>1.9193857965451055E-3</v>
      </c>
      <c r="L347">
        <f t="shared" si="11"/>
        <v>0.66218809980806537</v>
      </c>
    </row>
    <row r="348" spans="1:12" x14ac:dyDescent="0.25">
      <c r="A348" s="3">
        <v>20.72</v>
      </c>
      <c r="I348" s="3">
        <v>8.8000000000000007</v>
      </c>
      <c r="J348">
        <v>1</v>
      </c>
      <c r="K348">
        <f t="shared" si="10"/>
        <v>1.9193857965451055E-3</v>
      </c>
      <c r="L348">
        <f t="shared" si="11"/>
        <v>0.66410748560461053</v>
      </c>
    </row>
    <row r="349" spans="1:12" x14ac:dyDescent="0.25">
      <c r="A349" s="3">
        <v>0.84</v>
      </c>
      <c r="I349" s="3">
        <v>8.81</v>
      </c>
      <c r="J349">
        <v>1</v>
      </c>
      <c r="K349">
        <f t="shared" si="10"/>
        <v>1.9193857965451055E-3</v>
      </c>
      <c r="L349">
        <f t="shared" si="11"/>
        <v>0.66602687140115568</v>
      </c>
    </row>
    <row r="350" spans="1:12" x14ac:dyDescent="0.25">
      <c r="A350" s="3">
        <v>6.99</v>
      </c>
      <c r="I350" s="3">
        <v>8.84</v>
      </c>
      <c r="J350">
        <v>1</v>
      </c>
      <c r="K350">
        <f t="shared" si="10"/>
        <v>1.9193857965451055E-3</v>
      </c>
      <c r="L350">
        <f t="shared" si="11"/>
        <v>0.66794625719770084</v>
      </c>
    </row>
    <row r="351" spans="1:12" x14ac:dyDescent="0.25">
      <c r="A351" s="3">
        <v>10.96</v>
      </c>
      <c r="I351" s="3">
        <v>8.8699999999999992</v>
      </c>
      <c r="J351">
        <v>1</v>
      </c>
      <c r="K351">
        <f t="shared" si="10"/>
        <v>1.9193857965451055E-3</v>
      </c>
      <c r="L351">
        <f t="shared" si="11"/>
        <v>0.669865642994246</v>
      </c>
    </row>
    <row r="352" spans="1:12" x14ac:dyDescent="0.25">
      <c r="A352" s="3">
        <v>1.99</v>
      </c>
      <c r="I352" s="3">
        <v>8.8699999999999992</v>
      </c>
      <c r="J352">
        <v>1</v>
      </c>
      <c r="K352">
        <f t="shared" si="10"/>
        <v>1.9193857965451055E-3</v>
      </c>
      <c r="L352">
        <f t="shared" si="11"/>
        <v>0.67178502879079116</v>
      </c>
    </row>
    <row r="353" spans="1:12" x14ac:dyDescent="0.25">
      <c r="A353" s="3">
        <v>0.71</v>
      </c>
      <c r="I353" s="3">
        <v>8.9</v>
      </c>
      <c r="J353">
        <v>1</v>
      </c>
      <c r="K353">
        <f t="shared" si="10"/>
        <v>1.9193857965451055E-3</v>
      </c>
      <c r="L353">
        <f t="shared" si="11"/>
        <v>0.67370441458733632</v>
      </c>
    </row>
    <row r="354" spans="1:12" x14ac:dyDescent="0.25">
      <c r="A354" s="3">
        <v>9.9700000000000006</v>
      </c>
      <c r="I354" s="3">
        <v>9.0299999999999994</v>
      </c>
      <c r="J354">
        <v>1</v>
      </c>
      <c r="K354">
        <f t="shared" si="10"/>
        <v>1.9193857965451055E-3</v>
      </c>
      <c r="L354">
        <f t="shared" si="11"/>
        <v>0.67562380038388148</v>
      </c>
    </row>
    <row r="355" spans="1:12" x14ac:dyDescent="0.25">
      <c r="A355" s="3">
        <v>10.02</v>
      </c>
      <c r="I355" s="3">
        <v>9.0299999999999994</v>
      </c>
      <c r="J355">
        <v>1</v>
      </c>
      <c r="K355">
        <f t="shared" si="10"/>
        <v>1.9193857965451055E-3</v>
      </c>
      <c r="L355">
        <f t="shared" si="11"/>
        <v>0.67754318618042664</v>
      </c>
    </row>
    <row r="356" spans="1:12" x14ac:dyDescent="0.25">
      <c r="A356" s="3">
        <v>15.91</v>
      </c>
      <c r="I356" s="3">
        <v>9.09</v>
      </c>
      <c r="J356">
        <v>1</v>
      </c>
      <c r="K356">
        <f t="shared" si="10"/>
        <v>1.9193857965451055E-3</v>
      </c>
      <c r="L356">
        <f t="shared" si="11"/>
        <v>0.6794625719769718</v>
      </c>
    </row>
    <row r="357" spans="1:12" x14ac:dyDescent="0.25">
      <c r="A357" s="3">
        <v>2.86</v>
      </c>
      <c r="I357" s="3">
        <v>9.1</v>
      </c>
      <c r="J357">
        <v>1</v>
      </c>
      <c r="K357">
        <f t="shared" si="10"/>
        <v>1.9193857965451055E-3</v>
      </c>
      <c r="L357">
        <f t="shared" si="11"/>
        <v>0.68138195777351696</v>
      </c>
    </row>
    <row r="358" spans="1:12" x14ac:dyDescent="0.25">
      <c r="A358" s="3">
        <v>0.74</v>
      </c>
      <c r="I358" s="3">
        <v>9.15</v>
      </c>
      <c r="J358">
        <v>1</v>
      </c>
      <c r="K358">
        <f t="shared" si="10"/>
        <v>1.9193857965451055E-3</v>
      </c>
      <c r="L358">
        <f t="shared" si="11"/>
        <v>0.68330134357006211</v>
      </c>
    </row>
    <row r="359" spans="1:12" x14ac:dyDescent="0.25">
      <c r="A359" s="3">
        <v>1.66</v>
      </c>
      <c r="I359" s="3">
        <v>9.25</v>
      </c>
      <c r="J359">
        <v>1</v>
      </c>
      <c r="K359">
        <f t="shared" si="10"/>
        <v>1.9193857965451055E-3</v>
      </c>
      <c r="L359">
        <f t="shared" si="11"/>
        <v>0.68522072936660727</v>
      </c>
    </row>
    <row r="360" spans="1:12" x14ac:dyDescent="0.25">
      <c r="A360" s="3">
        <v>0.91</v>
      </c>
      <c r="I360" s="3">
        <v>9.42</v>
      </c>
      <c r="J360">
        <v>1</v>
      </c>
      <c r="K360">
        <f t="shared" si="10"/>
        <v>1.9193857965451055E-3</v>
      </c>
      <c r="L360">
        <f t="shared" si="11"/>
        <v>0.68714011516315243</v>
      </c>
    </row>
    <row r="361" spans="1:12" x14ac:dyDescent="0.25">
      <c r="A361" s="3">
        <v>17.84</v>
      </c>
      <c r="I361" s="3">
        <v>9.43</v>
      </c>
      <c r="J361">
        <v>1</v>
      </c>
      <c r="K361">
        <f t="shared" si="10"/>
        <v>1.9193857965451055E-3</v>
      </c>
      <c r="L361">
        <f t="shared" si="11"/>
        <v>0.68905950095969759</v>
      </c>
    </row>
    <row r="362" spans="1:12" x14ac:dyDescent="0.25">
      <c r="A362" s="3">
        <v>0.73</v>
      </c>
      <c r="I362" s="3">
        <v>9.57</v>
      </c>
      <c r="J362">
        <v>1</v>
      </c>
      <c r="K362">
        <f t="shared" si="10"/>
        <v>1.9193857965451055E-3</v>
      </c>
      <c r="L362">
        <f t="shared" si="11"/>
        <v>0.69097888675624275</v>
      </c>
    </row>
    <row r="363" spans="1:12" x14ac:dyDescent="0.25">
      <c r="A363" s="3">
        <v>1.78</v>
      </c>
      <c r="I363" s="3">
        <v>9.6199999999999992</v>
      </c>
      <c r="J363">
        <v>1</v>
      </c>
      <c r="K363">
        <f t="shared" si="10"/>
        <v>1.9193857965451055E-3</v>
      </c>
      <c r="L363">
        <f t="shared" si="11"/>
        <v>0.69289827255278791</v>
      </c>
    </row>
    <row r="364" spans="1:12" x14ac:dyDescent="0.25">
      <c r="A364" s="3">
        <v>1.78</v>
      </c>
      <c r="I364" s="3">
        <v>9.68</v>
      </c>
      <c r="J364">
        <v>1</v>
      </c>
      <c r="K364">
        <f t="shared" si="10"/>
        <v>1.9193857965451055E-3</v>
      </c>
      <c r="L364">
        <f t="shared" si="11"/>
        <v>0.69481765834933307</v>
      </c>
    </row>
    <row r="365" spans="1:12" x14ac:dyDescent="0.25">
      <c r="A365" s="3">
        <v>0.73</v>
      </c>
      <c r="I365" s="3">
        <v>9.73</v>
      </c>
      <c r="J365">
        <v>1</v>
      </c>
      <c r="K365">
        <f t="shared" si="10"/>
        <v>1.9193857965451055E-3</v>
      </c>
      <c r="L365">
        <f t="shared" si="11"/>
        <v>0.69673704414587823</v>
      </c>
    </row>
    <row r="366" spans="1:12" x14ac:dyDescent="0.25">
      <c r="A366" s="3">
        <v>6.78</v>
      </c>
      <c r="I366" s="3">
        <v>9.76</v>
      </c>
      <c r="J366">
        <v>1</v>
      </c>
      <c r="K366">
        <f t="shared" si="10"/>
        <v>1.9193857965451055E-3</v>
      </c>
      <c r="L366">
        <f t="shared" si="11"/>
        <v>0.69865642994242338</v>
      </c>
    </row>
    <row r="367" spans="1:12" x14ac:dyDescent="0.25">
      <c r="A367" s="3">
        <v>29.81</v>
      </c>
      <c r="I367" s="3">
        <v>9.83</v>
      </c>
      <c r="J367">
        <v>1</v>
      </c>
      <c r="K367">
        <f t="shared" si="10"/>
        <v>1.9193857965451055E-3</v>
      </c>
      <c r="L367">
        <f t="shared" si="11"/>
        <v>0.70057581573896854</v>
      </c>
    </row>
    <row r="368" spans="1:12" x14ac:dyDescent="0.25">
      <c r="A368" s="3">
        <v>0.75</v>
      </c>
      <c r="I368" s="3">
        <v>9.8699999999999992</v>
      </c>
      <c r="J368">
        <v>1</v>
      </c>
      <c r="K368">
        <f t="shared" si="10"/>
        <v>1.9193857965451055E-3</v>
      </c>
      <c r="L368">
        <f t="shared" si="11"/>
        <v>0.7024952015355137</v>
      </c>
    </row>
    <row r="369" spans="1:12" x14ac:dyDescent="0.25">
      <c r="A369" s="3">
        <v>17.72</v>
      </c>
      <c r="I369" s="3">
        <v>9.92</v>
      </c>
      <c r="J369">
        <v>1</v>
      </c>
      <c r="K369">
        <f t="shared" si="10"/>
        <v>1.9193857965451055E-3</v>
      </c>
      <c r="L369">
        <f t="shared" si="11"/>
        <v>0.70441458733205886</v>
      </c>
    </row>
    <row r="370" spans="1:12" x14ac:dyDescent="0.25">
      <c r="A370" s="3">
        <v>9.68</v>
      </c>
      <c r="I370" s="3">
        <v>9.94</v>
      </c>
      <c r="J370">
        <v>1</v>
      </c>
      <c r="K370">
        <f t="shared" si="10"/>
        <v>1.9193857965451055E-3</v>
      </c>
      <c r="L370">
        <f t="shared" si="11"/>
        <v>0.70633397312860402</v>
      </c>
    </row>
    <row r="371" spans="1:12" x14ac:dyDescent="0.25">
      <c r="A371" s="3">
        <v>1.71</v>
      </c>
      <c r="I371" s="3">
        <v>9.94</v>
      </c>
      <c r="J371">
        <v>1</v>
      </c>
      <c r="K371">
        <f t="shared" si="10"/>
        <v>1.9193857965451055E-3</v>
      </c>
      <c r="L371">
        <f t="shared" si="11"/>
        <v>0.70825335892514918</v>
      </c>
    </row>
    <row r="372" spans="1:12" x14ac:dyDescent="0.25">
      <c r="A372" s="3">
        <v>27.91</v>
      </c>
      <c r="I372" s="3">
        <v>9.9600000000000009</v>
      </c>
      <c r="J372">
        <v>1</v>
      </c>
      <c r="K372">
        <f t="shared" si="10"/>
        <v>1.9193857965451055E-3</v>
      </c>
      <c r="L372">
        <f t="shared" si="11"/>
        <v>0.71017274472169434</v>
      </c>
    </row>
    <row r="373" spans="1:12" x14ac:dyDescent="0.25">
      <c r="A373" s="3">
        <v>21.62</v>
      </c>
      <c r="I373" s="3">
        <v>9.9700000000000006</v>
      </c>
      <c r="J373">
        <v>1</v>
      </c>
      <c r="K373">
        <f t="shared" si="10"/>
        <v>1.9193857965451055E-3</v>
      </c>
      <c r="L373">
        <f t="shared" si="11"/>
        <v>0.7120921305182395</v>
      </c>
    </row>
    <row r="374" spans="1:12" x14ac:dyDescent="0.25">
      <c r="A374" s="3">
        <v>17.59</v>
      </c>
      <c r="I374" s="3">
        <v>9.9700000000000006</v>
      </c>
      <c r="J374">
        <v>1</v>
      </c>
      <c r="K374">
        <f t="shared" si="10"/>
        <v>1.9193857965451055E-3</v>
      </c>
      <c r="L374">
        <f t="shared" si="11"/>
        <v>0.71401151631478466</v>
      </c>
    </row>
    <row r="375" spans="1:12" x14ac:dyDescent="0.25">
      <c r="A375" s="3">
        <v>57.85</v>
      </c>
      <c r="I375" s="3">
        <v>9.98</v>
      </c>
      <c r="J375">
        <v>1</v>
      </c>
      <c r="K375">
        <f t="shared" si="10"/>
        <v>1.9193857965451055E-3</v>
      </c>
      <c r="L375">
        <f t="shared" si="11"/>
        <v>0.71593090211132981</v>
      </c>
    </row>
    <row r="376" spans="1:12" x14ac:dyDescent="0.25">
      <c r="A376" s="3">
        <v>0.88</v>
      </c>
      <c r="I376" s="3">
        <v>9.99</v>
      </c>
      <c r="J376">
        <v>1</v>
      </c>
      <c r="K376">
        <f t="shared" si="10"/>
        <v>1.9193857965451055E-3</v>
      </c>
      <c r="L376">
        <f t="shared" si="11"/>
        <v>0.71785028790787497</v>
      </c>
    </row>
    <row r="377" spans="1:12" x14ac:dyDescent="0.25">
      <c r="A377" s="3">
        <v>0.86</v>
      </c>
      <c r="I377" s="3">
        <v>10.02</v>
      </c>
      <c r="J377">
        <v>1</v>
      </c>
      <c r="K377">
        <f t="shared" si="10"/>
        <v>1.9193857965451055E-3</v>
      </c>
      <c r="L377">
        <f t="shared" si="11"/>
        <v>0.71976967370442013</v>
      </c>
    </row>
    <row r="378" spans="1:12" x14ac:dyDescent="0.25">
      <c r="A378" s="3">
        <v>0.88</v>
      </c>
      <c r="I378" s="3">
        <v>10.1</v>
      </c>
      <c r="J378">
        <v>1</v>
      </c>
      <c r="K378">
        <f t="shared" si="10"/>
        <v>1.9193857965451055E-3</v>
      </c>
      <c r="L378">
        <f t="shared" si="11"/>
        <v>0.72168905950096529</v>
      </c>
    </row>
    <row r="379" spans="1:12" x14ac:dyDescent="0.25">
      <c r="A379" s="3">
        <v>0.7</v>
      </c>
      <c r="I379" s="3">
        <v>10.119999999999999</v>
      </c>
      <c r="J379">
        <v>1</v>
      </c>
      <c r="K379">
        <f t="shared" si="10"/>
        <v>1.9193857965451055E-3</v>
      </c>
      <c r="L379">
        <f t="shared" si="11"/>
        <v>0.72360844529751045</v>
      </c>
    </row>
    <row r="380" spans="1:12" x14ac:dyDescent="0.25">
      <c r="A380" s="3">
        <v>1.91</v>
      </c>
      <c r="I380" s="3">
        <v>10.199999999999999</v>
      </c>
      <c r="J380">
        <v>1</v>
      </c>
      <c r="K380">
        <f t="shared" si="10"/>
        <v>1.9193857965451055E-3</v>
      </c>
      <c r="L380">
        <f t="shared" si="11"/>
        <v>0.72552783109405561</v>
      </c>
    </row>
    <row r="381" spans="1:12" x14ac:dyDescent="0.25">
      <c r="A381" s="3">
        <v>0.7</v>
      </c>
      <c r="I381" s="3">
        <v>10.210000000000001</v>
      </c>
      <c r="J381">
        <v>1</v>
      </c>
      <c r="K381">
        <f t="shared" si="10"/>
        <v>1.9193857965451055E-3</v>
      </c>
      <c r="L381">
        <f t="shared" si="11"/>
        <v>0.72744721689060077</v>
      </c>
    </row>
    <row r="382" spans="1:12" x14ac:dyDescent="0.25">
      <c r="A382" s="3">
        <v>1.92</v>
      </c>
      <c r="I382" s="3">
        <v>10.220000000000001</v>
      </c>
      <c r="J382">
        <v>1</v>
      </c>
      <c r="K382">
        <f t="shared" si="10"/>
        <v>1.9193857965451055E-3</v>
      </c>
      <c r="L382">
        <f t="shared" si="11"/>
        <v>0.72936660268714593</v>
      </c>
    </row>
    <row r="383" spans="1:12" x14ac:dyDescent="0.25">
      <c r="A383" s="3">
        <v>0.85</v>
      </c>
      <c r="I383" s="3">
        <v>10.27</v>
      </c>
      <c r="J383">
        <v>1</v>
      </c>
      <c r="K383">
        <f t="shared" si="10"/>
        <v>1.9193857965451055E-3</v>
      </c>
      <c r="L383">
        <f t="shared" si="11"/>
        <v>0.73128598848369109</v>
      </c>
    </row>
    <row r="384" spans="1:12" x14ac:dyDescent="0.25">
      <c r="A384" s="3">
        <v>15.75</v>
      </c>
      <c r="I384" s="3">
        <v>10.73</v>
      </c>
      <c r="J384">
        <v>1</v>
      </c>
      <c r="K384">
        <f t="shared" si="10"/>
        <v>1.9193857965451055E-3</v>
      </c>
      <c r="L384">
        <f t="shared" si="11"/>
        <v>0.73320537428023624</v>
      </c>
    </row>
    <row r="385" spans="1:12" x14ac:dyDescent="0.25">
      <c r="A385" s="3">
        <v>1.86</v>
      </c>
      <c r="I385" s="3">
        <v>10.76</v>
      </c>
      <c r="J385">
        <v>1</v>
      </c>
      <c r="K385">
        <f t="shared" si="10"/>
        <v>1.9193857965451055E-3</v>
      </c>
      <c r="L385">
        <f t="shared" si="11"/>
        <v>0.7351247600767814</v>
      </c>
    </row>
    <row r="386" spans="1:12" x14ac:dyDescent="0.25">
      <c r="A386" s="3">
        <v>20.83</v>
      </c>
      <c r="I386" s="3">
        <v>10.96</v>
      </c>
      <c r="J386">
        <v>1</v>
      </c>
      <c r="K386">
        <f t="shared" si="10"/>
        <v>1.9193857965451055E-3</v>
      </c>
      <c r="L386">
        <f t="shared" si="11"/>
        <v>0.73704414587332656</v>
      </c>
    </row>
    <row r="387" spans="1:12" x14ac:dyDescent="0.25">
      <c r="A387" s="3">
        <v>0.67</v>
      </c>
      <c r="I387" s="3">
        <v>10.96</v>
      </c>
      <c r="J387">
        <v>1</v>
      </c>
      <c r="K387">
        <f t="shared" si="10"/>
        <v>1.9193857965451055E-3</v>
      </c>
      <c r="L387">
        <f t="shared" si="11"/>
        <v>0.73896353166987172</v>
      </c>
    </row>
    <row r="388" spans="1:12" x14ac:dyDescent="0.25">
      <c r="A388" s="3">
        <v>8.81</v>
      </c>
      <c r="I388" s="3">
        <v>11.01</v>
      </c>
      <c r="J388">
        <v>1</v>
      </c>
      <c r="K388">
        <f t="shared" ref="K388:K451" si="12">J388/$C$16</f>
        <v>1.9193857965451055E-3</v>
      </c>
      <c r="L388">
        <f t="shared" si="11"/>
        <v>0.74088291746641688</v>
      </c>
    </row>
    <row r="389" spans="1:12" x14ac:dyDescent="0.25">
      <c r="A389" s="3">
        <v>23.66</v>
      </c>
      <c r="I389" s="3">
        <v>11.01</v>
      </c>
      <c r="J389">
        <v>1</v>
      </c>
      <c r="K389">
        <f t="shared" si="12"/>
        <v>1.9193857965451055E-3</v>
      </c>
      <c r="L389">
        <f t="shared" ref="L389:L452" si="13">L388+K389</f>
        <v>0.74280230326296204</v>
      </c>
    </row>
    <row r="390" spans="1:12" x14ac:dyDescent="0.25">
      <c r="A390" s="3">
        <v>0.67</v>
      </c>
      <c r="I390" s="3">
        <v>11.05</v>
      </c>
      <c r="J390">
        <v>1</v>
      </c>
      <c r="K390">
        <f t="shared" si="12"/>
        <v>1.9193857965451055E-3</v>
      </c>
      <c r="L390">
        <f t="shared" si="13"/>
        <v>0.7447216890595072</v>
      </c>
    </row>
    <row r="391" spans="1:12" x14ac:dyDescent="0.25">
      <c r="A391" s="3">
        <v>9.57</v>
      </c>
      <c r="I391" s="3">
        <v>11.27</v>
      </c>
      <c r="J391">
        <v>1</v>
      </c>
      <c r="K391">
        <f t="shared" si="12"/>
        <v>1.9193857965451055E-3</v>
      </c>
      <c r="L391">
        <f t="shared" si="13"/>
        <v>0.74664107485605236</v>
      </c>
    </row>
    <row r="392" spans="1:12" x14ac:dyDescent="0.25">
      <c r="A392" s="3">
        <v>0</v>
      </c>
      <c r="I392" s="3">
        <v>11.3</v>
      </c>
      <c r="J392">
        <v>1</v>
      </c>
      <c r="K392">
        <f t="shared" si="12"/>
        <v>1.9193857965451055E-3</v>
      </c>
      <c r="L392">
        <f t="shared" si="13"/>
        <v>0.74856046065259751</v>
      </c>
    </row>
    <row r="393" spans="1:12" x14ac:dyDescent="0.25">
      <c r="A393" s="3">
        <v>0</v>
      </c>
      <c r="I393" s="3">
        <v>11.85</v>
      </c>
      <c r="J393">
        <v>1</v>
      </c>
      <c r="K393">
        <f t="shared" si="12"/>
        <v>1.9193857965451055E-3</v>
      </c>
      <c r="L393">
        <f t="shared" si="13"/>
        <v>0.75047984644914267</v>
      </c>
    </row>
    <row r="394" spans="1:12" x14ac:dyDescent="0.25">
      <c r="A394" s="3">
        <v>0</v>
      </c>
      <c r="I394" s="3">
        <v>12.76</v>
      </c>
      <c r="J394">
        <v>1</v>
      </c>
      <c r="K394">
        <f t="shared" si="12"/>
        <v>1.9193857965451055E-3</v>
      </c>
      <c r="L394">
        <f t="shared" si="13"/>
        <v>0.75239923224568783</v>
      </c>
    </row>
    <row r="395" spans="1:12" x14ac:dyDescent="0.25">
      <c r="A395" s="3">
        <v>0</v>
      </c>
      <c r="I395" s="3">
        <v>12.84</v>
      </c>
      <c r="J395">
        <v>1</v>
      </c>
      <c r="K395">
        <f t="shared" si="12"/>
        <v>1.9193857965451055E-3</v>
      </c>
      <c r="L395">
        <f t="shared" si="13"/>
        <v>0.75431861804223299</v>
      </c>
    </row>
    <row r="396" spans="1:12" x14ac:dyDescent="0.25">
      <c r="A396" s="3">
        <v>3.59</v>
      </c>
      <c r="I396" s="3">
        <v>13</v>
      </c>
      <c r="J396">
        <v>1</v>
      </c>
      <c r="K396">
        <f t="shared" si="12"/>
        <v>1.9193857965451055E-3</v>
      </c>
      <c r="L396">
        <f t="shared" si="13"/>
        <v>0.75623800383877815</v>
      </c>
    </row>
    <row r="397" spans="1:12" x14ac:dyDescent="0.25">
      <c r="A397" s="3">
        <v>16.690000000000001</v>
      </c>
      <c r="I397" s="3">
        <v>13.02</v>
      </c>
      <c r="J397">
        <v>1</v>
      </c>
      <c r="K397">
        <f t="shared" si="12"/>
        <v>1.9193857965451055E-3</v>
      </c>
      <c r="L397">
        <f t="shared" si="13"/>
        <v>0.75815738963532331</v>
      </c>
    </row>
    <row r="398" spans="1:12" x14ac:dyDescent="0.25">
      <c r="A398" s="3">
        <v>3.61</v>
      </c>
      <c r="I398" s="3">
        <v>13.15</v>
      </c>
      <c r="J398">
        <v>1</v>
      </c>
      <c r="K398">
        <f t="shared" si="12"/>
        <v>1.9193857965451055E-3</v>
      </c>
      <c r="L398">
        <f t="shared" si="13"/>
        <v>0.76007677543186847</v>
      </c>
    </row>
    <row r="399" spans="1:12" x14ac:dyDescent="0.25">
      <c r="A399" s="3">
        <v>6.75</v>
      </c>
      <c r="I399" s="3">
        <v>13.15</v>
      </c>
      <c r="J399">
        <v>1</v>
      </c>
      <c r="K399">
        <f t="shared" si="12"/>
        <v>1.9193857965451055E-3</v>
      </c>
      <c r="L399">
        <f t="shared" si="13"/>
        <v>0.76199616122841363</v>
      </c>
    </row>
    <row r="400" spans="1:12" x14ac:dyDescent="0.25">
      <c r="A400" s="3">
        <v>54.64</v>
      </c>
      <c r="I400" s="3">
        <v>13.24</v>
      </c>
      <c r="J400">
        <v>1</v>
      </c>
      <c r="K400">
        <f t="shared" si="12"/>
        <v>1.9193857965451055E-3</v>
      </c>
      <c r="L400">
        <f t="shared" si="13"/>
        <v>0.76391554702495879</v>
      </c>
    </row>
    <row r="401" spans="1:12" x14ac:dyDescent="0.25">
      <c r="A401" s="3">
        <v>3.5</v>
      </c>
      <c r="I401" s="3">
        <v>13.33</v>
      </c>
      <c r="J401">
        <v>1</v>
      </c>
      <c r="K401">
        <f t="shared" si="12"/>
        <v>1.9193857965451055E-3</v>
      </c>
      <c r="L401">
        <f t="shared" si="13"/>
        <v>0.76583493282150394</v>
      </c>
    </row>
    <row r="402" spans="1:12" x14ac:dyDescent="0.25">
      <c r="A402" s="3">
        <v>0.65</v>
      </c>
      <c r="I402" s="3">
        <v>13.47</v>
      </c>
      <c r="J402">
        <v>1</v>
      </c>
      <c r="K402">
        <f t="shared" si="12"/>
        <v>1.9193857965451055E-3</v>
      </c>
      <c r="L402">
        <f t="shared" si="13"/>
        <v>0.7677543186180491</v>
      </c>
    </row>
    <row r="403" spans="1:12" x14ac:dyDescent="0.25">
      <c r="A403" s="3">
        <v>0.6</v>
      </c>
      <c r="I403" s="3">
        <v>13.55</v>
      </c>
      <c r="J403">
        <v>1</v>
      </c>
      <c r="K403">
        <f t="shared" si="12"/>
        <v>1.9193857965451055E-3</v>
      </c>
      <c r="L403">
        <f t="shared" si="13"/>
        <v>0.76967370441459426</v>
      </c>
    </row>
    <row r="404" spans="1:12" x14ac:dyDescent="0.25">
      <c r="A404" s="3">
        <v>0.62</v>
      </c>
      <c r="I404" s="3">
        <v>13.74</v>
      </c>
      <c r="J404">
        <v>1</v>
      </c>
      <c r="K404">
        <f t="shared" si="12"/>
        <v>1.9193857965451055E-3</v>
      </c>
      <c r="L404">
        <f t="shared" si="13"/>
        <v>0.77159309021113942</v>
      </c>
    </row>
    <row r="405" spans="1:12" x14ac:dyDescent="0.25">
      <c r="A405" s="3">
        <v>0.59</v>
      </c>
      <c r="I405" s="3">
        <v>13.83</v>
      </c>
      <c r="J405">
        <v>1</v>
      </c>
      <c r="K405">
        <f t="shared" si="12"/>
        <v>1.9193857965451055E-3</v>
      </c>
      <c r="L405">
        <f t="shared" si="13"/>
        <v>0.77351247600768458</v>
      </c>
    </row>
    <row r="406" spans="1:12" x14ac:dyDescent="0.25">
      <c r="A406" s="3">
        <v>1.55</v>
      </c>
      <c r="I406" s="3">
        <v>13.95</v>
      </c>
      <c r="J406">
        <v>1</v>
      </c>
      <c r="K406">
        <f t="shared" si="12"/>
        <v>1.9193857965451055E-3</v>
      </c>
      <c r="L406">
        <f t="shared" si="13"/>
        <v>0.77543186180422974</v>
      </c>
    </row>
    <row r="407" spans="1:12" x14ac:dyDescent="0.25">
      <c r="A407" s="3">
        <v>16.63</v>
      </c>
      <c r="I407" s="3">
        <v>14.83</v>
      </c>
      <c r="J407">
        <v>1</v>
      </c>
      <c r="K407">
        <f t="shared" si="12"/>
        <v>1.9193857965451055E-3</v>
      </c>
      <c r="L407">
        <f t="shared" si="13"/>
        <v>0.7773512476007749</v>
      </c>
    </row>
    <row r="408" spans="1:12" x14ac:dyDescent="0.25">
      <c r="A408" s="3">
        <v>6.43</v>
      </c>
      <c r="I408" s="3">
        <v>14.87</v>
      </c>
      <c r="J408">
        <v>1</v>
      </c>
      <c r="K408">
        <f t="shared" si="12"/>
        <v>1.9193857965451055E-3</v>
      </c>
      <c r="L408">
        <f t="shared" si="13"/>
        <v>0.77927063339732006</v>
      </c>
    </row>
    <row r="409" spans="1:12" x14ac:dyDescent="0.25">
      <c r="A409" s="3">
        <v>2.38</v>
      </c>
      <c r="I409" s="3">
        <v>14.92</v>
      </c>
      <c r="J409">
        <v>1</v>
      </c>
      <c r="K409">
        <f t="shared" si="12"/>
        <v>1.9193857965451055E-3</v>
      </c>
      <c r="L409">
        <f t="shared" si="13"/>
        <v>0.78119001919386521</v>
      </c>
    </row>
    <row r="410" spans="1:12" x14ac:dyDescent="0.25">
      <c r="A410" s="3">
        <v>0.5</v>
      </c>
      <c r="I410" s="3">
        <v>15.03</v>
      </c>
      <c r="J410">
        <v>1</v>
      </c>
      <c r="K410">
        <f t="shared" si="12"/>
        <v>1.9193857965451055E-3</v>
      </c>
      <c r="L410">
        <f t="shared" si="13"/>
        <v>0.78310940499041037</v>
      </c>
    </row>
    <row r="411" spans="1:12" x14ac:dyDescent="0.25">
      <c r="A411" s="3">
        <v>13.33</v>
      </c>
      <c r="I411" s="3">
        <v>15.08</v>
      </c>
      <c r="J411">
        <v>1</v>
      </c>
      <c r="K411">
        <f t="shared" si="12"/>
        <v>1.9193857965451055E-3</v>
      </c>
      <c r="L411">
        <f t="shared" si="13"/>
        <v>0.78502879078695553</v>
      </c>
    </row>
    <row r="412" spans="1:12" x14ac:dyDescent="0.25">
      <c r="A412" s="3">
        <v>6.39</v>
      </c>
      <c r="I412" s="3">
        <v>15.09</v>
      </c>
      <c r="J412">
        <v>1</v>
      </c>
      <c r="K412">
        <f t="shared" si="12"/>
        <v>1.9193857965451055E-3</v>
      </c>
      <c r="L412">
        <f t="shared" si="13"/>
        <v>0.78694817658350069</v>
      </c>
    </row>
    <row r="413" spans="1:12" x14ac:dyDescent="0.25">
      <c r="A413" s="3">
        <v>9.43</v>
      </c>
      <c r="I413" s="3">
        <v>15.15</v>
      </c>
      <c r="J413">
        <v>1</v>
      </c>
      <c r="K413">
        <f t="shared" si="12"/>
        <v>1.9193857965451055E-3</v>
      </c>
      <c r="L413">
        <f t="shared" si="13"/>
        <v>0.78886756238004585</v>
      </c>
    </row>
    <row r="414" spans="1:12" x14ac:dyDescent="0.25">
      <c r="A414" s="3">
        <v>9.42</v>
      </c>
      <c r="I414" s="3">
        <v>15.75</v>
      </c>
      <c r="J414">
        <v>1</v>
      </c>
      <c r="K414">
        <f t="shared" si="12"/>
        <v>1.9193857965451055E-3</v>
      </c>
      <c r="L414">
        <f t="shared" si="13"/>
        <v>0.79078694817659101</v>
      </c>
    </row>
    <row r="415" spans="1:12" x14ac:dyDescent="0.25">
      <c r="A415" s="3">
        <v>1.27</v>
      </c>
      <c r="I415" s="3">
        <v>15.91</v>
      </c>
      <c r="J415">
        <v>1</v>
      </c>
      <c r="K415">
        <f t="shared" si="12"/>
        <v>1.9193857965451055E-3</v>
      </c>
      <c r="L415">
        <f t="shared" si="13"/>
        <v>0.79270633397313617</v>
      </c>
    </row>
    <row r="416" spans="1:12" x14ac:dyDescent="0.25">
      <c r="A416" s="3">
        <v>1.27</v>
      </c>
      <c r="I416" s="3">
        <v>15.93</v>
      </c>
      <c r="J416">
        <v>1</v>
      </c>
      <c r="K416">
        <f t="shared" si="12"/>
        <v>1.9193857965451055E-3</v>
      </c>
      <c r="L416">
        <f t="shared" si="13"/>
        <v>0.79462571976968133</v>
      </c>
    </row>
    <row r="417" spans="1:12" x14ac:dyDescent="0.25">
      <c r="A417" s="3">
        <v>34.15</v>
      </c>
      <c r="I417" s="3">
        <v>16</v>
      </c>
      <c r="J417">
        <v>1</v>
      </c>
      <c r="K417">
        <f t="shared" si="12"/>
        <v>1.9193857965451055E-3</v>
      </c>
      <c r="L417">
        <f t="shared" si="13"/>
        <v>0.79654510556622649</v>
      </c>
    </row>
    <row r="418" spans="1:12" x14ac:dyDescent="0.25">
      <c r="A418" s="3">
        <v>0.12</v>
      </c>
      <c r="I418" s="3">
        <v>16.079999999999998</v>
      </c>
      <c r="J418">
        <v>1</v>
      </c>
      <c r="K418">
        <f t="shared" si="12"/>
        <v>1.9193857965451055E-3</v>
      </c>
      <c r="L418">
        <f t="shared" si="13"/>
        <v>0.79846449136277164</v>
      </c>
    </row>
    <row r="419" spans="1:12" x14ac:dyDescent="0.25">
      <c r="A419" s="3">
        <v>6.16</v>
      </c>
      <c r="I419" s="3">
        <v>16.14</v>
      </c>
      <c r="J419">
        <v>1</v>
      </c>
      <c r="K419">
        <f t="shared" si="12"/>
        <v>1.9193857965451055E-3</v>
      </c>
      <c r="L419">
        <f t="shared" si="13"/>
        <v>0.8003838771593168</v>
      </c>
    </row>
    <row r="420" spans="1:12" x14ac:dyDescent="0.25">
      <c r="A420" s="3">
        <v>6.15</v>
      </c>
      <c r="I420" s="3">
        <v>16.63</v>
      </c>
      <c r="J420">
        <v>1</v>
      </c>
      <c r="K420">
        <f t="shared" si="12"/>
        <v>1.9193857965451055E-3</v>
      </c>
      <c r="L420">
        <f t="shared" si="13"/>
        <v>0.80230326295586196</v>
      </c>
    </row>
    <row r="421" spans="1:12" x14ac:dyDescent="0.25">
      <c r="A421" s="3">
        <v>2.27</v>
      </c>
      <c r="I421" s="3">
        <v>16.690000000000001</v>
      </c>
      <c r="J421">
        <v>1</v>
      </c>
      <c r="K421">
        <f t="shared" si="12"/>
        <v>1.9193857965451055E-3</v>
      </c>
      <c r="L421">
        <f t="shared" si="13"/>
        <v>0.80422264875240712</v>
      </c>
    </row>
    <row r="422" spans="1:12" x14ac:dyDescent="0.25">
      <c r="A422" s="3">
        <v>2.31</v>
      </c>
      <c r="I422" s="3">
        <v>16.71</v>
      </c>
      <c r="J422">
        <v>1</v>
      </c>
      <c r="K422">
        <f t="shared" si="12"/>
        <v>1.9193857965451055E-3</v>
      </c>
      <c r="L422">
        <f t="shared" si="13"/>
        <v>0.80614203454895228</v>
      </c>
    </row>
    <row r="423" spans="1:12" x14ac:dyDescent="0.25">
      <c r="A423" s="3">
        <v>1.22</v>
      </c>
      <c r="I423" s="3">
        <v>16.739999999999998</v>
      </c>
      <c r="J423">
        <v>1</v>
      </c>
      <c r="K423">
        <f t="shared" si="12"/>
        <v>1.9193857965451055E-3</v>
      </c>
      <c r="L423">
        <f t="shared" si="13"/>
        <v>0.80806142034549744</v>
      </c>
    </row>
    <row r="424" spans="1:12" x14ac:dyDescent="0.25">
      <c r="A424" s="3">
        <v>27.17</v>
      </c>
      <c r="I424" s="3">
        <v>16.93</v>
      </c>
      <c r="J424">
        <v>1</v>
      </c>
      <c r="K424">
        <f t="shared" si="12"/>
        <v>1.9193857965451055E-3</v>
      </c>
      <c r="L424">
        <f t="shared" si="13"/>
        <v>0.8099808061420426</v>
      </c>
    </row>
    <row r="425" spans="1:12" x14ac:dyDescent="0.25">
      <c r="A425" s="3">
        <v>1.1100000000000001</v>
      </c>
      <c r="I425" s="3">
        <v>16.96</v>
      </c>
      <c r="J425">
        <v>1</v>
      </c>
      <c r="K425">
        <f t="shared" si="12"/>
        <v>1.9193857965451055E-3</v>
      </c>
      <c r="L425">
        <f t="shared" si="13"/>
        <v>0.81190019193858776</v>
      </c>
    </row>
    <row r="426" spans="1:12" x14ac:dyDescent="0.25">
      <c r="A426" s="3">
        <v>42.1</v>
      </c>
      <c r="I426" s="3">
        <v>16.97</v>
      </c>
      <c r="J426">
        <v>1</v>
      </c>
      <c r="K426">
        <f t="shared" si="12"/>
        <v>1.9193857965451055E-3</v>
      </c>
      <c r="L426">
        <f t="shared" si="13"/>
        <v>0.81381957773513292</v>
      </c>
    </row>
    <row r="427" spans="1:12" x14ac:dyDescent="0.25">
      <c r="A427" s="3">
        <v>35.200000000000003</v>
      </c>
      <c r="I427" s="3">
        <v>17</v>
      </c>
      <c r="J427">
        <v>1</v>
      </c>
      <c r="K427">
        <f t="shared" si="12"/>
        <v>1.9193857965451055E-3</v>
      </c>
      <c r="L427">
        <f t="shared" si="13"/>
        <v>0.81573896353167807</v>
      </c>
    </row>
    <row r="428" spans="1:12" x14ac:dyDescent="0.25">
      <c r="A428" s="3">
        <v>9.25</v>
      </c>
      <c r="I428" s="3">
        <v>17.07</v>
      </c>
      <c r="J428">
        <v>1</v>
      </c>
      <c r="K428">
        <f t="shared" si="12"/>
        <v>1.9193857965451055E-3</v>
      </c>
      <c r="L428">
        <f t="shared" si="13"/>
        <v>0.81765834932822323</v>
      </c>
    </row>
    <row r="429" spans="1:12" x14ac:dyDescent="0.25">
      <c r="A429" s="3">
        <v>8.17</v>
      </c>
      <c r="I429" s="3">
        <v>17.09</v>
      </c>
      <c r="J429">
        <v>1</v>
      </c>
      <c r="K429">
        <f t="shared" si="12"/>
        <v>1.9193857965451055E-3</v>
      </c>
      <c r="L429">
        <f t="shared" si="13"/>
        <v>0.81957773512476839</v>
      </c>
    </row>
    <row r="430" spans="1:12" x14ac:dyDescent="0.25">
      <c r="A430" s="3">
        <v>0.02</v>
      </c>
      <c r="I430" s="3">
        <v>17.14</v>
      </c>
      <c r="J430">
        <v>1</v>
      </c>
      <c r="K430">
        <f t="shared" si="12"/>
        <v>1.9193857965451055E-3</v>
      </c>
      <c r="L430">
        <f t="shared" si="13"/>
        <v>0.82149712092131355</v>
      </c>
    </row>
    <row r="431" spans="1:12" x14ac:dyDescent="0.25">
      <c r="A431" s="3">
        <v>17.34</v>
      </c>
      <c r="I431" s="3">
        <v>17.34</v>
      </c>
      <c r="J431">
        <v>1</v>
      </c>
      <c r="K431">
        <f t="shared" si="12"/>
        <v>1.9193857965451055E-3</v>
      </c>
      <c r="L431">
        <f t="shared" si="13"/>
        <v>0.82341650671785871</v>
      </c>
    </row>
    <row r="432" spans="1:12" x14ac:dyDescent="0.25">
      <c r="A432" s="3">
        <v>6.13</v>
      </c>
      <c r="I432" s="3">
        <v>17.59</v>
      </c>
      <c r="J432">
        <v>1</v>
      </c>
      <c r="K432">
        <f t="shared" si="12"/>
        <v>1.9193857965451055E-3</v>
      </c>
      <c r="L432">
        <f t="shared" si="13"/>
        <v>0.82533589251440387</v>
      </c>
    </row>
    <row r="433" spans="1:12" x14ac:dyDescent="0.25">
      <c r="A433" s="3">
        <v>35.229999999999997</v>
      </c>
      <c r="I433" s="3">
        <v>17.72</v>
      </c>
      <c r="J433">
        <v>1</v>
      </c>
      <c r="K433">
        <f t="shared" si="12"/>
        <v>1.9193857965451055E-3</v>
      </c>
      <c r="L433">
        <f t="shared" si="13"/>
        <v>0.82725527831094903</v>
      </c>
    </row>
    <row r="434" spans="1:12" x14ac:dyDescent="0.25">
      <c r="A434" s="3">
        <v>1.3</v>
      </c>
      <c r="I434" s="3">
        <v>17.84</v>
      </c>
      <c r="J434">
        <v>1</v>
      </c>
      <c r="K434">
        <f t="shared" si="12"/>
        <v>1.9193857965451055E-3</v>
      </c>
      <c r="L434">
        <f t="shared" si="13"/>
        <v>0.82917466410749419</v>
      </c>
    </row>
    <row r="435" spans="1:12" x14ac:dyDescent="0.25">
      <c r="A435" s="3">
        <v>0.01</v>
      </c>
      <c r="I435" s="3">
        <v>17.87</v>
      </c>
      <c r="J435">
        <v>1</v>
      </c>
      <c r="K435">
        <f t="shared" si="12"/>
        <v>1.9193857965451055E-3</v>
      </c>
      <c r="L435">
        <f t="shared" si="13"/>
        <v>0.83109404990403934</v>
      </c>
    </row>
    <row r="436" spans="1:12" x14ac:dyDescent="0.25">
      <c r="A436" s="3">
        <v>0.01</v>
      </c>
      <c r="I436" s="3">
        <v>18.03</v>
      </c>
      <c r="J436">
        <v>1</v>
      </c>
      <c r="K436">
        <f t="shared" si="12"/>
        <v>1.9193857965451055E-3</v>
      </c>
      <c r="L436">
        <f t="shared" si="13"/>
        <v>0.8330134357005845</v>
      </c>
    </row>
    <row r="437" spans="1:12" x14ac:dyDescent="0.25">
      <c r="A437" s="3">
        <v>0.01</v>
      </c>
      <c r="I437" s="3">
        <v>18.149999999999999</v>
      </c>
      <c r="J437">
        <v>1</v>
      </c>
      <c r="K437">
        <f t="shared" si="12"/>
        <v>1.9193857965451055E-3</v>
      </c>
      <c r="L437">
        <f t="shared" si="13"/>
        <v>0.83493282149712966</v>
      </c>
    </row>
    <row r="438" spans="1:12" x14ac:dyDescent="0.25">
      <c r="A438" s="3">
        <v>0.01</v>
      </c>
      <c r="I438" s="3">
        <v>18.170000000000002</v>
      </c>
      <c r="J438">
        <v>1</v>
      </c>
      <c r="K438">
        <f t="shared" si="12"/>
        <v>1.9193857965451055E-3</v>
      </c>
      <c r="L438">
        <f t="shared" si="13"/>
        <v>0.83685220729367482</v>
      </c>
    </row>
    <row r="439" spans="1:12" x14ac:dyDescent="0.25">
      <c r="A439" s="3">
        <v>1.17</v>
      </c>
      <c r="I439" s="3">
        <v>18.21</v>
      </c>
      <c r="J439">
        <v>1</v>
      </c>
      <c r="K439">
        <f t="shared" si="12"/>
        <v>1.9193857965451055E-3</v>
      </c>
      <c r="L439">
        <f t="shared" si="13"/>
        <v>0.83877159309021998</v>
      </c>
    </row>
    <row r="440" spans="1:12" x14ac:dyDescent="0.25">
      <c r="A440" s="3">
        <v>1.33</v>
      </c>
      <c r="I440" s="3">
        <v>18.72</v>
      </c>
      <c r="J440">
        <v>1</v>
      </c>
      <c r="K440">
        <f t="shared" si="12"/>
        <v>1.9193857965451055E-3</v>
      </c>
      <c r="L440">
        <f t="shared" si="13"/>
        <v>0.84069097888676514</v>
      </c>
    </row>
    <row r="441" spans="1:12" x14ac:dyDescent="0.25">
      <c r="A441" s="3">
        <v>1.3</v>
      </c>
      <c r="I441" s="3">
        <v>18.98</v>
      </c>
      <c r="J441">
        <v>1</v>
      </c>
      <c r="K441">
        <f t="shared" si="12"/>
        <v>1.9193857965451055E-3</v>
      </c>
      <c r="L441">
        <f t="shared" si="13"/>
        <v>0.8426103646833103</v>
      </c>
    </row>
    <row r="442" spans="1:12" x14ac:dyDescent="0.25">
      <c r="A442" s="3">
        <v>2.29</v>
      </c>
      <c r="I442" s="3">
        <v>19.100000000000001</v>
      </c>
      <c r="J442">
        <v>1</v>
      </c>
      <c r="K442">
        <f t="shared" si="12"/>
        <v>1.9193857965451055E-3</v>
      </c>
      <c r="L442">
        <f t="shared" si="13"/>
        <v>0.84452975047985546</v>
      </c>
    </row>
    <row r="443" spans="1:12" x14ac:dyDescent="0.25">
      <c r="A443" s="3">
        <v>7.0000000000000007E-2</v>
      </c>
      <c r="I443" s="3">
        <v>19.79</v>
      </c>
      <c r="J443">
        <v>1</v>
      </c>
      <c r="K443">
        <f t="shared" si="12"/>
        <v>1.9193857965451055E-3</v>
      </c>
      <c r="L443">
        <f t="shared" si="13"/>
        <v>0.84644913627640062</v>
      </c>
    </row>
    <row r="444" spans="1:12" x14ac:dyDescent="0.25">
      <c r="A444" s="3">
        <v>0.04</v>
      </c>
      <c r="I444" s="3">
        <v>19.809999999999999</v>
      </c>
      <c r="J444">
        <v>1</v>
      </c>
      <c r="K444">
        <f t="shared" si="12"/>
        <v>1.9193857965451055E-3</v>
      </c>
      <c r="L444">
        <f t="shared" si="13"/>
        <v>0.84836852207294577</v>
      </c>
    </row>
    <row r="445" spans="1:12" x14ac:dyDescent="0.25">
      <c r="A445" s="3">
        <v>0.05</v>
      </c>
      <c r="I445" s="3">
        <v>19.88</v>
      </c>
      <c r="J445">
        <v>1</v>
      </c>
      <c r="K445">
        <f t="shared" si="12"/>
        <v>1.9193857965451055E-3</v>
      </c>
      <c r="L445">
        <f t="shared" si="13"/>
        <v>0.85028790786949093</v>
      </c>
    </row>
    <row r="446" spans="1:12" x14ac:dyDescent="0.25">
      <c r="A446" s="3">
        <v>7.0000000000000007E-2</v>
      </c>
      <c r="I446" s="3">
        <v>19.940000000000001</v>
      </c>
      <c r="J446">
        <v>1</v>
      </c>
      <c r="K446">
        <f t="shared" si="12"/>
        <v>1.9193857965451055E-3</v>
      </c>
      <c r="L446">
        <f t="shared" si="13"/>
        <v>0.85220729366603609</v>
      </c>
    </row>
    <row r="447" spans="1:12" x14ac:dyDescent="0.25">
      <c r="A447" s="3">
        <v>1.21</v>
      </c>
      <c r="I447" s="3">
        <v>20.16</v>
      </c>
      <c r="J447">
        <v>1</v>
      </c>
      <c r="K447">
        <f t="shared" si="12"/>
        <v>1.9193857965451055E-3</v>
      </c>
      <c r="L447">
        <f t="shared" si="13"/>
        <v>0.85412667946258125</v>
      </c>
    </row>
    <row r="448" spans="1:12" x14ac:dyDescent="0.25">
      <c r="A448" s="3">
        <v>0.06</v>
      </c>
      <c r="I448" s="3">
        <v>20.190000000000001</v>
      </c>
      <c r="J448">
        <v>1</v>
      </c>
      <c r="K448">
        <f t="shared" si="12"/>
        <v>1.9193857965451055E-3</v>
      </c>
      <c r="L448">
        <f t="shared" si="13"/>
        <v>0.85604606525912641</v>
      </c>
    </row>
    <row r="449" spans="1:12" x14ac:dyDescent="0.25">
      <c r="A449" s="3">
        <v>28.1</v>
      </c>
      <c r="I449" s="3">
        <v>20.2</v>
      </c>
      <c r="J449">
        <v>1</v>
      </c>
      <c r="K449">
        <f t="shared" si="12"/>
        <v>1.9193857965451055E-3</v>
      </c>
      <c r="L449">
        <f t="shared" si="13"/>
        <v>0.85796545105567157</v>
      </c>
    </row>
    <row r="450" spans="1:12" x14ac:dyDescent="0.25">
      <c r="A450" s="3">
        <v>0.05</v>
      </c>
      <c r="I450" s="3">
        <v>20.55</v>
      </c>
      <c r="J450">
        <v>1</v>
      </c>
      <c r="K450">
        <f t="shared" si="12"/>
        <v>1.9193857965451055E-3</v>
      </c>
      <c r="L450">
        <f t="shared" si="13"/>
        <v>0.85988483685221673</v>
      </c>
    </row>
    <row r="451" spans="1:12" x14ac:dyDescent="0.25">
      <c r="A451" s="3">
        <v>0.06</v>
      </c>
      <c r="I451" s="3">
        <v>20.56</v>
      </c>
      <c r="J451">
        <v>1</v>
      </c>
      <c r="K451">
        <f t="shared" si="12"/>
        <v>1.9193857965451055E-3</v>
      </c>
      <c r="L451">
        <f t="shared" si="13"/>
        <v>0.86180422264876189</v>
      </c>
    </row>
    <row r="452" spans="1:12" x14ac:dyDescent="0.25">
      <c r="A452" s="3">
        <v>1.05</v>
      </c>
      <c r="I452" s="3">
        <v>20.72</v>
      </c>
      <c r="J452">
        <v>1</v>
      </c>
      <c r="K452">
        <f t="shared" ref="K452:K515" si="14">J452/$C$16</f>
        <v>1.9193857965451055E-3</v>
      </c>
      <c r="L452">
        <f t="shared" si="13"/>
        <v>0.86372360844530705</v>
      </c>
    </row>
    <row r="453" spans="1:12" x14ac:dyDescent="0.25">
      <c r="A453" s="3">
        <v>13.15</v>
      </c>
      <c r="I453" s="3">
        <v>20.74</v>
      </c>
      <c r="J453">
        <v>1</v>
      </c>
      <c r="K453">
        <f t="shared" si="14"/>
        <v>1.9193857965451055E-3</v>
      </c>
      <c r="L453">
        <f t="shared" ref="L453:L516" si="15">L452+K453</f>
        <v>0.8656429942418522</v>
      </c>
    </row>
    <row r="454" spans="1:12" x14ac:dyDescent="0.25">
      <c r="A454" s="3">
        <v>7.1</v>
      </c>
      <c r="I454" s="3">
        <v>20.8</v>
      </c>
      <c r="J454">
        <v>1</v>
      </c>
      <c r="K454">
        <f t="shared" si="14"/>
        <v>1.9193857965451055E-3</v>
      </c>
      <c r="L454">
        <f t="shared" si="15"/>
        <v>0.86756238003839736</v>
      </c>
    </row>
    <row r="455" spans="1:12" x14ac:dyDescent="0.25">
      <c r="A455" s="3">
        <v>16.14</v>
      </c>
      <c r="I455" s="3">
        <v>20.83</v>
      </c>
      <c r="J455">
        <v>1</v>
      </c>
      <c r="K455">
        <f t="shared" si="14"/>
        <v>1.9193857965451055E-3</v>
      </c>
      <c r="L455">
        <f t="shared" si="15"/>
        <v>0.86948176583494252</v>
      </c>
    </row>
    <row r="456" spans="1:12" x14ac:dyDescent="0.25">
      <c r="A456" s="3">
        <v>0.06</v>
      </c>
      <c r="I456" s="3">
        <v>20.98</v>
      </c>
      <c r="J456">
        <v>1</v>
      </c>
      <c r="K456">
        <f t="shared" si="14"/>
        <v>1.9193857965451055E-3</v>
      </c>
      <c r="L456">
        <f t="shared" si="15"/>
        <v>0.87140115163148768</v>
      </c>
    </row>
    <row r="457" spans="1:12" x14ac:dyDescent="0.25">
      <c r="A457" s="3">
        <v>2.21</v>
      </c>
      <c r="I457" s="3">
        <v>21.12</v>
      </c>
      <c r="J457">
        <v>1</v>
      </c>
      <c r="K457">
        <f t="shared" si="14"/>
        <v>1.9193857965451055E-3</v>
      </c>
      <c r="L457">
        <f t="shared" si="15"/>
        <v>0.87332053742803284</v>
      </c>
    </row>
    <row r="458" spans="1:12" x14ac:dyDescent="0.25">
      <c r="A458" s="3">
        <v>6.02</v>
      </c>
      <c r="I458" s="3">
        <v>21.15</v>
      </c>
      <c r="J458">
        <v>1</v>
      </c>
      <c r="K458">
        <f t="shared" si="14"/>
        <v>1.9193857965451055E-3</v>
      </c>
      <c r="L458">
        <f t="shared" si="15"/>
        <v>0.875239923224578</v>
      </c>
    </row>
    <row r="459" spans="1:12" x14ac:dyDescent="0.25">
      <c r="A459" s="3">
        <v>2.96</v>
      </c>
      <c r="I459" s="3">
        <v>21.62</v>
      </c>
      <c r="J459">
        <v>1</v>
      </c>
      <c r="K459">
        <f t="shared" si="14"/>
        <v>1.9193857965451055E-3</v>
      </c>
      <c r="L459">
        <f t="shared" si="15"/>
        <v>0.87715930902112316</v>
      </c>
    </row>
    <row r="460" spans="1:12" x14ac:dyDescent="0.25">
      <c r="A460" s="3">
        <v>49.14</v>
      </c>
      <c r="I460" s="3">
        <v>21.84</v>
      </c>
      <c r="J460">
        <v>1</v>
      </c>
      <c r="K460">
        <f t="shared" si="14"/>
        <v>1.9193857965451055E-3</v>
      </c>
      <c r="L460">
        <f t="shared" si="15"/>
        <v>0.87907869481766832</v>
      </c>
    </row>
    <row r="461" spans="1:12" x14ac:dyDescent="0.25">
      <c r="A461" s="3">
        <v>0.13</v>
      </c>
      <c r="I461" s="3">
        <v>21.86</v>
      </c>
      <c r="J461">
        <v>1</v>
      </c>
      <c r="K461">
        <f t="shared" si="14"/>
        <v>1.9193857965451055E-3</v>
      </c>
      <c r="L461">
        <f t="shared" si="15"/>
        <v>0.88099808061421347</v>
      </c>
    </row>
    <row r="462" spans="1:12" x14ac:dyDescent="0.25">
      <c r="A462" s="3">
        <v>1.22</v>
      </c>
      <c r="I462" s="3">
        <v>22.34</v>
      </c>
      <c r="J462">
        <v>1</v>
      </c>
      <c r="K462">
        <f t="shared" si="14"/>
        <v>1.9193857965451055E-3</v>
      </c>
      <c r="L462">
        <f t="shared" si="15"/>
        <v>0.88291746641075863</v>
      </c>
    </row>
    <row r="463" spans="1:12" x14ac:dyDescent="0.25">
      <c r="A463" s="3">
        <v>2.0099999999999998</v>
      </c>
      <c r="I463" s="3">
        <v>22.96</v>
      </c>
      <c r="J463">
        <v>1</v>
      </c>
      <c r="K463">
        <f t="shared" si="14"/>
        <v>1.9193857965451055E-3</v>
      </c>
      <c r="L463">
        <f t="shared" si="15"/>
        <v>0.88483685220730379</v>
      </c>
    </row>
    <row r="464" spans="1:12" x14ac:dyDescent="0.25">
      <c r="A464" s="3">
        <v>0.04</v>
      </c>
      <c r="I464" s="3">
        <v>23.66</v>
      </c>
      <c r="J464">
        <v>1</v>
      </c>
      <c r="K464">
        <f t="shared" si="14"/>
        <v>1.9193857965451055E-3</v>
      </c>
      <c r="L464">
        <f t="shared" si="15"/>
        <v>0.88675623800384895</v>
      </c>
    </row>
    <row r="465" spans="1:12" x14ac:dyDescent="0.25">
      <c r="A465" s="3">
        <v>0.03</v>
      </c>
      <c r="I465" s="3">
        <v>23.92</v>
      </c>
      <c r="J465">
        <v>1</v>
      </c>
      <c r="K465">
        <f t="shared" si="14"/>
        <v>1.9193857965451055E-3</v>
      </c>
      <c r="L465">
        <f t="shared" si="15"/>
        <v>0.88867562380039411</v>
      </c>
    </row>
    <row r="466" spans="1:12" x14ac:dyDescent="0.25">
      <c r="A466" s="3">
        <v>0.97</v>
      </c>
      <c r="I466" s="3">
        <v>24.08</v>
      </c>
      <c r="J466">
        <v>1</v>
      </c>
      <c r="K466">
        <f t="shared" si="14"/>
        <v>1.9193857965451055E-3</v>
      </c>
      <c r="L466">
        <f t="shared" si="15"/>
        <v>0.89059500959693927</v>
      </c>
    </row>
    <row r="467" spans="1:12" x14ac:dyDescent="0.25">
      <c r="A467" s="3">
        <v>0</v>
      </c>
      <c r="I467" s="3">
        <v>24.95</v>
      </c>
      <c r="J467">
        <v>1</v>
      </c>
      <c r="K467">
        <f t="shared" si="14"/>
        <v>1.9193857965451055E-3</v>
      </c>
      <c r="L467">
        <f t="shared" si="15"/>
        <v>0.89251439539348443</v>
      </c>
    </row>
    <row r="468" spans="1:12" x14ac:dyDescent="0.25">
      <c r="A468" s="3">
        <v>0.03</v>
      </c>
      <c r="I468" s="3">
        <v>24.97</v>
      </c>
      <c r="J468">
        <v>1</v>
      </c>
      <c r="K468">
        <f t="shared" si="14"/>
        <v>1.9193857965451055E-3</v>
      </c>
      <c r="L468">
        <f t="shared" si="15"/>
        <v>0.89443378119002959</v>
      </c>
    </row>
    <row r="469" spans="1:12" x14ac:dyDescent="0.25">
      <c r="A469" s="3">
        <v>16</v>
      </c>
      <c r="I469" s="3">
        <v>25.15</v>
      </c>
      <c r="J469">
        <v>1</v>
      </c>
      <c r="K469">
        <f t="shared" si="14"/>
        <v>1.9193857965451055E-3</v>
      </c>
      <c r="L469">
        <f t="shared" si="15"/>
        <v>0.89635316698657475</v>
      </c>
    </row>
    <row r="470" spans="1:12" x14ac:dyDescent="0.25">
      <c r="A470" s="3">
        <v>10.210000000000001</v>
      </c>
      <c r="I470" s="3">
        <v>26.06</v>
      </c>
      <c r="J470">
        <v>1</v>
      </c>
      <c r="K470">
        <f t="shared" si="14"/>
        <v>1.9193857965451055E-3</v>
      </c>
      <c r="L470">
        <f t="shared" si="15"/>
        <v>0.8982725527831199</v>
      </c>
    </row>
    <row r="471" spans="1:12" x14ac:dyDescent="0.25">
      <c r="A471" s="3">
        <v>55.23</v>
      </c>
      <c r="I471" s="3">
        <v>27.17</v>
      </c>
      <c r="J471">
        <v>1</v>
      </c>
      <c r="K471">
        <f t="shared" si="14"/>
        <v>1.9193857965451055E-3</v>
      </c>
      <c r="L471">
        <f t="shared" si="15"/>
        <v>0.90019193857966506</v>
      </c>
    </row>
    <row r="472" spans="1:12" x14ac:dyDescent="0.25">
      <c r="A472" s="3">
        <v>13.02</v>
      </c>
      <c r="I472" s="3">
        <v>27.77</v>
      </c>
      <c r="J472">
        <v>1</v>
      </c>
      <c r="K472">
        <f t="shared" si="14"/>
        <v>1.9193857965451055E-3</v>
      </c>
      <c r="L472">
        <f t="shared" si="15"/>
        <v>0.90211132437621022</v>
      </c>
    </row>
    <row r="473" spans="1:12" x14ac:dyDescent="0.25">
      <c r="A473" s="3">
        <v>6.15</v>
      </c>
      <c r="I473" s="3">
        <v>27.91</v>
      </c>
      <c r="J473">
        <v>1</v>
      </c>
      <c r="K473">
        <f t="shared" si="14"/>
        <v>1.9193857965451055E-3</v>
      </c>
      <c r="L473">
        <f t="shared" si="15"/>
        <v>0.90403071017275538</v>
      </c>
    </row>
    <row r="474" spans="1:12" x14ac:dyDescent="0.25">
      <c r="A474" s="3">
        <v>36.159999999999997</v>
      </c>
      <c r="I474" s="3">
        <v>28</v>
      </c>
      <c r="J474">
        <v>1</v>
      </c>
      <c r="K474">
        <f t="shared" si="14"/>
        <v>1.9193857965451055E-3</v>
      </c>
      <c r="L474">
        <f t="shared" si="15"/>
        <v>0.90595009596930054</v>
      </c>
    </row>
    <row r="475" spans="1:12" x14ac:dyDescent="0.25">
      <c r="A475" s="3">
        <v>9.1</v>
      </c>
      <c r="I475" s="3">
        <v>28.1</v>
      </c>
      <c r="J475">
        <v>1</v>
      </c>
      <c r="K475">
        <f t="shared" si="14"/>
        <v>1.9193857965451055E-3</v>
      </c>
      <c r="L475">
        <f t="shared" si="15"/>
        <v>0.9078694817658457</v>
      </c>
    </row>
    <row r="476" spans="1:12" x14ac:dyDescent="0.25">
      <c r="A476" s="3">
        <v>15.03</v>
      </c>
      <c r="I476" s="3">
        <v>28.11</v>
      </c>
      <c r="J476">
        <v>1</v>
      </c>
      <c r="K476">
        <f t="shared" si="14"/>
        <v>1.9193857965451055E-3</v>
      </c>
      <c r="L476">
        <f t="shared" si="15"/>
        <v>0.90978886756239086</v>
      </c>
    </row>
    <row r="477" spans="1:12" x14ac:dyDescent="0.25">
      <c r="A477" s="3">
        <v>9.15</v>
      </c>
      <c r="I477" s="3">
        <v>29.02</v>
      </c>
      <c r="J477">
        <v>1</v>
      </c>
      <c r="K477">
        <f t="shared" si="14"/>
        <v>1.9193857965451055E-3</v>
      </c>
      <c r="L477">
        <f t="shared" si="15"/>
        <v>0.91170825335893602</v>
      </c>
    </row>
    <row r="478" spans="1:12" x14ac:dyDescent="0.25">
      <c r="A478" s="3">
        <v>9.99</v>
      </c>
      <c r="I478" s="3">
        <v>29.73</v>
      </c>
      <c r="J478">
        <v>1</v>
      </c>
      <c r="K478">
        <f t="shared" si="14"/>
        <v>1.9193857965451055E-3</v>
      </c>
      <c r="L478">
        <f t="shared" si="15"/>
        <v>0.91362763915548117</v>
      </c>
    </row>
    <row r="479" spans="1:12" x14ac:dyDescent="0.25">
      <c r="A479" s="3">
        <v>0.16</v>
      </c>
      <c r="I479" s="3">
        <v>29.81</v>
      </c>
      <c r="J479">
        <v>1</v>
      </c>
      <c r="K479">
        <f t="shared" si="14"/>
        <v>1.9193857965451055E-3</v>
      </c>
      <c r="L479">
        <f t="shared" si="15"/>
        <v>0.91554702495202633</v>
      </c>
    </row>
    <row r="480" spans="1:12" x14ac:dyDescent="0.25">
      <c r="A480" s="3">
        <v>0.93</v>
      </c>
      <c r="I480" s="3">
        <v>30.06</v>
      </c>
      <c r="J480">
        <v>1</v>
      </c>
      <c r="K480">
        <f t="shared" si="14"/>
        <v>1.9193857965451055E-3</v>
      </c>
      <c r="L480">
        <f t="shared" si="15"/>
        <v>0.91746641074857149</v>
      </c>
    </row>
    <row r="481" spans="1:12" x14ac:dyDescent="0.25">
      <c r="A481" s="3">
        <v>8</v>
      </c>
      <c r="I481" s="3">
        <v>30.06</v>
      </c>
      <c r="J481">
        <v>1</v>
      </c>
      <c r="K481">
        <f t="shared" si="14"/>
        <v>1.9193857965451055E-3</v>
      </c>
      <c r="L481">
        <f t="shared" si="15"/>
        <v>0.91938579654511665</v>
      </c>
    </row>
    <row r="482" spans="1:12" x14ac:dyDescent="0.25">
      <c r="A482" s="3">
        <v>20.16</v>
      </c>
      <c r="I482" s="3">
        <v>31</v>
      </c>
      <c r="J482">
        <v>1</v>
      </c>
      <c r="K482">
        <f t="shared" si="14"/>
        <v>1.9193857965451055E-3</v>
      </c>
      <c r="L482">
        <f t="shared" si="15"/>
        <v>0.92130518234166181</v>
      </c>
    </row>
    <row r="483" spans="1:12" x14ac:dyDescent="0.25">
      <c r="A483" s="3">
        <v>1.1200000000000001</v>
      </c>
      <c r="I483" s="3">
        <v>31.05</v>
      </c>
      <c r="J483">
        <v>1</v>
      </c>
      <c r="K483">
        <f t="shared" si="14"/>
        <v>1.9193857965451055E-3</v>
      </c>
      <c r="L483">
        <f t="shared" si="15"/>
        <v>0.92322456813820697</v>
      </c>
    </row>
    <row r="484" spans="1:12" x14ac:dyDescent="0.25">
      <c r="A484" s="3">
        <v>16.93</v>
      </c>
      <c r="I484" s="3">
        <v>31.12</v>
      </c>
      <c r="J484">
        <v>1</v>
      </c>
      <c r="K484">
        <f t="shared" si="14"/>
        <v>1.9193857965451055E-3</v>
      </c>
      <c r="L484">
        <f t="shared" si="15"/>
        <v>0.92514395393475213</v>
      </c>
    </row>
    <row r="485" spans="1:12" x14ac:dyDescent="0.25">
      <c r="A485" s="3">
        <v>15.15</v>
      </c>
      <c r="I485" s="3">
        <v>31.61</v>
      </c>
      <c r="J485">
        <v>1</v>
      </c>
      <c r="K485">
        <f t="shared" si="14"/>
        <v>1.9193857965451055E-3</v>
      </c>
      <c r="L485">
        <f t="shared" si="15"/>
        <v>0.92706333973129729</v>
      </c>
    </row>
    <row r="486" spans="1:12" x14ac:dyDescent="0.25">
      <c r="A486" s="3">
        <v>1.1299999999999999</v>
      </c>
      <c r="I486" s="3">
        <v>32.36</v>
      </c>
      <c r="J486">
        <v>1</v>
      </c>
      <c r="K486">
        <f t="shared" si="14"/>
        <v>1.9193857965451055E-3</v>
      </c>
      <c r="L486">
        <f t="shared" si="15"/>
        <v>0.92898272552784245</v>
      </c>
    </row>
    <row r="487" spans="1:12" x14ac:dyDescent="0.25">
      <c r="A487" s="3">
        <v>0.19</v>
      </c>
      <c r="I487" s="3">
        <v>33.049999999999997</v>
      </c>
      <c r="J487">
        <v>1</v>
      </c>
      <c r="K487">
        <f t="shared" si="14"/>
        <v>1.9193857965451055E-3</v>
      </c>
      <c r="L487">
        <f t="shared" si="15"/>
        <v>0.9309021113243876</v>
      </c>
    </row>
    <row r="488" spans="1:12" x14ac:dyDescent="0.25">
      <c r="A488" s="3">
        <v>13</v>
      </c>
      <c r="I488" s="3">
        <v>33.93</v>
      </c>
      <c r="J488">
        <v>1</v>
      </c>
      <c r="K488">
        <f t="shared" si="14"/>
        <v>1.9193857965451055E-3</v>
      </c>
      <c r="L488">
        <f t="shared" si="15"/>
        <v>0.93282149712093276</v>
      </c>
    </row>
    <row r="489" spans="1:12" x14ac:dyDescent="0.25">
      <c r="A489" s="3">
        <v>7.09</v>
      </c>
      <c r="I489" s="3">
        <v>34.15</v>
      </c>
      <c r="J489">
        <v>1</v>
      </c>
      <c r="K489">
        <f t="shared" si="14"/>
        <v>1.9193857965451055E-3</v>
      </c>
      <c r="L489">
        <f t="shared" si="15"/>
        <v>0.93474088291747792</v>
      </c>
    </row>
    <row r="490" spans="1:12" x14ac:dyDescent="0.25">
      <c r="A490" s="3">
        <v>9.09</v>
      </c>
      <c r="I490" s="3">
        <v>34.450000000000003</v>
      </c>
      <c r="J490">
        <v>1</v>
      </c>
      <c r="K490">
        <f t="shared" si="14"/>
        <v>1.9193857965451055E-3</v>
      </c>
      <c r="L490">
        <f t="shared" si="15"/>
        <v>0.93666026871402308</v>
      </c>
    </row>
    <row r="491" spans="1:12" x14ac:dyDescent="0.25">
      <c r="A491" s="3">
        <v>16.079999999999998</v>
      </c>
      <c r="I491" s="3">
        <v>35.200000000000003</v>
      </c>
      <c r="J491">
        <v>1</v>
      </c>
      <c r="K491">
        <f t="shared" si="14"/>
        <v>1.9193857965451055E-3</v>
      </c>
      <c r="L491">
        <f t="shared" si="15"/>
        <v>0.93857965451056824</v>
      </c>
    </row>
    <row r="492" spans="1:12" x14ac:dyDescent="0.25">
      <c r="A492" s="3">
        <v>7.19</v>
      </c>
      <c r="I492" s="3">
        <v>35.229999999999997</v>
      </c>
      <c r="J492">
        <v>1</v>
      </c>
      <c r="K492">
        <f t="shared" si="14"/>
        <v>1.9193857965451055E-3</v>
      </c>
      <c r="L492">
        <f t="shared" si="15"/>
        <v>0.9404990403071134</v>
      </c>
    </row>
    <row r="493" spans="1:12" x14ac:dyDescent="0.25">
      <c r="A493" s="3">
        <v>0</v>
      </c>
      <c r="I493" s="3">
        <v>35.909999999999997</v>
      </c>
      <c r="J493">
        <v>1</v>
      </c>
      <c r="K493">
        <f t="shared" si="14"/>
        <v>1.9193857965451055E-3</v>
      </c>
      <c r="L493">
        <f t="shared" si="15"/>
        <v>0.94241842610365856</v>
      </c>
    </row>
    <row r="494" spans="1:12" x14ac:dyDescent="0.25">
      <c r="A494" s="3">
        <v>0</v>
      </c>
      <c r="I494" s="3">
        <v>36.159999999999997</v>
      </c>
      <c r="J494">
        <v>1</v>
      </c>
      <c r="K494">
        <f t="shared" si="14"/>
        <v>1.9193857965451055E-3</v>
      </c>
      <c r="L494">
        <f t="shared" si="15"/>
        <v>0.94433781190020372</v>
      </c>
    </row>
    <row r="495" spans="1:12" x14ac:dyDescent="0.25">
      <c r="A495" s="3">
        <v>19.940000000000001</v>
      </c>
      <c r="I495" s="3">
        <v>37.020000000000003</v>
      </c>
      <c r="J495">
        <v>1</v>
      </c>
      <c r="K495">
        <f t="shared" si="14"/>
        <v>1.9193857965451055E-3</v>
      </c>
      <c r="L495">
        <f t="shared" si="15"/>
        <v>0.94625719769674888</v>
      </c>
    </row>
    <row r="496" spans="1:12" x14ac:dyDescent="0.25">
      <c r="A496" s="3">
        <v>0.13</v>
      </c>
      <c r="I496" s="3">
        <v>38.1</v>
      </c>
      <c r="J496">
        <v>1</v>
      </c>
      <c r="K496">
        <f t="shared" si="14"/>
        <v>1.9193857965451055E-3</v>
      </c>
      <c r="L496">
        <f t="shared" si="15"/>
        <v>0.94817658349329403</v>
      </c>
    </row>
    <row r="497" spans="1:12" x14ac:dyDescent="0.25">
      <c r="A497" s="3">
        <v>57.11</v>
      </c>
      <c r="I497" s="3">
        <v>38.869999999999997</v>
      </c>
      <c r="J497">
        <v>1</v>
      </c>
      <c r="K497">
        <f t="shared" si="14"/>
        <v>1.9193857965451055E-3</v>
      </c>
      <c r="L497">
        <f t="shared" si="15"/>
        <v>0.95009596928983919</v>
      </c>
    </row>
    <row r="498" spans="1:12" x14ac:dyDescent="0.25">
      <c r="A498" s="3">
        <v>35.909999999999997</v>
      </c>
      <c r="I498" s="3">
        <v>40.03</v>
      </c>
      <c r="J498">
        <v>1</v>
      </c>
      <c r="K498">
        <f t="shared" si="14"/>
        <v>1.9193857965451055E-3</v>
      </c>
      <c r="L498">
        <f t="shared" si="15"/>
        <v>0.95201535508638435</v>
      </c>
    </row>
    <row r="499" spans="1:12" x14ac:dyDescent="0.25">
      <c r="A499" s="3">
        <v>29.02</v>
      </c>
      <c r="I499" s="3">
        <v>41.26</v>
      </c>
      <c r="J499">
        <v>1</v>
      </c>
      <c r="K499">
        <f t="shared" si="14"/>
        <v>1.9193857965451055E-3</v>
      </c>
      <c r="L499">
        <f t="shared" si="15"/>
        <v>0.95393474088292951</v>
      </c>
    </row>
    <row r="500" spans="1:12" x14ac:dyDescent="0.25">
      <c r="A500" s="3">
        <v>2.02</v>
      </c>
      <c r="I500" s="3">
        <v>42.1</v>
      </c>
      <c r="J500">
        <v>1</v>
      </c>
      <c r="K500">
        <f t="shared" si="14"/>
        <v>1.9193857965451055E-3</v>
      </c>
      <c r="L500">
        <f t="shared" si="15"/>
        <v>0.95585412667947467</v>
      </c>
    </row>
    <row r="501" spans="1:12" x14ac:dyDescent="0.25">
      <c r="A501" s="3">
        <v>15.08</v>
      </c>
      <c r="I501" s="3">
        <v>42.75</v>
      </c>
      <c r="J501">
        <v>1</v>
      </c>
      <c r="K501">
        <f t="shared" si="14"/>
        <v>1.9193857965451055E-3</v>
      </c>
      <c r="L501">
        <f t="shared" si="15"/>
        <v>0.95777351247601983</v>
      </c>
    </row>
    <row r="502" spans="1:12" x14ac:dyDescent="0.25">
      <c r="A502" s="3">
        <v>15.09</v>
      </c>
      <c r="I502" s="3">
        <v>42.9</v>
      </c>
      <c r="J502">
        <v>1</v>
      </c>
      <c r="K502">
        <f t="shared" si="14"/>
        <v>1.9193857965451055E-3</v>
      </c>
      <c r="L502">
        <f t="shared" si="15"/>
        <v>0.95969289827256499</v>
      </c>
    </row>
    <row r="503" spans="1:12" x14ac:dyDescent="0.25">
      <c r="A503" s="3">
        <v>53.99</v>
      </c>
      <c r="I503" s="3">
        <v>44.89</v>
      </c>
      <c r="J503">
        <v>1</v>
      </c>
      <c r="K503">
        <f t="shared" si="14"/>
        <v>1.9193857965451055E-3</v>
      </c>
      <c r="L503">
        <f t="shared" si="15"/>
        <v>0.96161228406911015</v>
      </c>
    </row>
    <row r="504" spans="1:12" x14ac:dyDescent="0.25">
      <c r="A504" s="3">
        <v>31</v>
      </c>
      <c r="I504" s="3">
        <v>44.89</v>
      </c>
      <c r="J504">
        <v>1</v>
      </c>
      <c r="K504">
        <f t="shared" si="14"/>
        <v>1.9193857965451055E-3</v>
      </c>
      <c r="L504">
        <f t="shared" si="15"/>
        <v>0.9635316698656553</v>
      </c>
    </row>
    <row r="505" spans="1:12" x14ac:dyDescent="0.25">
      <c r="A505" s="3">
        <v>42.9</v>
      </c>
      <c r="I505" s="3">
        <v>44.9</v>
      </c>
      <c r="J505">
        <v>1</v>
      </c>
      <c r="K505">
        <f t="shared" si="14"/>
        <v>1.9193857965451055E-3</v>
      </c>
      <c r="L505">
        <f t="shared" si="15"/>
        <v>0.96545105566220046</v>
      </c>
    </row>
    <row r="506" spans="1:12" x14ac:dyDescent="0.25">
      <c r="A506" s="3">
        <v>7.86</v>
      </c>
      <c r="I506" s="3">
        <v>44.9</v>
      </c>
      <c r="J506">
        <v>1</v>
      </c>
      <c r="K506">
        <f t="shared" si="14"/>
        <v>1.9193857965451055E-3</v>
      </c>
      <c r="L506">
        <f t="shared" si="15"/>
        <v>0.96737044145874562</v>
      </c>
    </row>
    <row r="507" spans="1:12" x14ac:dyDescent="0.25">
      <c r="A507" s="3">
        <v>0.01</v>
      </c>
      <c r="I507" s="3">
        <v>44.91</v>
      </c>
      <c r="J507">
        <v>1</v>
      </c>
      <c r="K507">
        <f t="shared" si="14"/>
        <v>1.9193857965451055E-3</v>
      </c>
      <c r="L507">
        <f t="shared" si="15"/>
        <v>0.96928982725529078</v>
      </c>
    </row>
    <row r="508" spans="1:12" x14ac:dyDescent="0.25">
      <c r="A508" s="3">
        <v>1.92</v>
      </c>
      <c r="I508" s="3">
        <v>46.88</v>
      </c>
      <c r="J508">
        <v>1</v>
      </c>
      <c r="K508">
        <f t="shared" si="14"/>
        <v>1.9193857965451055E-3</v>
      </c>
      <c r="L508">
        <f t="shared" si="15"/>
        <v>0.97120921305183594</v>
      </c>
    </row>
    <row r="509" spans="1:12" x14ac:dyDescent="0.25">
      <c r="A509" s="3">
        <v>0.03</v>
      </c>
      <c r="I509" s="3">
        <v>49.14</v>
      </c>
      <c r="J509">
        <v>1</v>
      </c>
      <c r="K509">
        <f t="shared" si="14"/>
        <v>1.9193857965451055E-3</v>
      </c>
      <c r="L509">
        <f t="shared" si="15"/>
        <v>0.9731285988483811</v>
      </c>
    </row>
    <row r="510" spans="1:12" x14ac:dyDescent="0.25">
      <c r="A510" s="3">
        <v>1.93</v>
      </c>
      <c r="I510" s="3">
        <v>51.05</v>
      </c>
      <c r="J510">
        <v>1</v>
      </c>
      <c r="K510">
        <f t="shared" si="14"/>
        <v>1.9193857965451055E-3</v>
      </c>
      <c r="L510">
        <f t="shared" si="15"/>
        <v>0.97504798464492626</v>
      </c>
    </row>
    <row r="511" spans="1:12" x14ac:dyDescent="0.25">
      <c r="A511" s="3">
        <v>1.93</v>
      </c>
      <c r="I511" s="3">
        <v>51.89</v>
      </c>
      <c r="J511">
        <v>1</v>
      </c>
      <c r="K511">
        <f t="shared" si="14"/>
        <v>1.9193857965451055E-3</v>
      </c>
      <c r="L511">
        <f t="shared" si="15"/>
        <v>0.97696737044147142</v>
      </c>
    </row>
    <row r="512" spans="1:12" x14ac:dyDescent="0.25">
      <c r="A512" s="3">
        <v>1.1299999999999999</v>
      </c>
      <c r="I512" s="3">
        <v>53.17</v>
      </c>
      <c r="J512">
        <v>1</v>
      </c>
      <c r="K512">
        <f t="shared" si="14"/>
        <v>1.9193857965451055E-3</v>
      </c>
      <c r="L512">
        <f t="shared" si="15"/>
        <v>0.97888675623801658</v>
      </c>
    </row>
    <row r="513" spans="1:12" x14ac:dyDescent="0.25">
      <c r="A513" s="3">
        <v>8.9</v>
      </c>
      <c r="I513" s="3">
        <v>53.17</v>
      </c>
      <c r="J513">
        <v>1</v>
      </c>
      <c r="K513">
        <f t="shared" si="14"/>
        <v>1.9193857965451055E-3</v>
      </c>
      <c r="L513">
        <f t="shared" si="15"/>
        <v>0.98080614203456173</v>
      </c>
    </row>
    <row r="514" spans="1:12" x14ac:dyDescent="0.25">
      <c r="A514" s="3">
        <v>7.03</v>
      </c>
      <c r="I514" s="3">
        <v>53.99</v>
      </c>
      <c r="J514">
        <v>1</v>
      </c>
      <c r="K514">
        <f t="shared" si="14"/>
        <v>1.9193857965451055E-3</v>
      </c>
      <c r="L514">
        <f t="shared" si="15"/>
        <v>0.98272552783110689</v>
      </c>
    </row>
    <row r="515" spans="1:12" x14ac:dyDescent="0.25">
      <c r="A515" s="3">
        <v>5.91</v>
      </c>
      <c r="I515" s="3">
        <v>54.64</v>
      </c>
      <c r="J515">
        <v>1</v>
      </c>
      <c r="K515">
        <f t="shared" si="14"/>
        <v>1.9193857965451055E-3</v>
      </c>
      <c r="L515">
        <f t="shared" si="15"/>
        <v>0.98464491362765205</v>
      </c>
    </row>
    <row r="516" spans="1:12" x14ac:dyDescent="0.25">
      <c r="A516" s="3">
        <v>30.06</v>
      </c>
      <c r="I516" s="3">
        <v>55.13</v>
      </c>
      <c r="J516">
        <v>1</v>
      </c>
      <c r="K516">
        <f t="shared" ref="K516:K523" si="16">J516/$C$16</f>
        <v>1.9193857965451055E-3</v>
      </c>
      <c r="L516">
        <f t="shared" si="15"/>
        <v>0.98656429942419721</v>
      </c>
    </row>
    <row r="517" spans="1:12" x14ac:dyDescent="0.25">
      <c r="A517" s="3">
        <v>0.91</v>
      </c>
      <c r="I517" s="3">
        <v>55.23</v>
      </c>
      <c r="J517">
        <v>1</v>
      </c>
      <c r="K517">
        <f t="shared" si="16"/>
        <v>1.9193857965451055E-3</v>
      </c>
      <c r="L517">
        <f t="shared" ref="L517:L523" si="17">L516+K517</f>
        <v>0.98848368522074237</v>
      </c>
    </row>
    <row r="518" spans="1:12" x14ac:dyDescent="0.25">
      <c r="A518" s="3">
        <v>0.04</v>
      </c>
      <c r="I518" s="3">
        <v>56.93</v>
      </c>
      <c r="J518">
        <v>1</v>
      </c>
      <c r="K518">
        <f t="shared" si="16"/>
        <v>1.9193857965451055E-3</v>
      </c>
      <c r="L518">
        <f t="shared" si="17"/>
        <v>0.99040307101728753</v>
      </c>
    </row>
    <row r="519" spans="1:12" x14ac:dyDescent="0.25">
      <c r="A519" s="3">
        <v>1.04</v>
      </c>
      <c r="I519" s="3">
        <v>57.11</v>
      </c>
      <c r="J519">
        <v>1</v>
      </c>
      <c r="K519">
        <f t="shared" si="16"/>
        <v>1.9193857965451055E-3</v>
      </c>
      <c r="L519">
        <f t="shared" si="17"/>
        <v>0.99232245681383269</v>
      </c>
    </row>
    <row r="520" spans="1:12" x14ac:dyDescent="0.25">
      <c r="A520" s="3">
        <v>1.82</v>
      </c>
      <c r="I520" s="3">
        <v>57.85</v>
      </c>
      <c r="J520">
        <v>1</v>
      </c>
      <c r="K520">
        <f t="shared" si="16"/>
        <v>1.9193857965451055E-3</v>
      </c>
      <c r="L520">
        <f t="shared" si="17"/>
        <v>0.99424184261037785</v>
      </c>
    </row>
    <row r="521" spans="1:12" x14ac:dyDescent="0.25">
      <c r="A521" s="3">
        <v>2.78</v>
      </c>
      <c r="I521" s="3">
        <v>58.71</v>
      </c>
      <c r="J521">
        <v>1</v>
      </c>
      <c r="K521">
        <f t="shared" si="16"/>
        <v>1.9193857965451055E-3</v>
      </c>
      <c r="L521">
        <f t="shared" si="17"/>
        <v>0.996161228406923</v>
      </c>
    </row>
    <row r="522" spans="1:12" x14ac:dyDescent="0.25">
      <c r="A522" s="3">
        <v>0</v>
      </c>
      <c r="I522" s="3">
        <v>59.06</v>
      </c>
      <c r="J522">
        <v>1</v>
      </c>
      <c r="K522">
        <f t="shared" si="16"/>
        <v>1.9193857965451055E-3</v>
      </c>
      <c r="L522">
        <f t="shared" si="17"/>
        <v>0.99808061420346816</v>
      </c>
    </row>
    <row r="523" spans="1:12" x14ac:dyDescent="0.25">
      <c r="I523" s="3">
        <v>59.8</v>
      </c>
      <c r="J523">
        <v>1</v>
      </c>
      <c r="K523">
        <f t="shared" si="16"/>
        <v>1.9193857965451055E-3</v>
      </c>
      <c r="L523">
        <f t="shared" si="17"/>
        <v>1.0000000000000133</v>
      </c>
    </row>
  </sheetData>
  <sortState ref="I3:I523">
    <sortCondition ref="I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normal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USER-6</cp:lastModifiedBy>
  <dcterms:created xsi:type="dcterms:W3CDTF">2017-05-02T13:27:25Z</dcterms:created>
  <dcterms:modified xsi:type="dcterms:W3CDTF">2017-07-13T15:39:37Z</dcterms:modified>
</cp:coreProperties>
</file>