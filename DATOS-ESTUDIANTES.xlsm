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1370" activeTab="2"/>
  </bookViews>
  <sheets>
    <sheet name="Hoja1" sheetId="1" r:id="rId1"/>
    <sheet name="binomial" sheetId="3" r:id="rId2"/>
    <sheet name="poisson" sheetId="4" r:id="rId3"/>
    <sheet name="bernoulli" sheetId="2" r:id="rId4"/>
  </sheets>
  <definedNames>
    <definedName name="_xlnm._FilterDatabase" localSheetId="0" hidden="1">Hoja1!$A$1:$G$1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4" l="1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5" i="4"/>
  <c r="J26" i="4"/>
  <c r="J27" i="4"/>
  <c r="J28" i="4"/>
  <c r="J29" i="4"/>
  <c r="J30" i="4"/>
  <c r="J31" i="4"/>
  <c r="J32" i="4"/>
  <c r="J33" i="4"/>
  <c r="J34" i="4"/>
  <c r="J35" i="4"/>
  <c r="J36" i="4"/>
  <c r="J37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5" i="4"/>
  <c r="F16" i="4"/>
  <c r="F17" i="4"/>
  <c r="F18" i="4"/>
  <c r="F19" i="4"/>
  <c r="F20" i="4"/>
  <c r="F21" i="4"/>
  <c r="F22" i="4"/>
  <c r="F23" i="4"/>
  <c r="F24" i="4"/>
  <c r="F25" i="4"/>
  <c r="F15" i="4"/>
  <c r="F14" i="4"/>
  <c r="F13" i="4"/>
  <c r="F12" i="4"/>
  <c r="F11" i="4"/>
  <c r="F10" i="4"/>
  <c r="F9" i="4"/>
  <c r="F8" i="4"/>
  <c r="F7" i="4"/>
  <c r="F6" i="4"/>
  <c r="F5" i="4"/>
  <c r="C6" i="4"/>
  <c r="C7" i="4"/>
  <c r="C8" i="4"/>
  <c r="C9" i="4"/>
  <c r="C10" i="4"/>
  <c r="C11" i="4"/>
  <c r="C12" i="4"/>
  <c r="C13" i="4"/>
  <c r="C14" i="4"/>
  <c r="C15" i="4"/>
  <c r="C5" i="4"/>
  <c r="B6" i="4"/>
  <c r="B7" i="4"/>
  <c r="B8" i="4"/>
  <c r="B9" i="4"/>
  <c r="B10" i="4"/>
  <c r="B11" i="4"/>
  <c r="B12" i="4"/>
  <c r="B13" i="4"/>
  <c r="B14" i="4"/>
  <c r="B15" i="4"/>
  <c r="B5" i="4"/>
  <c r="H6" i="3"/>
  <c r="H7" i="3"/>
  <c r="H8" i="3"/>
  <c r="H9" i="3"/>
  <c r="H10" i="3"/>
  <c r="H11" i="3"/>
  <c r="H12" i="3"/>
  <c r="H13" i="3"/>
  <c r="H14" i="3"/>
  <c r="H15" i="3"/>
  <c r="H5" i="3"/>
  <c r="G6" i="3"/>
  <c r="G7" i="3"/>
  <c r="G8" i="3"/>
  <c r="G9" i="3"/>
  <c r="G10" i="3"/>
  <c r="G11" i="3"/>
  <c r="G12" i="3"/>
  <c r="G13" i="3"/>
  <c r="G14" i="3"/>
  <c r="G15" i="3"/>
  <c r="G5" i="3"/>
  <c r="C7" i="3"/>
  <c r="C6" i="3"/>
  <c r="D6" i="3" s="1"/>
  <c r="C7" i="2"/>
  <c r="C6" i="2"/>
  <c r="D6" i="2" s="1"/>
  <c r="C12" i="2" s="1"/>
  <c r="C11" i="3" l="1"/>
  <c r="C12" i="3"/>
  <c r="D7" i="3"/>
  <c r="C13" i="3" s="1"/>
  <c r="C11" i="2"/>
  <c r="D7" i="2"/>
  <c r="C13" i="2" s="1"/>
  <c r="Z5" i="1"/>
  <c r="Z7" i="1" s="1"/>
  <c r="Z3" i="1"/>
  <c r="Z2" i="1"/>
  <c r="Z6" i="1" l="1"/>
  <c r="Z4" i="1"/>
  <c r="L11" i="1"/>
  <c r="K11" i="1"/>
  <c r="J15" i="1"/>
  <c r="J14" i="1"/>
  <c r="J13" i="1"/>
  <c r="J12" i="1"/>
  <c r="T3" i="1" l="1"/>
  <c r="T4" i="1"/>
  <c r="T2" i="1"/>
  <c r="S2" i="1" a="1"/>
  <c r="S2" i="1" s="1"/>
  <c r="L4" i="1"/>
  <c r="L3" i="1"/>
  <c r="L2" i="1"/>
  <c r="M2" i="1" s="1"/>
  <c r="M3" i="1" s="1"/>
  <c r="I8" i="1"/>
  <c r="J8" i="1" s="1"/>
  <c r="K8" i="1" s="1"/>
  <c r="I7" i="1"/>
  <c r="K2" i="1" a="1"/>
  <c r="K3" i="1" s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48" i="1"/>
  <c r="G49" i="1"/>
  <c r="G50" i="1"/>
  <c r="G51" i="1"/>
  <c r="G52" i="1"/>
  <c r="G53" i="1"/>
  <c r="G54" i="1"/>
  <c r="G55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2" i="1"/>
  <c r="S4" i="1" l="1"/>
  <c r="S3" i="1"/>
  <c r="M4" i="1"/>
  <c r="K2" i="1"/>
  <c r="K4" i="1"/>
</calcChain>
</file>

<file path=xl/sharedStrings.xml><?xml version="1.0" encoding="utf-8"?>
<sst xmlns="http://schemas.openxmlformats.org/spreadsheetml/2006/main" count="1345" uniqueCount="64">
  <si>
    <t>Carrera</t>
  </si>
  <si>
    <t xml:space="preserve">        Ciclo</t>
  </si>
  <si>
    <t>Estrato</t>
  </si>
  <si>
    <t>peso</t>
  </si>
  <si>
    <t>presion</t>
  </si>
  <si>
    <t>edad</t>
  </si>
  <si>
    <t>contabilidad</t>
  </si>
  <si>
    <t>segundo</t>
  </si>
  <si>
    <t>bajo</t>
  </si>
  <si>
    <t>jurisprudencia</t>
  </si>
  <si>
    <t>primero</t>
  </si>
  <si>
    <t>alto</t>
  </si>
  <si>
    <t>ingcomercial</t>
  </si>
  <si>
    <t>disenio</t>
  </si>
  <si>
    <t xml:space="preserve">        segundo</t>
  </si>
  <si>
    <t>tercero</t>
  </si>
  <si>
    <t xml:space="preserve">        primero</t>
  </si>
  <si>
    <t>sistemas</t>
  </si>
  <si>
    <t>medio</t>
  </si>
  <si>
    <t>frecuencia</t>
  </si>
  <si>
    <t>clases</t>
  </si>
  <si>
    <t>#total</t>
  </si>
  <si>
    <t>px</t>
  </si>
  <si>
    <t>PX</t>
  </si>
  <si>
    <t>datos macro</t>
  </si>
  <si>
    <t>P</t>
  </si>
  <si>
    <t>NC</t>
  </si>
  <si>
    <t>ALFA</t>
  </si>
  <si>
    <t>ALFA/2</t>
  </si>
  <si>
    <t>TABLA</t>
  </si>
  <si>
    <t>Z</t>
  </si>
  <si>
    <t>LI</t>
  </si>
  <si>
    <t>LS</t>
  </si>
  <si>
    <t>RESULTADO</t>
  </si>
  <si>
    <t>MACRO</t>
  </si>
  <si>
    <t>PROPORCIONES</t>
  </si>
  <si>
    <t>total#estudiantes</t>
  </si>
  <si>
    <t>#de bajo observados</t>
  </si>
  <si>
    <t>proporcion</t>
  </si>
  <si>
    <t>promedio prop</t>
  </si>
  <si>
    <t>li</t>
  </si>
  <si>
    <t>ls</t>
  </si>
  <si>
    <t>ENSAYO #</t>
  </si>
  <si>
    <t>BAJO</t>
  </si>
  <si>
    <t>PROPORCION</t>
  </si>
  <si>
    <t>vale</t>
  </si>
  <si>
    <t>distribucion de bernoulli</t>
  </si>
  <si>
    <t>parametro</t>
  </si>
  <si>
    <t>p</t>
  </si>
  <si>
    <t>x</t>
  </si>
  <si>
    <t>P(X)</t>
  </si>
  <si>
    <t>acumulado</t>
  </si>
  <si>
    <t>falla</t>
  </si>
  <si>
    <t>éxito</t>
  </si>
  <si>
    <t>binomial</t>
  </si>
  <si>
    <t>combinaciones</t>
  </si>
  <si>
    <t>parametros</t>
  </si>
  <si>
    <t>n</t>
  </si>
  <si>
    <t>de obtener cara</t>
  </si>
  <si>
    <t>lanzo 10 monedas</t>
  </si>
  <si>
    <t xml:space="preserve"> </t>
  </si>
  <si>
    <t>poisson</t>
  </si>
  <si>
    <t>fact</t>
  </si>
  <si>
    <t>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</si>
</sst>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0.5"/>
      <color theme="1"/>
      <name val="Courier New"/>
      <family val="3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49" fontId="1" fillId="0" borderId="0" xfId="0" applyNumberFormat="1" applyFont="1" applyAlignment="1">
      <alignment vertical="center"/>
    </xf>
    <xf numFmtId="0" fontId="0" fillId="0" borderId="0" xfId="0" applyNumberFormat="1"/>
    <xf numFmtId="0" fontId="1" fillId="0" borderId="0" xfId="0" applyNumberFormat="1" applyFont="1" applyAlignment="1">
      <alignment vertical="center"/>
    </xf>
    <xf numFmtId="2" fontId="0" fillId="0" borderId="0" xfId="0" applyNumberFormat="1"/>
    <xf numFmtId="0" fontId="0" fillId="2" borderId="0" xfId="0" applyNumberFormat="1" applyFill="1"/>
    <xf numFmtId="0" fontId="0" fillId="0" borderId="0" xfId="0" applyNumberFormat="1" applyFont="1"/>
    <xf numFmtId="0" fontId="0" fillId="3" borderId="0" xfId="0" applyFill="1"/>
    <xf numFmtId="0" fontId="0" fillId="0" borderId="1" xfId="0" applyBorder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3" borderId="0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5" fontId="0" fillId="0" borderId="0" xfId="1" applyNumberFormat="1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Hoja1!$J$2:$J$4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1-4FFD-AA6C-7EF5ED4BE4C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Hoja1!$K$2:$K$4</c:f>
              <c:numCache>
                <c:formatCode>General</c:formatCode>
                <c:ptCount val="3"/>
                <c:pt idx="0">
                  <c:v>71</c:v>
                </c:pt>
                <c:pt idx="1">
                  <c:v>240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D1-4FFD-AA6C-7EF5ED4B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2721480"/>
        <c:axId val="592719840"/>
      </c:barChart>
      <c:catAx>
        <c:axId val="592721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19840"/>
        <c:crosses val="autoZero"/>
        <c:auto val="1"/>
        <c:lblAlgn val="ctr"/>
        <c:lblOffset val="100"/>
        <c:noMultiLvlLbl val="0"/>
      </c:catAx>
      <c:valAx>
        <c:axId val="59271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2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Hoja1!$R$2:$R$4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4-48F2-B52B-1F372721D5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Hoja1!$S$2:$S$4</c:f>
              <c:numCache>
                <c:formatCode>General</c:formatCode>
                <c:ptCount val="3"/>
                <c:pt idx="0">
                  <c:v>196</c:v>
                </c:pt>
                <c:pt idx="1">
                  <c:v>613</c:v>
                </c:pt>
                <c:pt idx="2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4-48F2-B52B-1F37272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4631528"/>
        <c:axId val="594627264"/>
      </c:barChart>
      <c:catAx>
        <c:axId val="59463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27264"/>
        <c:crosses val="autoZero"/>
        <c:auto val="1"/>
        <c:lblAlgn val="ctr"/>
        <c:lblOffset val="100"/>
        <c:noMultiLvlLbl val="0"/>
      </c:catAx>
      <c:valAx>
        <c:axId val="5946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3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Hoja1!$AE$4:$AE$13</c:f>
              <c:numCache>
                <c:formatCode>General</c:formatCode>
                <c:ptCount val="10"/>
                <c:pt idx="0">
                  <c:v>0.35355038158682961</c:v>
                </c:pt>
                <c:pt idx="1">
                  <c:v>0.37358039024572925</c:v>
                </c:pt>
                <c:pt idx="2">
                  <c:v>0.41204721080678686</c:v>
                </c:pt>
                <c:pt idx="3">
                  <c:v>0.36586631438233197</c:v>
                </c:pt>
                <c:pt idx="4">
                  <c:v>0.39175814916659096</c:v>
                </c:pt>
                <c:pt idx="5">
                  <c:v>0.36740811203266466</c:v>
                </c:pt>
                <c:pt idx="6">
                  <c:v>0.38362760350919078</c:v>
                </c:pt>
                <c:pt idx="7">
                  <c:v>0.38827194161082429</c:v>
                </c:pt>
                <c:pt idx="8">
                  <c:v>0.39883514700010775</c:v>
                </c:pt>
                <c:pt idx="9">
                  <c:v>0.35460748758926675</c:v>
                </c:pt>
              </c:numCache>
            </c:numRef>
          </c:xVal>
          <c:yVal>
            <c:numRef>
              <c:f>Hoja1!$AF$4:$AF$13</c:f>
              <c:numCache>
                <c:formatCode>General</c:formatCode>
                <c:ptCount val="10"/>
                <c:pt idx="0">
                  <c:v>0.45088055655648951</c:v>
                </c:pt>
                <c:pt idx="1">
                  <c:v>0.47163086355291767</c:v>
                </c:pt>
                <c:pt idx="2">
                  <c:v>0.51099954931476965</c:v>
                </c:pt>
                <c:pt idx="3">
                  <c:v>0.46366020262580432</c:v>
                </c:pt>
                <c:pt idx="4">
                  <c:v>0.49031223608975621</c:v>
                </c:pt>
                <c:pt idx="5">
                  <c:v>0.46525535233357396</c:v>
                </c:pt>
                <c:pt idx="6">
                  <c:v>0.48197380811711998</c:v>
                </c:pt>
                <c:pt idx="7">
                  <c:v>0.48674031208979313</c:v>
                </c:pt>
                <c:pt idx="8">
                  <c:v>0.49754756057758026</c:v>
                </c:pt>
                <c:pt idx="9">
                  <c:v>0.45198010186274773</c:v>
                </c:pt>
              </c:numCache>
            </c:numRef>
          </c:yVal>
          <c:bubbleSize>
            <c:numRef>
              <c:f>Hoja1!$AD$4:$AD$13</c:f>
              <c:numCache>
                <c:formatCode>General</c:formatCode>
                <c:ptCount val="10"/>
                <c:pt idx="0">
                  <c:v>0.40221546907165956</c:v>
                </c:pt>
                <c:pt idx="1">
                  <c:v>0.42260562689932346</c:v>
                </c:pt>
                <c:pt idx="2">
                  <c:v>0.46152338006077825</c:v>
                </c:pt>
                <c:pt idx="3">
                  <c:v>0.41476325850406814</c:v>
                </c:pt>
                <c:pt idx="4">
                  <c:v>0.44103519262817359</c:v>
                </c:pt>
                <c:pt idx="5">
                  <c:v>0.41633173218311931</c:v>
                </c:pt>
                <c:pt idx="6">
                  <c:v>0.43280070581315538</c:v>
                </c:pt>
                <c:pt idx="7">
                  <c:v>0.43750612685030871</c:v>
                </c:pt>
                <c:pt idx="8">
                  <c:v>0.448191353788844</c:v>
                </c:pt>
                <c:pt idx="9">
                  <c:v>0.40329379472600724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FFCB-4B04-8C60-FD7C8A401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51688488"/>
        <c:axId val="551687176"/>
      </c:bubbleChart>
      <c:valAx>
        <c:axId val="5516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7176"/>
        <c:crosses val="autoZero"/>
        <c:crossBetween val="midCat"/>
      </c:valAx>
      <c:valAx>
        <c:axId val="55168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bernoulli</a:t>
            </a:r>
          </a:p>
        </c:rich>
      </c:tx>
      <c:layout>
        <c:manualLayout>
          <c:xMode val="edge"/>
          <c:yMode val="edge"/>
          <c:x val="0.309272579683808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binomial!$C$6:$C$7</c:f>
              <c:numCache>
                <c:formatCode>General</c:formatCode>
                <c:ptCount val="2"/>
                <c:pt idx="0">
                  <c:v>0.9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D-4533-8A17-2D46AB94B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543960"/>
        <c:axId val="481544616"/>
      </c:barChart>
      <c:catAx>
        <c:axId val="48154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4616"/>
        <c:crosses val="autoZero"/>
        <c:auto val="1"/>
        <c:lblAlgn val="ctr"/>
        <c:lblOffset val="100"/>
        <c:noMultiLvlLbl val="0"/>
      </c:catAx>
      <c:valAx>
        <c:axId val="48154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binomial!$B$10:$B$13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binomial!$C$10:$C$13</c:f>
              <c:numCache>
                <c:formatCode>General</c:formatCode>
                <c:ptCount val="4"/>
                <c:pt idx="0">
                  <c:v>0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2-40F9-A380-E2504DB6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2056"/>
        <c:axId val="480200416"/>
      </c:scatterChart>
      <c:valAx>
        <c:axId val="48020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0416"/>
        <c:crosses val="autoZero"/>
        <c:crossBetween val="midCat"/>
      </c:valAx>
      <c:valAx>
        <c:axId val="4802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binomial!$G$5:$G$16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45</c:v>
                </c:pt>
                <c:pt idx="3">
                  <c:v>120</c:v>
                </c:pt>
                <c:pt idx="4">
                  <c:v>209.99999999999997</c:v>
                </c:pt>
                <c:pt idx="5">
                  <c:v>252</c:v>
                </c:pt>
                <c:pt idx="6">
                  <c:v>209.99999999999997</c:v>
                </c:pt>
                <c:pt idx="7">
                  <c:v>120</c:v>
                </c:pt>
                <c:pt idx="8">
                  <c:v>45</c:v>
                </c:pt>
                <c:pt idx="9">
                  <c:v>10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1-4BED-9CF6-02939BC108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binomial!$H$5:$H$16</c:f>
              <c:numCache>
                <c:formatCode>0.000%</c:formatCode>
                <c:ptCount val="12"/>
                <c:pt idx="0">
                  <c:v>6.0466175999999991E-3</c:v>
                </c:pt>
                <c:pt idx="1">
                  <c:v>4.0310783999999995E-2</c:v>
                </c:pt>
                <c:pt idx="2">
                  <c:v>0.12093235200000001</c:v>
                </c:pt>
                <c:pt idx="3">
                  <c:v>0.21499084800000001</c:v>
                </c:pt>
                <c:pt idx="4">
                  <c:v>0.25082265600000003</c:v>
                </c:pt>
                <c:pt idx="5">
                  <c:v>0.20065812480000011</c:v>
                </c:pt>
                <c:pt idx="6">
                  <c:v>0.11147673600000005</c:v>
                </c:pt>
                <c:pt idx="7">
                  <c:v>4.2467328000000026E-2</c:v>
                </c:pt>
                <c:pt idx="8">
                  <c:v>1.0616832000000008E-2</c:v>
                </c:pt>
                <c:pt idx="9">
                  <c:v>1.5728640000000013E-3</c:v>
                </c:pt>
                <c:pt idx="10">
                  <c:v>1.0485760000000011E-4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1-4BED-9CF6-02939BC10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666072"/>
        <c:axId val="547670008"/>
      </c:barChart>
      <c:catAx>
        <c:axId val="547666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7670008"/>
        <c:crosses val="autoZero"/>
        <c:auto val="1"/>
        <c:lblAlgn val="ctr"/>
        <c:lblOffset val="100"/>
        <c:noMultiLvlLbl val="0"/>
      </c:catAx>
      <c:valAx>
        <c:axId val="54767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766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poisson!$G$5:$G$25</c:f>
              <c:numCache>
                <c:formatCode>General</c:formatCode>
                <c:ptCount val="21"/>
                <c:pt idx="0">
                  <c:v>4.5399929762484854E-5</c:v>
                </c:pt>
                <c:pt idx="1">
                  <c:v>4.5399929762484856E-4</c:v>
                </c:pt>
                <c:pt idx="2">
                  <c:v>2.2699964881242427E-3</c:v>
                </c:pt>
                <c:pt idx="3">
                  <c:v>7.5666549604141422E-3</c:v>
                </c:pt>
                <c:pt idx="4">
                  <c:v>1.8916637401035354E-2</c:v>
                </c:pt>
                <c:pt idx="5">
                  <c:v>3.7833274802070709E-2</c:v>
                </c:pt>
                <c:pt idx="6">
                  <c:v>6.3055458003451179E-2</c:v>
                </c:pt>
                <c:pt idx="7">
                  <c:v>9.0079225719215991E-2</c:v>
                </c:pt>
                <c:pt idx="8">
                  <c:v>0.11259903214901998</c:v>
                </c:pt>
                <c:pt idx="9">
                  <c:v>0.1251100357211333</c:v>
                </c:pt>
                <c:pt idx="10">
                  <c:v>0.1251100357211333</c:v>
                </c:pt>
                <c:pt idx="11">
                  <c:v>0.11373639611012118</c:v>
                </c:pt>
                <c:pt idx="12">
                  <c:v>9.4780330091767659E-2</c:v>
                </c:pt>
                <c:pt idx="13">
                  <c:v>7.2907946224436665E-2</c:v>
                </c:pt>
                <c:pt idx="14">
                  <c:v>5.2077104446026187E-2</c:v>
                </c:pt>
                <c:pt idx="15">
                  <c:v>3.4718069630684127E-2</c:v>
                </c:pt>
                <c:pt idx="16">
                  <c:v>2.1698793519177577E-2</c:v>
                </c:pt>
                <c:pt idx="17">
                  <c:v>1.2763996187751515E-2</c:v>
                </c:pt>
                <c:pt idx="18">
                  <c:v>7.091108993195286E-3</c:v>
                </c:pt>
                <c:pt idx="19">
                  <c:v>3.7321626279975192E-3</c:v>
                </c:pt>
                <c:pt idx="20">
                  <c:v>1.8660813139987594E-3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D-4F9F-A661-CF1F4D30F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429824"/>
        <c:axId val="553433760"/>
      </c:barChart>
      <c:catAx>
        <c:axId val="55342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3433760"/>
        <c:crosses val="autoZero"/>
        <c:auto val="1"/>
        <c:lblAlgn val="ctr"/>
        <c:lblOffset val="100"/>
        <c:noMultiLvlLbl val="0"/>
      </c:catAx>
      <c:valAx>
        <c:axId val="55343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342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poisson!$C$5:$C$15</c:f>
              <c:numCache>
                <c:formatCode>General</c:formatCode>
                <c:ptCount val="11"/>
                <c:pt idx="0">
                  <c:v>0.1353352832366127</c:v>
                </c:pt>
                <c:pt idx="1">
                  <c:v>0.2706705664732254</c:v>
                </c:pt>
                <c:pt idx="2">
                  <c:v>0.2706705664732254</c:v>
                </c:pt>
                <c:pt idx="3">
                  <c:v>0.18044704431548361</c:v>
                </c:pt>
                <c:pt idx="4">
                  <c:v>9.0223522157741806E-2</c:v>
                </c:pt>
                <c:pt idx="5">
                  <c:v>3.6089408863096722E-2</c:v>
                </c:pt>
                <c:pt idx="6">
                  <c:v>1.2029802954365574E-2</c:v>
                </c:pt>
                <c:pt idx="7">
                  <c:v>3.4370865583901638E-3</c:v>
                </c:pt>
                <c:pt idx="8">
                  <c:v>8.5927163959754094E-4</c:v>
                </c:pt>
                <c:pt idx="9">
                  <c:v>1.9094925324389798E-4</c:v>
                </c:pt>
                <c:pt idx="10">
                  <c:v>3.8189850648779595E-5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F-4C31-9AA8-A8F041842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6537352"/>
        <c:axId val="546538008"/>
      </c:barChart>
      <c:catAx>
        <c:axId val="546537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6538008"/>
        <c:crosses val="autoZero"/>
        <c:auto val="1"/>
        <c:lblAlgn val="ctr"/>
        <c:lblOffset val="100"/>
        <c:noMultiLvlLbl val="0"/>
      </c:catAx>
      <c:valAx>
        <c:axId val="54653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653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poisson!$K$5:$K$37</c:f>
              <c:numCache>
                <c:formatCode>General</c:formatCode>
                <c:ptCount val="33"/>
                <c:pt idx="0">
                  <c:v>2.0611536224385579E-9</c:v>
                </c:pt>
                <c:pt idx="1">
                  <c:v>4.1223072448771159E-8</c:v>
                </c:pt>
                <c:pt idx="2">
                  <c:v>4.1223072448771158E-7</c:v>
                </c:pt>
                <c:pt idx="3">
                  <c:v>2.7482048299180773E-6</c:v>
                </c:pt>
                <c:pt idx="4">
                  <c:v>1.3741024149590386E-5</c:v>
                </c:pt>
                <c:pt idx="5">
                  <c:v>5.4964096598361543E-5</c:v>
                </c:pt>
                <c:pt idx="6">
                  <c:v>1.832136553278718E-4</c:v>
                </c:pt>
                <c:pt idx="7">
                  <c:v>5.2346758665106237E-4</c:v>
                </c:pt>
                <c:pt idx="8">
                  <c:v>1.3086689666276558E-3</c:v>
                </c:pt>
                <c:pt idx="9">
                  <c:v>2.9081532591725685E-3</c:v>
                </c:pt>
                <c:pt idx="10">
                  <c:v>5.8163065183451362E-3</c:v>
                </c:pt>
                <c:pt idx="11">
                  <c:v>1.0575102760627522E-2</c:v>
                </c:pt>
                <c:pt idx="12">
                  <c:v>1.7625171267712535E-2</c:v>
                </c:pt>
                <c:pt idx="13">
                  <c:v>2.7115648104173131E-2</c:v>
                </c:pt>
                <c:pt idx="14">
                  <c:v>3.8736640148818759E-2</c:v>
                </c:pt>
                <c:pt idx="15">
                  <c:v>5.1648853531758347E-2</c:v>
                </c:pt>
                <c:pt idx="16">
                  <c:v>6.4561066914697929E-2</c:v>
                </c:pt>
                <c:pt idx="17">
                  <c:v>7.595419637023286E-2</c:v>
                </c:pt>
                <c:pt idx="18">
                  <c:v>8.4393551522480958E-2</c:v>
                </c:pt>
                <c:pt idx="19">
                  <c:v>8.8835317392085222E-2</c:v>
                </c:pt>
                <c:pt idx="20">
                  <c:v>8.8835317392085208E-2</c:v>
                </c:pt>
                <c:pt idx="21">
                  <c:v>8.4605064182938311E-2</c:v>
                </c:pt>
                <c:pt idx="22">
                  <c:v>7.6913694711762098E-2</c:v>
                </c:pt>
                <c:pt idx="23">
                  <c:v>6.6881473662401811E-2</c:v>
                </c:pt>
                <c:pt idx="24">
                  <c:v>5.5734561385334849E-2</c:v>
                </c:pt>
                <c:pt idx="25">
                  <c:v>4.4587649108267888E-2</c:v>
                </c:pt>
                <c:pt idx="26">
                  <c:v>3.4298191621744523E-2</c:v>
                </c:pt>
                <c:pt idx="27">
                  <c:v>2.5406067867958907E-2</c:v>
                </c:pt>
                <c:pt idx="28">
                  <c:v>1.8147191334256366E-2</c:v>
                </c:pt>
                <c:pt idx="29">
                  <c:v>1.2515304368452664E-2</c:v>
                </c:pt>
                <c:pt idx="30">
                  <c:v>8.3435362456351081E-3</c:v>
                </c:pt>
                <c:pt idx="31">
                  <c:v>5.3829266100871662E-3</c:v>
                </c:pt>
                <c:pt idx="32">
                  <c:v>3.3643291313044795E-3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2-43AA-B70C-2C910024C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8002296"/>
        <c:axId val="548005576"/>
      </c:barChart>
      <c:catAx>
        <c:axId val="548002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8005576"/>
        <c:crosses val="autoZero"/>
        <c:auto val="1"/>
        <c:lblAlgn val="ctr"/>
        <c:lblOffset val="100"/>
        <c:noMultiLvlLbl val="0"/>
      </c:catAx>
      <c:valAx>
        <c:axId val="54800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800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bernoulli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bernoulli!$C$6:$C$7</c:f>
              <c:numCache>
                <c:formatCode>General</c:formatCode>
                <c:ptCount val="2"/>
                <c:pt idx="0">
                  <c:v>0.9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9-4F9A-9639-3E12ABEC2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543960"/>
        <c:axId val="481544616"/>
      </c:barChart>
      <c:catAx>
        <c:axId val="48154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4616"/>
        <c:crosses val="autoZero"/>
        <c:auto val="1"/>
        <c:lblAlgn val="ctr"/>
        <c:lblOffset val="100"/>
        <c:noMultiLvlLbl val="0"/>
      </c:catAx>
      <c:valAx>
        <c:axId val="48154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bernoulli!$B$10:$B$13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bernoulli!$C$10:$C$13</c:f>
              <c:numCache>
                <c:formatCode>General</c:formatCode>
                <c:ptCount val="4"/>
                <c:pt idx="0">
                  <c:v>0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3-43C9-A19B-854D5A670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2056"/>
        <c:axId val="480200416"/>
      </c:scatterChart>
      <c:valAx>
        <c:axId val="48020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0416"/>
        <c:crosses val="autoZero"/>
        <c:crossBetween val="midCat"/>
      </c:valAx>
      <c:valAx>
        <c:axId val="4802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15</xdr:row>
      <xdr:rowOff>171450</xdr:rowOff>
    </xdr:from>
    <xdr:to>
      <xdr:col>11</xdr:col>
      <xdr:colOff>209550</xdr:colOff>
      <xdr:row>23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FC0324-AC1C-4C7A-A94B-0B940D051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47625</xdr:colOff>
      <xdr:row>4</xdr:row>
      <xdr:rowOff>76199</xdr:rowOff>
    </xdr:from>
    <xdr:to>
      <xdr:col>20</xdr:col>
      <xdr:colOff>161925</xdr:colOff>
      <xdr:row>11</xdr:row>
      <xdr:rowOff>28574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5D482A-48A3-48F4-831C-13576EA78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628650</xdr:colOff>
      <xdr:row>11</xdr:row>
      <xdr:rowOff>9525</xdr:rowOff>
    </xdr:from>
    <xdr:to>
      <xdr:col>29</xdr:col>
      <xdr:colOff>838200</xdr:colOff>
      <xdr:row>25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8D46C6-7FDF-4986-B1AF-5F9E830C4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13</xdr:row>
      <xdr:rowOff>47625</xdr:rowOff>
    </xdr:from>
    <xdr:to>
      <xdr:col>2</xdr:col>
      <xdr:colOff>590550</xdr:colOff>
      <xdr:row>20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DC183F-E7F6-48EE-B24C-3B8D4194E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22</xdr:row>
      <xdr:rowOff>66675</xdr:rowOff>
    </xdr:from>
    <xdr:to>
      <xdr:col>3</xdr:col>
      <xdr:colOff>390525</xdr:colOff>
      <xdr:row>31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95D8A6-90A4-4E44-B94D-8D1DEE91C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647700</xdr:colOff>
      <xdr:row>11</xdr:row>
      <xdr:rowOff>0</xdr:rowOff>
    </xdr:from>
    <xdr:to>
      <xdr:col>11</xdr:col>
      <xdr:colOff>381000</xdr:colOff>
      <xdr:row>25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B160EE6-A2DE-40C8-A2DF-7204984B4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25</xdr:row>
      <xdr:rowOff>38100</xdr:rowOff>
    </xdr:from>
    <xdr:to>
      <xdr:col>8</xdr:col>
      <xdr:colOff>28575</xdr:colOff>
      <xdr:row>36</xdr:row>
      <xdr:rowOff>57149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B2C378-2A30-4DB9-8E5B-42A878F12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15</xdr:row>
      <xdr:rowOff>161925</xdr:rowOff>
    </xdr:from>
    <xdr:to>
      <xdr:col>3</xdr:col>
      <xdr:colOff>504825</xdr:colOff>
      <xdr:row>27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AD3F11F-9134-48F0-A173-B7B2B198B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39</xdr:row>
      <xdr:rowOff>66674</xdr:rowOff>
    </xdr:from>
    <xdr:to>
      <xdr:col>11</xdr:col>
      <xdr:colOff>238125</xdr:colOff>
      <xdr:row>48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F0A21EB-3C03-4DE0-A088-535EA4279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0</xdr:row>
      <xdr:rowOff>171450</xdr:rowOff>
    </xdr:from>
    <xdr:to>
      <xdr:col>9</xdr:col>
      <xdr:colOff>600074</xdr:colOff>
      <xdr:row>12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2A9F5E-6A81-4464-A9E2-85FF7CEB5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13</xdr:row>
      <xdr:rowOff>161925</xdr:rowOff>
    </xdr:from>
    <xdr:to>
      <xdr:col>6</xdr:col>
      <xdr:colOff>238125</xdr:colOff>
      <xdr:row>28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BEB2AF1-D98F-4B92-A744-D3CE40DF3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P1048576"/>
  <sheetViews>
    <sheetView topLeftCell="V1" zoomScaleNormal="100" workbookViewId="0">
      <selection activeCell="AF25" sqref="AF25"/>
    </sheetView>
  </sheetViews>
  <sheetFormatPr baseColWidth="10" defaultRowHeight="15" x14ac:dyDescent="0.25"/>
  <cols>
    <col min="1" max="1" width="17.140625" bestFit="1" customWidth="1"/>
    <col min="2" max="2" width="18.28515625" bestFit="1" customWidth="1"/>
    <col min="3" max="3" width="11.28515625" bestFit="1" customWidth="1"/>
    <col min="4" max="4" width="7.85546875" bestFit="1" customWidth="1"/>
    <col min="5" max="5" width="11.28515625" bestFit="1" customWidth="1"/>
    <col min="6" max="6" width="7.85546875" bestFit="1" customWidth="1"/>
    <col min="8" max="13" width="11.42578125" style="4"/>
    <col min="14" max="14" width="5" style="4" customWidth="1"/>
    <col min="15" max="15" width="4.85546875" style="4" customWidth="1"/>
    <col min="16" max="16" width="5.7109375" style="4" customWidth="1"/>
    <col min="17" max="23" width="11.42578125" style="4"/>
    <col min="24" max="24" width="15" style="4" bestFit="1" customWidth="1"/>
    <col min="25" max="25" width="19.28515625" style="4" bestFit="1" customWidth="1"/>
    <col min="26" max="26" width="11.85546875" style="4" bestFit="1" customWidth="1"/>
    <col min="27" max="29" width="11.42578125" style="4"/>
    <col min="30" max="30" width="13" style="4" bestFit="1" customWidth="1"/>
    <col min="31" max="16384" width="11.42578125" style="4"/>
  </cols>
  <sheetData>
    <row r="1" spans="1:3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I1" s="5" t="s">
        <v>21</v>
      </c>
      <c r="J1" s="4" t="s">
        <v>20</v>
      </c>
      <c r="K1" s="4" t="s">
        <v>19</v>
      </c>
      <c r="L1" s="4" t="s">
        <v>22</v>
      </c>
      <c r="M1" s="4" t="s">
        <v>23</v>
      </c>
      <c r="Q1" s="4" t="s">
        <v>24</v>
      </c>
      <c r="R1" s="4" t="s">
        <v>20</v>
      </c>
      <c r="S1" s="4" t="s">
        <v>19</v>
      </c>
      <c r="T1" s="4" t="s">
        <v>22</v>
      </c>
      <c r="V1" s="4" t="s">
        <v>33</v>
      </c>
      <c r="W1" s="4" t="s">
        <v>34</v>
      </c>
      <c r="X1" s="4" t="s">
        <v>35</v>
      </c>
    </row>
    <row r="2" spans="1:32" x14ac:dyDescent="0.25">
      <c r="A2" s="1" t="s">
        <v>13</v>
      </c>
      <c r="B2" s="2" t="s">
        <v>16</v>
      </c>
      <c r="C2" s="3" t="s">
        <v>11</v>
      </c>
      <c r="D2" s="1">
        <v>149.5</v>
      </c>
      <c r="E2" s="1">
        <v>138.80000000000001</v>
      </c>
      <c r="F2" s="1">
        <v>20.3</v>
      </c>
      <c r="G2" s="1">
        <f t="shared" ref="G2:G65" si="0">IF(C2="alto",1,IF(C2="medio",2,3))</f>
        <v>1</v>
      </c>
      <c r="I2" s="6">
        <f>COUNT(G2:G391)</f>
        <v>390</v>
      </c>
      <c r="J2" s="4">
        <v>1</v>
      </c>
      <c r="K2" s="4">
        <f t="array" ref="K2:K4">FREQUENCY(G2:G391,J2:J4)</f>
        <v>71</v>
      </c>
      <c r="L2" s="4">
        <f>TRUNC(K2/$I$2,4)</f>
        <v>0.182</v>
      </c>
      <c r="M2" s="4">
        <f>L2</f>
        <v>0.182</v>
      </c>
      <c r="Q2" s="4">
        <v>2</v>
      </c>
      <c r="R2" s="4">
        <v>1</v>
      </c>
      <c r="S2" s="4">
        <f t="array" ref="S2:S4">FREQUENCY(Q2:Q1001,R2:R4)</f>
        <v>196</v>
      </c>
      <c r="T2" s="4">
        <f>S2/1000</f>
        <v>0.19600000000000001</v>
      </c>
      <c r="V2" s="4">
        <v>2</v>
      </c>
      <c r="W2" s="4" t="s">
        <v>18</v>
      </c>
      <c r="X2" s="4">
        <v>0.16831683168316833</v>
      </c>
      <c r="Y2" s="4" t="s">
        <v>36</v>
      </c>
      <c r="Z2" s="4">
        <f>COUNT(V:V)</f>
        <v>101</v>
      </c>
    </row>
    <row r="3" spans="1:32" x14ac:dyDescent="0.25">
      <c r="A3" s="1" t="s">
        <v>13</v>
      </c>
      <c r="B3" s="2" t="s">
        <v>16</v>
      </c>
      <c r="C3" s="3" t="s">
        <v>11</v>
      </c>
      <c r="D3" s="1">
        <v>148.1</v>
      </c>
      <c r="E3" s="1">
        <v>116.5</v>
      </c>
      <c r="F3" s="1">
        <v>18.3</v>
      </c>
      <c r="G3" s="1">
        <f t="shared" si="0"/>
        <v>1</v>
      </c>
      <c r="J3" s="4">
        <v>2</v>
      </c>
      <c r="K3" s="4">
        <v>240</v>
      </c>
      <c r="L3" s="4">
        <f>TRUNC(K3/$I$2,4)</f>
        <v>0.61529999999999996</v>
      </c>
      <c r="M3" s="4">
        <f>M2+L3</f>
        <v>0.7972999999999999</v>
      </c>
      <c r="Q3" s="4">
        <v>2</v>
      </c>
      <c r="R3" s="4">
        <v>2</v>
      </c>
      <c r="S3" s="4">
        <v>613</v>
      </c>
      <c r="T3" s="4">
        <f t="shared" ref="T3:T4" si="1">S3/1000</f>
        <v>0.61299999999999999</v>
      </c>
      <c r="V3" s="4">
        <v>2</v>
      </c>
      <c r="W3" s="4" t="s">
        <v>11</v>
      </c>
      <c r="X3" s="4">
        <v>0.16831683168316833</v>
      </c>
      <c r="Y3" s="4" t="s">
        <v>37</v>
      </c>
      <c r="Z3" s="4">
        <f>COUNTIF(W:W,"bajo")</f>
        <v>20</v>
      </c>
      <c r="AB3" s="4" t="s">
        <v>42</v>
      </c>
      <c r="AC3" s="4" t="s">
        <v>43</v>
      </c>
      <c r="AD3" s="4" t="s">
        <v>44</v>
      </c>
      <c r="AE3" s="4" t="s">
        <v>31</v>
      </c>
      <c r="AF3" s="4" t="s">
        <v>32</v>
      </c>
    </row>
    <row r="4" spans="1:32" x14ac:dyDescent="0.25">
      <c r="A4" s="1" t="s">
        <v>13</v>
      </c>
      <c r="B4" s="2" t="s">
        <v>16</v>
      </c>
      <c r="C4" s="3" t="s">
        <v>11</v>
      </c>
      <c r="D4" s="1">
        <v>136.30000000000001</v>
      </c>
      <c r="E4" s="1">
        <v>134.1</v>
      </c>
      <c r="F4" s="1">
        <v>22</v>
      </c>
      <c r="G4" s="1">
        <f t="shared" si="0"/>
        <v>1</v>
      </c>
      <c r="J4" s="4">
        <v>3</v>
      </c>
      <c r="K4" s="4">
        <v>79</v>
      </c>
      <c r="L4" s="4">
        <f>TRUNC(K4/$I$2,4)</f>
        <v>0.20250000000000001</v>
      </c>
      <c r="M4" s="4">
        <f>M3+L4</f>
        <v>0.99979999999999991</v>
      </c>
      <c r="Q4" s="4">
        <v>2</v>
      </c>
      <c r="R4" s="4">
        <v>3</v>
      </c>
      <c r="S4" s="4">
        <v>191</v>
      </c>
      <c r="T4" s="4">
        <f t="shared" si="1"/>
        <v>0.191</v>
      </c>
      <c r="V4" s="4">
        <v>1</v>
      </c>
      <c r="W4" s="4" t="s">
        <v>8</v>
      </c>
      <c r="X4" s="4">
        <v>0.17821782178217821</v>
      </c>
      <c r="Y4" s="4" t="s">
        <v>38</v>
      </c>
      <c r="Z4" s="4">
        <f>Z3/Z2</f>
        <v>0.19801980198019803</v>
      </c>
      <c r="AB4" s="4">
        <v>1</v>
      </c>
      <c r="AC4" s="4">
        <v>19</v>
      </c>
      <c r="AD4" s="4">
        <v>0.40221546907165956</v>
      </c>
      <c r="AE4" s="4">
        <v>0.35355038158682961</v>
      </c>
      <c r="AF4" s="4">
        <v>0.45088055655648951</v>
      </c>
    </row>
    <row r="5" spans="1:32" x14ac:dyDescent="0.25">
      <c r="A5" s="1" t="s">
        <v>13</v>
      </c>
      <c r="B5" s="2" t="s">
        <v>14</v>
      </c>
      <c r="C5" s="3" t="s">
        <v>11</v>
      </c>
      <c r="D5" s="1">
        <v>130.69999999999999</v>
      </c>
      <c r="E5" s="1">
        <v>139</v>
      </c>
      <c r="F5" s="1">
        <v>21.3</v>
      </c>
      <c r="G5" s="1">
        <f t="shared" si="0"/>
        <v>1</v>
      </c>
      <c r="Q5" s="4">
        <v>3</v>
      </c>
      <c r="V5" s="4">
        <v>1</v>
      </c>
      <c r="W5" s="4" t="s">
        <v>8</v>
      </c>
      <c r="X5" s="4">
        <v>0.18811881188118812</v>
      </c>
      <c r="Y5" s="4" t="s">
        <v>39</v>
      </c>
      <c r="Z5" s="4">
        <f>AVERAGE(X:X)</f>
        <v>0.40329379472600724</v>
      </c>
      <c r="AB5" s="4">
        <v>2</v>
      </c>
      <c r="AC5" s="4">
        <v>22</v>
      </c>
      <c r="AD5" s="4">
        <v>0.42260562689932346</v>
      </c>
      <c r="AE5" s="4">
        <v>0.37358039024572925</v>
      </c>
      <c r="AF5" s="4">
        <v>0.47163086355291767</v>
      </c>
    </row>
    <row r="6" spans="1:32" x14ac:dyDescent="0.25">
      <c r="A6" s="1" t="s">
        <v>13</v>
      </c>
      <c r="B6" s="2" t="s">
        <v>10</v>
      </c>
      <c r="C6" s="3" t="s">
        <v>11</v>
      </c>
      <c r="D6" s="1">
        <v>163.30000000000001</v>
      </c>
      <c r="E6" s="1">
        <v>128.6</v>
      </c>
      <c r="F6" s="1">
        <v>21.6</v>
      </c>
      <c r="G6" s="1">
        <f t="shared" si="0"/>
        <v>1</v>
      </c>
      <c r="Q6" s="4">
        <v>2</v>
      </c>
      <c r="V6" s="4">
        <v>3</v>
      </c>
      <c r="W6" s="4" t="s">
        <v>18</v>
      </c>
      <c r="X6" s="4">
        <v>0.18811881188118812</v>
      </c>
      <c r="Y6" s="4" t="s">
        <v>40</v>
      </c>
      <c r="Z6" s="4">
        <f>$Z$5-$J$15*(SQRT($Z$5*(1-$Z$5)/$I$2))</f>
        <v>0.35460748758926675</v>
      </c>
      <c r="AB6" s="4">
        <v>3</v>
      </c>
      <c r="AC6" s="4">
        <v>18</v>
      </c>
      <c r="AD6" s="4">
        <v>0.46152338006077825</v>
      </c>
      <c r="AE6" s="4">
        <v>0.41204721080678686</v>
      </c>
      <c r="AF6" s="4">
        <v>0.51099954931476965</v>
      </c>
    </row>
    <row r="7" spans="1:32" x14ac:dyDescent="0.25">
      <c r="A7" s="1" t="s">
        <v>12</v>
      </c>
      <c r="B7" s="2" t="s">
        <v>10</v>
      </c>
      <c r="C7" s="3" t="s">
        <v>11</v>
      </c>
      <c r="D7" s="1">
        <v>162.30000000000001</v>
      </c>
      <c r="E7" s="1">
        <v>127.2</v>
      </c>
      <c r="F7" s="1">
        <v>21</v>
      </c>
      <c r="G7" s="1">
        <f t="shared" si="0"/>
        <v>1</v>
      </c>
      <c r="I7" s="4">
        <f ca="1">RANDBETWEEN(J2,J4)</f>
        <v>2</v>
      </c>
      <c r="Q7" s="4">
        <v>2</v>
      </c>
      <c r="V7" s="4">
        <v>2</v>
      </c>
      <c r="W7" s="4" t="s">
        <v>18</v>
      </c>
      <c r="X7" s="4">
        <v>0.18811881188118812</v>
      </c>
      <c r="Y7" s="4" t="s">
        <v>41</v>
      </c>
      <c r="Z7" s="4">
        <f>$Z$5+$J$15*(SQRT($Z$5*(1-$Z$5)/$I$2))</f>
        <v>0.45198010186274773</v>
      </c>
      <c r="AB7" s="4">
        <v>4</v>
      </c>
      <c r="AC7" s="4">
        <v>19</v>
      </c>
      <c r="AD7" s="4">
        <v>0.41476325850406814</v>
      </c>
      <c r="AE7" s="4">
        <v>0.36586631438233197</v>
      </c>
      <c r="AF7" s="4">
        <v>0.46366020262580432</v>
      </c>
    </row>
    <row r="8" spans="1:32" x14ac:dyDescent="0.25">
      <c r="A8" s="1" t="s">
        <v>12</v>
      </c>
      <c r="B8" s="2" t="s">
        <v>10</v>
      </c>
      <c r="C8" s="3" t="s">
        <v>11</v>
      </c>
      <c r="D8" s="1">
        <v>161.80000000000001</v>
      </c>
      <c r="E8" s="1">
        <v>115.6</v>
      </c>
      <c r="F8" s="1">
        <v>18.7</v>
      </c>
      <c r="G8" s="1">
        <f t="shared" si="0"/>
        <v>1</v>
      </c>
      <c r="I8" s="7">
        <f ca="1">TRUNC(RAND(),4)</f>
        <v>0.7762</v>
      </c>
      <c r="J8" s="7">
        <f ca="1">IF(I8&lt;=M2,J2,IF(I8&lt;=M3,J3,J4))</f>
        <v>2</v>
      </c>
      <c r="K8" s="7" t="str">
        <f ca="1">IF(J8=1,"bajo",IF(J8=2,"medio","alto"))</f>
        <v>medio</v>
      </c>
      <c r="Q8" s="4">
        <v>2</v>
      </c>
      <c r="V8" s="4">
        <v>2</v>
      </c>
      <c r="W8" s="4" t="s">
        <v>18</v>
      </c>
      <c r="X8" s="4">
        <v>0.18811881188118812</v>
      </c>
      <c r="AB8" s="4">
        <v>5</v>
      </c>
      <c r="AC8" s="4">
        <v>20</v>
      </c>
      <c r="AD8" s="4">
        <v>0.44103519262817359</v>
      </c>
      <c r="AE8" s="4">
        <v>0.39175814916659096</v>
      </c>
      <c r="AF8" s="4">
        <v>0.49031223608975621</v>
      </c>
    </row>
    <row r="9" spans="1:32" x14ac:dyDescent="0.25">
      <c r="A9" s="1" t="s">
        <v>13</v>
      </c>
      <c r="B9" s="2" t="s">
        <v>10</v>
      </c>
      <c r="C9" s="3" t="s">
        <v>11</v>
      </c>
      <c r="D9" s="1">
        <v>161.5</v>
      </c>
      <c r="E9" s="1">
        <v>133.9</v>
      </c>
      <c r="F9" s="1">
        <v>21.7</v>
      </c>
      <c r="G9" s="1">
        <f t="shared" si="0"/>
        <v>1</v>
      </c>
      <c r="Q9" s="4">
        <v>3</v>
      </c>
      <c r="V9" s="4">
        <v>2</v>
      </c>
      <c r="W9" s="4" t="s">
        <v>11</v>
      </c>
      <c r="X9" s="4">
        <v>0.17821782178217821</v>
      </c>
      <c r="AB9" s="4">
        <v>6</v>
      </c>
      <c r="AC9" s="4">
        <v>19</v>
      </c>
      <c r="AD9" s="4">
        <v>0.41633173218311931</v>
      </c>
      <c r="AE9" s="4">
        <v>0.36740811203266466</v>
      </c>
      <c r="AF9" s="4">
        <v>0.46525535233357396</v>
      </c>
    </row>
    <row r="10" spans="1:32" x14ac:dyDescent="0.25">
      <c r="A10" s="1" t="s">
        <v>13</v>
      </c>
      <c r="B10" s="2" t="s">
        <v>10</v>
      </c>
      <c r="C10" s="3" t="s">
        <v>11</v>
      </c>
      <c r="D10" s="1">
        <v>161.19999999999999</v>
      </c>
      <c r="E10" s="1">
        <v>121.9</v>
      </c>
      <c r="F10" s="1">
        <v>22.7</v>
      </c>
      <c r="G10" s="1">
        <f t="shared" si="0"/>
        <v>1</v>
      </c>
      <c r="I10" s="4" t="s">
        <v>25</v>
      </c>
      <c r="J10" s="4">
        <v>0.2026</v>
      </c>
      <c r="K10" s="4" t="s">
        <v>31</v>
      </c>
      <c r="L10" s="4" t="s">
        <v>32</v>
      </c>
      <c r="Q10" s="4">
        <v>3</v>
      </c>
      <c r="V10" s="4">
        <v>3</v>
      </c>
      <c r="W10" s="4" t="s">
        <v>11</v>
      </c>
      <c r="X10" s="4">
        <v>0.16831683168316833</v>
      </c>
      <c r="AB10" s="4">
        <v>7</v>
      </c>
      <c r="AC10" s="4">
        <v>20</v>
      </c>
      <c r="AD10" s="4">
        <v>0.43280070581315538</v>
      </c>
      <c r="AE10" s="4">
        <v>0.38362760350919078</v>
      </c>
      <c r="AF10" s="4">
        <v>0.48197380811711998</v>
      </c>
    </row>
    <row r="11" spans="1:32" x14ac:dyDescent="0.25">
      <c r="A11" s="1" t="s">
        <v>12</v>
      </c>
      <c r="B11" s="2" t="s">
        <v>10</v>
      </c>
      <c r="C11" s="3" t="s">
        <v>11</v>
      </c>
      <c r="D11" s="1">
        <v>159.69999999999999</v>
      </c>
      <c r="E11" s="1">
        <v>121.9</v>
      </c>
      <c r="F11" s="1">
        <v>19.399999999999999</v>
      </c>
      <c r="G11" s="1">
        <f t="shared" si="0"/>
        <v>1</v>
      </c>
      <c r="I11" s="4" t="s">
        <v>26</v>
      </c>
      <c r="J11" s="4">
        <v>0.95</v>
      </c>
      <c r="K11" s="4">
        <f>J10-J15*SQRT((J10*(1-J10)/I2))</f>
        <v>0.16270911938898383</v>
      </c>
      <c r="L11" s="4">
        <f>J10+J15*SQRT((J10*(1-J10)/I2))</f>
        <v>0.24249088061101617</v>
      </c>
      <c r="Q11" s="4">
        <v>2</v>
      </c>
      <c r="V11" s="4">
        <v>1</v>
      </c>
      <c r="W11" s="4" t="s">
        <v>8</v>
      </c>
      <c r="X11" s="4">
        <v>0.17821782178217821</v>
      </c>
      <c r="AB11" s="4">
        <v>8</v>
      </c>
      <c r="AC11" s="4">
        <v>21</v>
      </c>
      <c r="AD11" s="4">
        <v>0.43750612685030871</v>
      </c>
      <c r="AE11" s="4">
        <v>0.38827194161082429</v>
      </c>
      <c r="AF11" s="4">
        <v>0.48674031208979313</v>
      </c>
    </row>
    <row r="12" spans="1:32" x14ac:dyDescent="0.25">
      <c r="A12" s="1" t="s">
        <v>12</v>
      </c>
      <c r="B12" s="2" t="s">
        <v>10</v>
      </c>
      <c r="C12" s="3" t="s">
        <v>11</v>
      </c>
      <c r="D12" s="1">
        <v>159.30000000000001</v>
      </c>
      <c r="E12" s="1">
        <v>130.30000000000001</v>
      </c>
      <c r="F12" s="1">
        <v>21.7</v>
      </c>
      <c r="G12" s="1">
        <f t="shared" si="0"/>
        <v>1</v>
      </c>
      <c r="I12" s="4" t="s">
        <v>27</v>
      </c>
      <c r="J12" s="4">
        <f>1-J11</f>
        <v>5.0000000000000044E-2</v>
      </c>
      <c r="Q12" s="4">
        <v>1</v>
      </c>
      <c r="V12" s="4">
        <v>2</v>
      </c>
      <c r="W12" s="4" t="s">
        <v>18</v>
      </c>
      <c r="X12" s="4">
        <v>0.17821782178217821</v>
      </c>
      <c r="AB12" s="4">
        <v>9</v>
      </c>
      <c r="AC12" s="4">
        <v>18</v>
      </c>
      <c r="AD12" s="4">
        <v>0.448191353788844</v>
      </c>
      <c r="AE12" s="4">
        <v>0.39883514700010775</v>
      </c>
      <c r="AF12" s="4">
        <v>0.49754756057758026</v>
      </c>
    </row>
    <row r="13" spans="1:32" x14ac:dyDescent="0.25">
      <c r="A13" s="1" t="s">
        <v>9</v>
      </c>
      <c r="B13" s="2" t="s">
        <v>10</v>
      </c>
      <c r="C13" s="3" t="s">
        <v>11</v>
      </c>
      <c r="D13" s="1">
        <v>159</v>
      </c>
      <c r="E13" s="1">
        <v>144.1</v>
      </c>
      <c r="F13" s="1">
        <v>20</v>
      </c>
      <c r="G13" s="1">
        <f t="shared" si="0"/>
        <v>1</v>
      </c>
      <c r="I13" s="4" t="s">
        <v>28</v>
      </c>
      <c r="J13" s="4">
        <f>J12/2</f>
        <v>2.5000000000000022E-2</v>
      </c>
      <c r="Q13" s="4">
        <v>2</v>
      </c>
      <c r="V13" s="4">
        <v>3</v>
      </c>
      <c r="W13" s="4" t="s">
        <v>18</v>
      </c>
      <c r="X13" s="4">
        <v>0.16831683168316833</v>
      </c>
      <c r="AB13" s="4">
        <v>10</v>
      </c>
      <c r="AC13" s="4">
        <v>20</v>
      </c>
      <c r="AD13" s="4">
        <v>0.40329379472600724</v>
      </c>
      <c r="AE13" s="4">
        <v>0.35460748758926675</v>
      </c>
      <c r="AF13" s="4">
        <v>0.45198010186274773</v>
      </c>
    </row>
    <row r="14" spans="1:32" x14ac:dyDescent="0.25">
      <c r="A14" s="1" t="s">
        <v>12</v>
      </c>
      <c r="B14" s="2" t="s">
        <v>10</v>
      </c>
      <c r="C14" s="3" t="s">
        <v>11</v>
      </c>
      <c r="D14" s="1">
        <v>158.69999999999999</v>
      </c>
      <c r="E14" s="1">
        <v>129.80000000000001</v>
      </c>
      <c r="F14" s="1">
        <v>23</v>
      </c>
      <c r="G14" s="1">
        <f t="shared" si="0"/>
        <v>1</v>
      </c>
      <c r="I14" s="4" t="s">
        <v>29</v>
      </c>
      <c r="J14" s="4">
        <f>1-J13</f>
        <v>0.97499999999999998</v>
      </c>
      <c r="Q14" s="4">
        <v>2</v>
      </c>
      <c r="V14" s="4">
        <v>2</v>
      </c>
      <c r="W14" s="4" t="s">
        <v>18</v>
      </c>
      <c r="X14" s="4">
        <v>0.16831683168316833</v>
      </c>
    </row>
    <row r="15" spans="1:32" x14ac:dyDescent="0.25">
      <c r="A15" s="1" t="s">
        <v>12</v>
      </c>
      <c r="B15" s="2" t="s">
        <v>10</v>
      </c>
      <c r="C15" s="3" t="s">
        <v>11</v>
      </c>
      <c r="D15" s="1">
        <v>158.6</v>
      </c>
      <c r="E15" s="1">
        <v>133.30000000000001</v>
      </c>
      <c r="F15" s="1">
        <v>19.600000000000001</v>
      </c>
      <c r="G15" s="1">
        <f t="shared" si="0"/>
        <v>1</v>
      </c>
      <c r="I15" s="4" t="s">
        <v>30</v>
      </c>
      <c r="J15" s="6">
        <f>NORMSINV(J14)</f>
        <v>1.9599639845400536</v>
      </c>
      <c r="Q15" s="4">
        <v>2</v>
      </c>
      <c r="V15" s="4">
        <v>2</v>
      </c>
      <c r="W15" s="4" t="s">
        <v>18</v>
      </c>
      <c r="X15" s="4">
        <v>0.15841584158415842</v>
      </c>
    </row>
    <row r="16" spans="1:32" x14ac:dyDescent="0.25">
      <c r="A16" s="1" t="s">
        <v>6</v>
      </c>
      <c r="B16" s="2" t="s">
        <v>10</v>
      </c>
      <c r="C16" s="3" t="s">
        <v>11</v>
      </c>
      <c r="D16" s="1">
        <v>157.80000000000001</v>
      </c>
      <c r="E16" s="1">
        <v>136.5</v>
      </c>
      <c r="F16" s="1">
        <v>22.1</v>
      </c>
      <c r="G16" s="1">
        <f t="shared" si="0"/>
        <v>1</v>
      </c>
      <c r="Q16" s="4">
        <v>3</v>
      </c>
      <c r="V16" s="4">
        <v>2</v>
      </c>
      <c r="W16" s="4" t="s">
        <v>18</v>
      </c>
      <c r="X16" s="4">
        <v>0.15841584158415842</v>
      </c>
    </row>
    <row r="17" spans="1:32" x14ac:dyDescent="0.25">
      <c r="A17" s="1" t="s">
        <v>6</v>
      </c>
      <c r="B17" s="2" t="s">
        <v>10</v>
      </c>
      <c r="C17" s="3" t="s">
        <v>11</v>
      </c>
      <c r="D17" s="1">
        <v>157.69999999999999</v>
      </c>
      <c r="E17" s="1">
        <v>130.9</v>
      </c>
      <c r="F17" s="1">
        <v>22</v>
      </c>
      <c r="G17" s="1">
        <f t="shared" si="0"/>
        <v>1</v>
      </c>
      <c r="Q17" s="4">
        <v>1</v>
      </c>
      <c r="V17" s="4">
        <v>2</v>
      </c>
      <c r="W17" s="4" t="s">
        <v>8</v>
      </c>
      <c r="X17" s="4">
        <v>0.16831683168316833</v>
      </c>
    </row>
    <row r="18" spans="1:32" x14ac:dyDescent="0.25">
      <c r="A18" s="1" t="s">
        <v>9</v>
      </c>
      <c r="B18" s="2" t="s">
        <v>10</v>
      </c>
      <c r="C18" s="3" t="s">
        <v>11</v>
      </c>
      <c r="D18" s="1">
        <v>156.69999999999999</v>
      </c>
      <c r="E18" s="1">
        <v>146</v>
      </c>
      <c r="F18" s="1">
        <v>20.100000000000001</v>
      </c>
      <c r="G18" s="1">
        <f t="shared" si="0"/>
        <v>1</v>
      </c>
      <c r="Q18" s="4">
        <v>1</v>
      </c>
      <c r="V18" s="4">
        <v>2</v>
      </c>
      <c r="W18" s="4" t="s">
        <v>11</v>
      </c>
      <c r="X18" s="4">
        <v>0.16831683168316833</v>
      </c>
    </row>
    <row r="19" spans="1:32" x14ac:dyDescent="0.25">
      <c r="A19" s="1" t="s">
        <v>13</v>
      </c>
      <c r="B19" s="2" t="s">
        <v>10</v>
      </c>
      <c r="C19" s="3" t="s">
        <v>11</v>
      </c>
      <c r="D19" s="1">
        <v>156</v>
      </c>
      <c r="E19" s="1">
        <v>148.4</v>
      </c>
      <c r="F19" s="1">
        <v>22.7</v>
      </c>
      <c r="G19" s="1">
        <f t="shared" si="0"/>
        <v>1</v>
      </c>
      <c r="Q19" s="4">
        <v>2</v>
      </c>
      <c r="V19" s="4">
        <v>2</v>
      </c>
      <c r="W19" s="4" t="s">
        <v>18</v>
      </c>
      <c r="X19" s="4">
        <v>0.16831683168316833</v>
      </c>
    </row>
    <row r="20" spans="1:32" x14ac:dyDescent="0.25">
      <c r="A20" s="1" t="s">
        <v>9</v>
      </c>
      <c r="B20" s="2" t="s">
        <v>10</v>
      </c>
      <c r="C20" s="3" t="s">
        <v>11</v>
      </c>
      <c r="D20" s="1">
        <v>156</v>
      </c>
      <c r="E20" s="1">
        <v>124.1</v>
      </c>
      <c r="F20" s="1">
        <v>20.3</v>
      </c>
      <c r="G20" s="1">
        <f t="shared" si="0"/>
        <v>1</v>
      </c>
      <c r="Q20" s="4">
        <v>1</v>
      </c>
      <c r="V20" s="4">
        <v>3</v>
      </c>
      <c r="W20" s="4" t="s">
        <v>11</v>
      </c>
      <c r="X20" s="4">
        <v>0.16831683168316833</v>
      </c>
    </row>
    <row r="21" spans="1:32" x14ac:dyDescent="0.25">
      <c r="A21" s="1" t="s">
        <v>12</v>
      </c>
      <c r="B21" s="2" t="s">
        <v>10</v>
      </c>
      <c r="C21" s="3" t="s">
        <v>11</v>
      </c>
      <c r="D21" s="1">
        <v>155.5</v>
      </c>
      <c r="E21" s="1">
        <v>136.4</v>
      </c>
      <c r="F21" s="1">
        <v>22.9</v>
      </c>
      <c r="G21" s="1">
        <f t="shared" si="0"/>
        <v>1</v>
      </c>
      <c r="Q21" s="4">
        <v>2</v>
      </c>
      <c r="V21" s="4">
        <v>3</v>
      </c>
      <c r="W21" s="4" t="s">
        <v>18</v>
      </c>
      <c r="X21" s="4">
        <v>0.16831683168316833</v>
      </c>
    </row>
    <row r="22" spans="1:32" x14ac:dyDescent="0.25">
      <c r="A22" s="1" t="s">
        <v>13</v>
      </c>
      <c r="B22" s="2" t="s">
        <v>10</v>
      </c>
      <c r="C22" s="3" t="s">
        <v>11</v>
      </c>
      <c r="D22" s="1">
        <v>155.4</v>
      </c>
      <c r="E22" s="1">
        <v>161.5</v>
      </c>
      <c r="F22" s="1">
        <v>22.4</v>
      </c>
      <c r="G22" s="1">
        <f t="shared" si="0"/>
        <v>1</v>
      </c>
      <c r="Q22" s="4">
        <v>2</v>
      </c>
      <c r="V22" s="4">
        <v>1</v>
      </c>
      <c r="W22" s="4" t="s">
        <v>18</v>
      </c>
      <c r="X22" s="4">
        <v>0.16831683168316833</v>
      </c>
    </row>
    <row r="23" spans="1:32" x14ac:dyDescent="0.25">
      <c r="A23" s="1" t="s">
        <v>13</v>
      </c>
      <c r="B23" s="2" t="s">
        <v>10</v>
      </c>
      <c r="C23" s="3" t="s">
        <v>11</v>
      </c>
      <c r="D23" s="1">
        <v>151.6</v>
      </c>
      <c r="E23" s="1">
        <v>134.30000000000001</v>
      </c>
      <c r="F23" s="1">
        <v>21</v>
      </c>
      <c r="G23" s="1">
        <f t="shared" si="0"/>
        <v>1</v>
      </c>
      <c r="Q23" s="4">
        <v>2</v>
      </c>
      <c r="V23" s="4">
        <v>2</v>
      </c>
      <c r="W23" s="4" t="s">
        <v>18</v>
      </c>
      <c r="X23" s="4">
        <v>0.16831683168316833</v>
      </c>
      <c r="AF23" s="4" t="s">
        <v>45</v>
      </c>
    </row>
    <row r="24" spans="1:32" x14ac:dyDescent="0.25">
      <c r="A24" s="1" t="s">
        <v>17</v>
      </c>
      <c r="B24" s="2" t="s">
        <v>10</v>
      </c>
      <c r="C24" s="3" t="s">
        <v>11</v>
      </c>
      <c r="D24" s="1">
        <v>150.80000000000001</v>
      </c>
      <c r="E24" s="1">
        <v>136.4</v>
      </c>
      <c r="F24" s="1">
        <v>20.2</v>
      </c>
      <c r="G24" s="1">
        <f t="shared" si="0"/>
        <v>1</v>
      </c>
      <c r="Q24" s="4">
        <v>2</v>
      </c>
      <c r="V24" s="4">
        <v>3</v>
      </c>
      <c r="W24" s="4" t="s">
        <v>18</v>
      </c>
      <c r="X24" s="4">
        <v>0.16831683168316833</v>
      </c>
      <c r="AD24" s="8"/>
    </row>
    <row r="25" spans="1:32" x14ac:dyDescent="0.25">
      <c r="A25" s="1" t="s">
        <v>12</v>
      </c>
      <c r="B25" s="2" t="s">
        <v>10</v>
      </c>
      <c r="C25" s="3" t="s">
        <v>11</v>
      </c>
      <c r="D25" s="1">
        <v>149.30000000000001</v>
      </c>
      <c r="E25" s="1">
        <v>99.9</v>
      </c>
      <c r="F25" s="1">
        <v>19.600000000000001</v>
      </c>
      <c r="G25" s="1">
        <f t="shared" si="0"/>
        <v>1</v>
      </c>
      <c r="Q25" s="4">
        <v>3</v>
      </c>
      <c r="V25" s="4">
        <v>3</v>
      </c>
      <c r="W25" s="4" t="s">
        <v>18</v>
      </c>
      <c r="X25" s="4">
        <v>0.16831683168316833</v>
      </c>
    </row>
    <row r="26" spans="1:32" x14ac:dyDescent="0.25">
      <c r="A26" s="1" t="s">
        <v>12</v>
      </c>
      <c r="B26" s="2" t="s">
        <v>10</v>
      </c>
      <c r="C26" s="3" t="s">
        <v>11</v>
      </c>
      <c r="D26" s="1">
        <v>148.1</v>
      </c>
      <c r="E26" s="1">
        <v>127</v>
      </c>
      <c r="F26" s="1">
        <v>19.8</v>
      </c>
      <c r="G26" s="1">
        <f t="shared" si="0"/>
        <v>1</v>
      </c>
      <c r="Q26" s="4">
        <v>2</v>
      </c>
      <c r="V26" s="4">
        <v>1</v>
      </c>
      <c r="W26" s="4" t="s">
        <v>8</v>
      </c>
      <c r="X26" s="4">
        <v>0.17821782178217821</v>
      </c>
    </row>
    <row r="27" spans="1:32" x14ac:dyDescent="0.25">
      <c r="A27" s="1" t="s">
        <v>13</v>
      </c>
      <c r="B27" s="2" t="s">
        <v>10</v>
      </c>
      <c r="C27" s="3" t="s">
        <v>11</v>
      </c>
      <c r="D27" s="1">
        <v>147.5</v>
      </c>
      <c r="E27" s="1">
        <v>137.1</v>
      </c>
      <c r="F27" s="1">
        <v>19.3</v>
      </c>
      <c r="G27" s="1">
        <f t="shared" si="0"/>
        <v>1</v>
      </c>
      <c r="Q27" s="4">
        <v>2</v>
      </c>
      <c r="V27" s="4">
        <v>3</v>
      </c>
      <c r="W27" s="4" t="s">
        <v>11</v>
      </c>
      <c r="X27" s="4">
        <v>0.17821782178217821</v>
      </c>
    </row>
    <row r="28" spans="1:32" x14ac:dyDescent="0.25">
      <c r="A28" s="1" t="s">
        <v>9</v>
      </c>
      <c r="B28" s="2" t="s">
        <v>10</v>
      </c>
      <c r="C28" s="3" t="s">
        <v>11</v>
      </c>
      <c r="D28" s="1">
        <v>146</v>
      </c>
      <c r="E28" s="1">
        <v>128.69999999999999</v>
      </c>
      <c r="F28" s="1">
        <v>22.8</v>
      </c>
      <c r="G28" s="1">
        <f t="shared" si="0"/>
        <v>1</v>
      </c>
      <c r="Q28" s="4">
        <v>3</v>
      </c>
      <c r="V28" s="4">
        <v>1</v>
      </c>
      <c r="W28" s="4" t="s">
        <v>18</v>
      </c>
      <c r="X28" s="4">
        <v>0.16831683168316833</v>
      </c>
    </row>
    <row r="29" spans="1:32" x14ac:dyDescent="0.25">
      <c r="A29" s="1" t="s">
        <v>12</v>
      </c>
      <c r="B29" s="2" t="s">
        <v>10</v>
      </c>
      <c r="C29" s="3" t="s">
        <v>11</v>
      </c>
      <c r="D29" s="1">
        <v>145.6</v>
      </c>
      <c r="E29" s="1">
        <v>105.9</v>
      </c>
      <c r="F29" s="1">
        <v>20.2</v>
      </c>
      <c r="G29" s="1">
        <f t="shared" si="0"/>
        <v>1</v>
      </c>
      <c r="Q29" s="4">
        <v>2</v>
      </c>
      <c r="V29" s="4">
        <v>3</v>
      </c>
      <c r="W29" s="4" t="s">
        <v>11</v>
      </c>
      <c r="X29" s="4">
        <v>0.16831683168316833</v>
      </c>
    </row>
    <row r="30" spans="1:32" x14ac:dyDescent="0.25">
      <c r="A30" s="1" t="s">
        <v>17</v>
      </c>
      <c r="B30" s="2" t="s">
        <v>10</v>
      </c>
      <c r="C30" s="3" t="s">
        <v>11</v>
      </c>
      <c r="D30" s="1">
        <v>145.5</v>
      </c>
      <c r="E30" s="1">
        <v>124.8</v>
      </c>
      <c r="F30" s="1">
        <v>20.3</v>
      </c>
      <c r="G30" s="1">
        <f t="shared" si="0"/>
        <v>1</v>
      </c>
      <c r="Q30" s="4">
        <v>2</v>
      </c>
      <c r="V30" s="4">
        <v>2</v>
      </c>
      <c r="W30" s="4" t="s">
        <v>18</v>
      </c>
      <c r="X30" s="4">
        <v>0.15841584158415842</v>
      </c>
    </row>
    <row r="31" spans="1:32" x14ac:dyDescent="0.25">
      <c r="A31" s="1" t="s">
        <v>9</v>
      </c>
      <c r="B31" s="2" t="s">
        <v>10</v>
      </c>
      <c r="C31" s="3" t="s">
        <v>11</v>
      </c>
      <c r="D31" s="1">
        <v>145</v>
      </c>
      <c r="E31" s="1">
        <v>131.80000000000001</v>
      </c>
      <c r="F31" s="1">
        <v>22.4</v>
      </c>
      <c r="G31" s="1">
        <f t="shared" si="0"/>
        <v>1</v>
      </c>
      <c r="Q31" s="4">
        <v>2</v>
      </c>
      <c r="V31" s="4">
        <v>2</v>
      </c>
      <c r="W31" s="4" t="s">
        <v>11</v>
      </c>
      <c r="X31" s="4">
        <v>0.14851485148514851</v>
      </c>
    </row>
    <row r="32" spans="1:32" x14ac:dyDescent="0.25">
      <c r="A32" s="1" t="s">
        <v>6</v>
      </c>
      <c r="B32" s="2" t="s">
        <v>10</v>
      </c>
      <c r="C32" s="3" t="s">
        <v>11</v>
      </c>
      <c r="D32" s="1">
        <v>144.9</v>
      </c>
      <c r="E32" s="1">
        <v>118.9</v>
      </c>
      <c r="F32" s="1">
        <v>18.100000000000001</v>
      </c>
      <c r="G32" s="1">
        <f t="shared" si="0"/>
        <v>1</v>
      </c>
      <c r="Q32" s="4">
        <v>2</v>
      </c>
      <c r="V32" s="4">
        <v>3</v>
      </c>
      <c r="W32" s="4" t="s">
        <v>11</v>
      </c>
      <c r="X32" s="4">
        <v>0.14851485148514851</v>
      </c>
    </row>
    <row r="33" spans="1:24" x14ac:dyDescent="0.25">
      <c r="A33" s="1" t="s">
        <v>12</v>
      </c>
      <c r="B33" s="2" t="s">
        <v>10</v>
      </c>
      <c r="C33" s="3" t="s">
        <v>11</v>
      </c>
      <c r="D33" s="1">
        <v>144.80000000000001</v>
      </c>
      <c r="E33" s="1">
        <v>143.19999999999999</v>
      </c>
      <c r="F33" s="1">
        <v>21.5</v>
      </c>
      <c r="G33" s="1">
        <f t="shared" si="0"/>
        <v>1</v>
      </c>
      <c r="Q33" s="4">
        <v>1</v>
      </c>
      <c r="V33" s="4">
        <v>3</v>
      </c>
      <c r="W33" s="4" t="s">
        <v>8</v>
      </c>
      <c r="X33" s="4">
        <v>0.15841584158415842</v>
      </c>
    </row>
    <row r="34" spans="1:24" x14ac:dyDescent="0.25">
      <c r="A34" s="1" t="s">
        <v>13</v>
      </c>
      <c r="B34" s="2" t="s">
        <v>10</v>
      </c>
      <c r="C34" s="3" t="s">
        <v>11</v>
      </c>
      <c r="D34" s="1">
        <v>143.4</v>
      </c>
      <c r="E34" s="1">
        <v>146.6</v>
      </c>
      <c r="F34" s="1">
        <v>18.399999999999999</v>
      </c>
      <c r="G34" s="1">
        <f t="shared" si="0"/>
        <v>1</v>
      </c>
      <c r="Q34" s="4">
        <v>1</v>
      </c>
      <c r="V34" s="4">
        <v>2</v>
      </c>
      <c r="W34" s="4" t="s">
        <v>18</v>
      </c>
      <c r="X34" s="4">
        <v>0.14851485148514851</v>
      </c>
    </row>
    <row r="35" spans="1:24" x14ac:dyDescent="0.25">
      <c r="A35" s="1" t="s">
        <v>12</v>
      </c>
      <c r="B35" s="2" t="s">
        <v>10</v>
      </c>
      <c r="C35" s="3" t="s">
        <v>11</v>
      </c>
      <c r="D35" s="1">
        <v>142.9</v>
      </c>
      <c r="E35" s="1">
        <v>127</v>
      </c>
      <c r="F35" s="1">
        <v>18.5</v>
      </c>
      <c r="G35" s="1">
        <f t="shared" si="0"/>
        <v>1</v>
      </c>
      <c r="Q35" s="4">
        <v>2</v>
      </c>
      <c r="V35" s="4">
        <v>2</v>
      </c>
      <c r="W35" s="4" t="s">
        <v>11</v>
      </c>
      <c r="X35" s="4">
        <v>0.14851485148514851</v>
      </c>
    </row>
    <row r="36" spans="1:24" x14ac:dyDescent="0.25">
      <c r="A36" s="1" t="s">
        <v>13</v>
      </c>
      <c r="B36" s="2" t="s">
        <v>10</v>
      </c>
      <c r="C36" s="3" t="s">
        <v>11</v>
      </c>
      <c r="D36" s="1">
        <v>141.6</v>
      </c>
      <c r="E36" s="1">
        <v>127.2</v>
      </c>
      <c r="F36" s="1">
        <v>22.8</v>
      </c>
      <c r="G36" s="1">
        <f t="shared" si="0"/>
        <v>1</v>
      </c>
      <c r="Q36" s="4">
        <v>1</v>
      </c>
      <c r="V36" s="4">
        <v>2</v>
      </c>
      <c r="W36" s="4" t="s">
        <v>18</v>
      </c>
      <c r="X36" s="4">
        <v>0.14851485148514851</v>
      </c>
    </row>
    <row r="37" spans="1:24" x14ac:dyDescent="0.25">
      <c r="A37" s="1" t="s">
        <v>13</v>
      </c>
      <c r="B37" s="2" t="s">
        <v>10</v>
      </c>
      <c r="C37" s="3" t="s">
        <v>11</v>
      </c>
      <c r="D37" s="1">
        <v>139.69999999999999</v>
      </c>
      <c r="E37" s="1">
        <v>127.7</v>
      </c>
      <c r="F37" s="1">
        <v>18.100000000000001</v>
      </c>
      <c r="G37" s="1">
        <f t="shared" si="0"/>
        <v>1</v>
      </c>
      <c r="Q37" s="4">
        <v>2</v>
      </c>
      <c r="V37" s="4">
        <v>2</v>
      </c>
      <c r="W37" s="4" t="s">
        <v>11</v>
      </c>
      <c r="X37" s="4">
        <v>0.14851485148514851</v>
      </c>
    </row>
    <row r="38" spans="1:24" x14ac:dyDescent="0.25">
      <c r="A38" s="1" t="s">
        <v>12</v>
      </c>
      <c r="B38" s="2" t="s">
        <v>10</v>
      </c>
      <c r="C38" s="3" t="s">
        <v>11</v>
      </c>
      <c r="D38" s="1">
        <v>137.6</v>
      </c>
      <c r="E38" s="1">
        <v>125.2</v>
      </c>
      <c r="F38" s="1">
        <v>22.8</v>
      </c>
      <c r="G38" s="1">
        <f t="shared" si="0"/>
        <v>1</v>
      </c>
      <c r="Q38" s="4">
        <v>2</v>
      </c>
      <c r="V38" s="4">
        <v>2</v>
      </c>
      <c r="W38" s="4" t="s">
        <v>18</v>
      </c>
      <c r="X38" s="4">
        <v>0.13861386138613863</v>
      </c>
    </row>
    <row r="39" spans="1:24" x14ac:dyDescent="0.25">
      <c r="A39" s="1" t="s">
        <v>9</v>
      </c>
      <c r="B39" s="2" t="s">
        <v>10</v>
      </c>
      <c r="C39" s="3" t="s">
        <v>11</v>
      </c>
      <c r="D39" s="1">
        <v>134.19999999999999</v>
      </c>
      <c r="E39" s="1">
        <v>134</v>
      </c>
      <c r="F39" s="1">
        <v>21.9</v>
      </c>
      <c r="G39" s="1">
        <f t="shared" si="0"/>
        <v>1</v>
      </c>
      <c r="Q39" s="4">
        <v>2</v>
      </c>
      <c r="V39" s="4">
        <v>2</v>
      </c>
      <c r="W39" s="4" t="s">
        <v>11</v>
      </c>
      <c r="X39" s="4">
        <v>0.13861386138613863</v>
      </c>
    </row>
    <row r="40" spans="1:24" x14ac:dyDescent="0.25">
      <c r="A40" s="1" t="s">
        <v>12</v>
      </c>
      <c r="B40" s="2" t="s">
        <v>10</v>
      </c>
      <c r="C40" s="3" t="s">
        <v>11</v>
      </c>
      <c r="D40" s="1">
        <v>134</v>
      </c>
      <c r="E40" s="1">
        <v>143.80000000000001</v>
      </c>
      <c r="F40" s="1">
        <v>22.5</v>
      </c>
      <c r="G40" s="1">
        <f t="shared" si="0"/>
        <v>1</v>
      </c>
      <c r="Q40" s="4">
        <v>2</v>
      </c>
      <c r="V40" s="4">
        <v>2</v>
      </c>
      <c r="W40" s="4" t="s">
        <v>18</v>
      </c>
      <c r="X40" s="4">
        <v>0.13861386138613863</v>
      </c>
    </row>
    <row r="41" spans="1:24" x14ac:dyDescent="0.25">
      <c r="A41" s="1" t="s">
        <v>13</v>
      </c>
      <c r="B41" s="2" t="s">
        <v>10</v>
      </c>
      <c r="C41" s="3" t="s">
        <v>11</v>
      </c>
      <c r="D41" s="1">
        <v>133.80000000000001</v>
      </c>
      <c r="E41" s="1">
        <v>130.4</v>
      </c>
      <c r="F41" s="1">
        <v>21.5</v>
      </c>
      <c r="G41" s="1">
        <f t="shared" si="0"/>
        <v>1</v>
      </c>
      <c r="Q41" s="4">
        <v>2</v>
      </c>
      <c r="V41" s="4">
        <v>2</v>
      </c>
      <c r="W41" s="4" t="s">
        <v>11</v>
      </c>
      <c r="X41" s="4">
        <v>0.13861386138613863</v>
      </c>
    </row>
    <row r="42" spans="1:24" x14ac:dyDescent="0.25">
      <c r="A42" s="1" t="s">
        <v>12</v>
      </c>
      <c r="B42" s="2" t="s">
        <v>10</v>
      </c>
      <c r="C42" s="3" t="s">
        <v>11</v>
      </c>
      <c r="D42" s="1">
        <v>132.5</v>
      </c>
      <c r="E42" s="1">
        <v>136.5</v>
      </c>
      <c r="F42" s="1">
        <v>18.5</v>
      </c>
      <c r="G42" s="1">
        <f t="shared" si="0"/>
        <v>1</v>
      </c>
      <c r="Q42" s="4">
        <v>1</v>
      </c>
      <c r="V42" s="4">
        <v>2</v>
      </c>
      <c r="W42" s="4" t="s">
        <v>11</v>
      </c>
      <c r="X42" s="4">
        <v>0.13861386138613863</v>
      </c>
    </row>
    <row r="43" spans="1:24" x14ac:dyDescent="0.25">
      <c r="A43" s="1" t="s">
        <v>6</v>
      </c>
      <c r="B43" s="2" t="s">
        <v>10</v>
      </c>
      <c r="C43" s="3" t="s">
        <v>11</v>
      </c>
      <c r="D43" s="1">
        <v>132.30000000000001</v>
      </c>
      <c r="E43" s="1">
        <v>139.30000000000001</v>
      </c>
      <c r="F43" s="1">
        <v>18.100000000000001</v>
      </c>
      <c r="G43" s="1">
        <f t="shared" si="0"/>
        <v>1</v>
      </c>
      <c r="Q43" s="4">
        <v>1</v>
      </c>
      <c r="V43" s="4">
        <v>2</v>
      </c>
      <c r="W43" s="4" t="s">
        <v>8</v>
      </c>
      <c r="X43" s="4">
        <v>0.13861386138613863</v>
      </c>
    </row>
    <row r="44" spans="1:24" x14ac:dyDescent="0.25">
      <c r="A44" s="1" t="s">
        <v>12</v>
      </c>
      <c r="B44" s="2" t="s">
        <v>10</v>
      </c>
      <c r="C44" s="3" t="s">
        <v>11</v>
      </c>
      <c r="D44" s="1">
        <v>132</v>
      </c>
      <c r="E44" s="1">
        <v>129.30000000000001</v>
      </c>
      <c r="F44" s="1">
        <v>18.100000000000001</v>
      </c>
      <c r="G44" s="1">
        <f t="shared" si="0"/>
        <v>1</v>
      </c>
      <c r="Q44" s="4">
        <v>2</v>
      </c>
      <c r="V44" s="4">
        <v>2</v>
      </c>
      <c r="W44" s="4" t="s">
        <v>18</v>
      </c>
      <c r="X44" s="4">
        <v>0.13861386138613863</v>
      </c>
    </row>
    <row r="45" spans="1:24" x14ac:dyDescent="0.25">
      <c r="A45" s="1" t="s">
        <v>12</v>
      </c>
      <c r="B45" s="2" t="s">
        <v>10</v>
      </c>
      <c r="C45" s="3" t="s">
        <v>11</v>
      </c>
      <c r="D45" s="1">
        <v>130.6</v>
      </c>
      <c r="E45" s="1">
        <v>120.4</v>
      </c>
      <c r="F45" s="1">
        <v>21.5</v>
      </c>
      <c r="G45" s="1">
        <f t="shared" si="0"/>
        <v>1</v>
      </c>
      <c r="Q45" s="4">
        <v>2</v>
      </c>
      <c r="V45" s="4">
        <v>2</v>
      </c>
      <c r="W45" s="4" t="s">
        <v>18</v>
      </c>
      <c r="X45" s="4">
        <v>0.13861386138613863</v>
      </c>
    </row>
    <row r="46" spans="1:24" x14ac:dyDescent="0.25">
      <c r="A46" s="1" t="s">
        <v>9</v>
      </c>
      <c r="B46" s="2" t="s">
        <v>10</v>
      </c>
      <c r="C46" s="3" t="s">
        <v>11</v>
      </c>
      <c r="D46" s="1">
        <v>126.2</v>
      </c>
      <c r="E46" s="1">
        <v>113.6</v>
      </c>
      <c r="F46" s="1">
        <v>22.3</v>
      </c>
      <c r="G46" s="1">
        <f t="shared" si="0"/>
        <v>1</v>
      </c>
      <c r="Q46" s="4">
        <v>2</v>
      </c>
      <c r="V46" s="4">
        <v>3</v>
      </c>
      <c r="W46" s="4" t="s">
        <v>8</v>
      </c>
      <c r="X46" s="4">
        <v>0.14851485148514851</v>
      </c>
    </row>
    <row r="47" spans="1:24" x14ac:dyDescent="0.25">
      <c r="A47" s="1" t="s">
        <v>12</v>
      </c>
      <c r="B47" s="2" t="s">
        <v>10</v>
      </c>
      <c r="C47" s="3" t="s">
        <v>11</v>
      </c>
      <c r="D47" s="1">
        <v>119.1</v>
      </c>
      <c r="E47" s="1">
        <v>125.5</v>
      </c>
      <c r="F47" s="1">
        <v>22.6</v>
      </c>
      <c r="G47" s="1">
        <f t="shared" si="0"/>
        <v>1</v>
      </c>
      <c r="Q47" s="4">
        <v>3</v>
      </c>
      <c r="V47" s="4">
        <v>1</v>
      </c>
      <c r="W47" s="4" t="s">
        <v>18</v>
      </c>
      <c r="X47" s="4">
        <v>0.14851485148514851</v>
      </c>
    </row>
    <row r="48" spans="1:24" x14ac:dyDescent="0.25">
      <c r="A48" s="1" t="s">
        <v>12</v>
      </c>
      <c r="B48" s="2" t="s">
        <v>7</v>
      </c>
      <c r="C48" s="3" t="s">
        <v>11</v>
      </c>
      <c r="D48" s="1">
        <v>155.5</v>
      </c>
      <c r="E48" s="1">
        <v>121.4</v>
      </c>
      <c r="F48" s="1">
        <v>22.8</v>
      </c>
      <c r="G48" s="1">
        <f t="shared" si="0"/>
        <v>1</v>
      </c>
      <c r="Q48" s="4">
        <v>3</v>
      </c>
      <c r="V48" s="4">
        <v>3</v>
      </c>
      <c r="W48" s="4" t="s">
        <v>18</v>
      </c>
      <c r="X48" s="4">
        <v>0.14851485148514851</v>
      </c>
    </row>
    <row r="49" spans="1:24" x14ac:dyDescent="0.25">
      <c r="A49" s="1" t="s">
        <v>9</v>
      </c>
      <c r="B49" s="2" t="s">
        <v>7</v>
      </c>
      <c r="C49" s="3" t="s">
        <v>11</v>
      </c>
      <c r="D49" s="1">
        <v>150.30000000000001</v>
      </c>
      <c r="E49" s="1">
        <v>143.69999999999999</v>
      </c>
      <c r="F49" s="1">
        <v>22.9</v>
      </c>
      <c r="G49" s="1">
        <f t="shared" si="0"/>
        <v>1</v>
      </c>
      <c r="Q49" s="4">
        <v>2</v>
      </c>
      <c r="V49" s="4">
        <v>2</v>
      </c>
      <c r="W49" s="4" t="s">
        <v>18</v>
      </c>
      <c r="X49" s="4">
        <v>0.14851485148514851</v>
      </c>
    </row>
    <row r="50" spans="1:24" x14ac:dyDescent="0.25">
      <c r="A50" s="1" t="s">
        <v>13</v>
      </c>
      <c r="B50" s="2" t="s">
        <v>7</v>
      </c>
      <c r="C50" s="3" t="s">
        <v>11</v>
      </c>
      <c r="D50" s="1">
        <v>150</v>
      </c>
      <c r="E50" s="1">
        <v>133.6</v>
      </c>
      <c r="F50" s="1">
        <v>22.7</v>
      </c>
      <c r="G50" s="1">
        <f t="shared" si="0"/>
        <v>1</v>
      </c>
      <c r="Q50" s="4">
        <v>3</v>
      </c>
      <c r="V50" s="4">
        <v>3</v>
      </c>
      <c r="W50" s="4" t="s">
        <v>11</v>
      </c>
      <c r="X50" s="4">
        <v>0.14851485148514851</v>
      </c>
    </row>
    <row r="51" spans="1:24" x14ac:dyDescent="0.25">
      <c r="A51" s="1" t="s">
        <v>17</v>
      </c>
      <c r="B51" s="2" t="s">
        <v>7</v>
      </c>
      <c r="C51" s="3" t="s">
        <v>11</v>
      </c>
      <c r="D51" s="1">
        <v>144.1</v>
      </c>
      <c r="E51" s="1">
        <v>129.5</v>
      </c>
      <c r="F51" s="1">
        <v>20.399999999999999</v>
      </c>
      <c r="G51" s="1">
        <f t="shared" si="0"/>
        <v>1</v>
      </c>
      <c r="Q51" s="4">
        <v>2</v>
      </c>
      <c r="V51" s="4">
        <v>2</v>
      </c>
      <c r="W51" s="4" t="s">
        <v>8</v>
      </c>
      <c r="X51" s="4">
        <v>0.15841584158415842</v>
      </c>
    </row>
    <row r="52" spans="1:24" x14ac:dyDescent="0.25">
      <c r="A52" s="1" t="s">
        <v>13</v>
      </c>
      <c r="B52" s="2" t="s">
        <v>7</v>
      </c>
      <c r="C52" s="3" t="s">
        <v>11</v>
      </c>
      <c r="D52" s="1">
        <v>143.5</v>
      </c>
      <c r="E52" s="1">
        <v>131</v>
      </c>
      <c r="F52" s="1">
        <v>18.8</v>
      </c>
      <c r="G52" s="1">
        <f t="shared" si="0"/>
        <v>1</v>
      </c>
      <c r="Q52" s="4">
        <v>3</v>
      </c>
      <c r="V52" s="4">
        <v>2</v>
      </c>
      <c r="W52" s="4" t="s">
        <v>18</v>
      </c>
      <c r="X52" s="4">
        <v>0.15841584158415842</v>
      </c>
    </row>
    <row r="53" spans="1:24" x14ac:dyDescent="0.25">
      <c r="A53" s="1" t="s">
        <v>9</v>
      </c>
      <c r="B53" s="2" t="s">
        <v>7</v>
      </c>
      <c r="C53" s="3" t="s">
        <v>11</v>
      </c>
      <c r="D53" s="1">
        <v>142.6</v>
      </c>
      <c r="E53" s="1">
        <v>124.1</v>
      </c>
      <c r="F53" s="1">
        <v>21.1</v>
      </c>
      <c r="G53" s="1">
        <f t="shared" si="0"/>
        <v>1</v>
      </c>
      <c r="Q53" s="4">
        <v>2</v>
      </c>
      <c r="V53" s="4">
        <v>3</v>
      </c>
      <c r="W53" s="4" t="s">
        <v>18</v>
      </c>
      <c r="X53" s="4">
        <v>0.15841584158415842</v>
      </c>
    </row>
    <row r="54" spans="1:24" x14ac:dyDescent="0.25">
      <c r="A54" s="1" t="s">
        <v>12</v>
      </c>
      <c r="B54" s="2" t="s">
        <v>7</v>
      </c>
      <c r="C54" s="3" t="s">
        <v>11</v>
      </c>
      <c r="D54" s="1">
        <v>141.4</v>
      </c>
      <c r="E54" s="1">
        <v>145.80000000000001</v>
      </c>
      <c r="F54" s="1">
        <v>20.3</v>
      </c>
      <c r="G54" s="1">
        <f t="shared" si="0"/>
        <v>1</v>
      </c>
      <c r="Q54" s="4">
        <v>2</v>
      </c>
      <c r="V54" s="4">
        <v>3</v>
      </c>
      <c r="W54" s="4" t="s">
        <v>11</v>
      </c>
      <c r="X54" s="4">
        <v>0.14851485148514851</v>
      </c>
    </row>
    <row r="55" spans="1:24" x14ac:dyDescent="0.25">
      <c r="A55" s="1" t="s">
        <v>9</v>
      </c>
      <c r="B55" s="2" t="s">
        <v>7</v>
      </c>
      <c r="C55" s="3" t="s">
        <v>11</v>
      </c>
      <c r="D55" s="1">
        <v>135.5</v>
      </c>
      <c r="E55" s="1">
        <v>136.1</v>
      </c>
      <c r="F55" s="1">
        <v>20.5</v>
      </c>
      <c r="G55" s="1">
        <f t="shared" si="0"/>
        <v>1</v>
      </c>
      <c r="Q55" s="4">
        <v>3</v>
      </c>
      <c r="V55" s="4">
        <v>2</v>
      </c>
      <c r="W55" s="4" t="s">
        <v>18</v>
      </c>
      <c r="X55" s="4">
        <v>0.14851485148514851</v>
      </c>
    </row>
    <row r="56" spans="1:24" x14ac:dyDescent="0.25">
      <c r="A56" s="1" t="s">
        <v>12</v>
      </c>
      <c r="B56" s="2" t="s">
        <v>15</v>
      </c>
      <c r="C56" s="3" t="s">
        <v>11</v>
      </c>
      <c r="D56" s="1">
        <v>158.5</v>
      </c>
      <c r="E56" s="1">
        <v>144</v>
      </c>
      <c r="F56" s="1">
        <v>21.4</v>
      </c>
      <c r="G56" s="1">
        <f t="shared" si="0"/>
        <v>1</v>
      </c>
      <c r="Q56" s="4">
        <v>2</v>
      </c>
      <c r="V56" s="4">
        <v>3</v>
      </c>
      <c r="W56" s="4" t="s">
        <v>18</v>
      </c>
      <c r="X56" s="4">
        <v>0.14851485148514851</v>
      </c>
    </row>
    <row r="57" spans="1:24" x14ac:dyDescent="0.25">
      <c r="A57" s="1" t="s">
        <v>9</v>
      </c>
      <c r="B57" s="2" t="s">
        <v>15</v>
      </c>
      <c r="C57" s="3" t="s">
        <v>11</v>
      </c>
      <c r="D57" s="1">
        <v>155.80000000000001</v>
      </c>
      <c r="E57" s="1">
        <v>125.9</v>
      </c>
      <c r="F57" s="1">
        <v>19.100000000000001</v>
      </c>
      <c r="G57" s="1">
        <f t="shared" si="0"/>
        <v>1</v>
      </c>
      <c r="Q57" s="4">
        <v>2</v>
      </c>
      <c r="V57" s="4">
        <v>1</v>
      </c>
      <c r="W57" s="4" t="s">
        <v>8</v>
      </c>
      <c r="X57" s="4">
        <v>0.15841584158415842</v>
      </c>
    </row>
    <row r="58" spans="1:24" x14ac:dyDescent="0.25">
      <c r="A58" s="1" t="s">
        <v>6</v>
      </c>
      <c r="B58" s="2" t="s">
        <v>15</v>
      </c>
      <c r="C58" s="3" t="s">
        <v>11</v>
      </c>
      <c r="D58" s="1">
        <v>155</v>
      </c>
      <c r="E58" s="1">
        <v>137.30000000000001</v>
      </c>
      <c r="F58" s="1">
        <v>20.399999999999999</v>
      </c>
      <c r="G58" s="1">
        <f t="shared" si="0"/>
        <v>1</v>
      </c>
      <c r="Q58" s="4">
        <v>1</v>
      </c>
      <c r="V58" s="4">
        <v>2</v>
      </c>
      <c r="W58" s="4" t="s">
        <v>18</v>
      </c>
      <c r="X58" s="4">
        <v>0.15841584158415842</v>
      </c>
    </row>
    <row r="59" spans="1:24" x14ac:dyDescent="0.25">
      <c r="A59" s="1" t="s">
        <v>6</v>
      </c>
      <c r="B59" s="2" t="s">
        <v>15</v>
      </c>
      <c r="C59" s="3" t="s">
        <v>11</v>
      </c>
      <c r="D59" s="1">
        <v>154.19999999999999</v>
      </c>
      <c r="E59" s="1">
        <v>125.6</v>
      </c>
      <c r="F59" s="1">
        <v>21.4</v>
      </c>
      <c r="G59" s="1">
        <f t="shared" si="0"/>
        <v>1</v>
      </c>
      <c r="Q59" s="4">
        <v>2</v>
      </c>
      <c r="V59" s="4">
        <v>2</v>
      </c>
      <c r="W59" s="4" t="s">
        <v>8</v>
      </c>
      <c r="X59" s="4">
        <v>0.16831683168316833</v>
      </c>
    </row>
    <row r="60" spans="1:24" x14ac:dyDescent="0.25">
      <c r="A60" s="1" t="s">
        <v>9</v>
      </c>
      <c r="B60" s="2" t="s">
        <v>15</v>
      </c>
      <c r="C60" s="3" t="s">
        <v>11</v>
      </c>
      <c r="D60" s="1">
        <v>150.80000000000001</v>
      </c>
      <c r="E60" s="1">
        <v>130.1</v>
      </c>
      <c r="F60" s="1">
        <v>18.899999999999999</v>
      </c>
      <c r="G60" s="1">
        <f t="shared" si="0"/>
        <v>1</v>
      </c>
      <c r="Q60" s="4">
        <v>2</v>
      </c>
      <c r="V60" s="4">
        <v>2</v>
      </c>
      <c r="W60" s="4" t="s">
        <v>18</v>
      </c>
      <c r="X60" s="4">
        <v>0.16831683168316833</v>
      </c>
    </row>
    <row r="61" spans="1:24" x14ac:dyDescent="0.25">
      <c r="A61" s="1" t="s">
        <v>6</v>
      </c>
      <c r="B61" s="2" t="s">
        <v>15</v>
      </c>
      <c r="C61" s="3" t="s">
        <v>11</v>
      </c>
      <c r="D61" s="1">
        <v>146.80000000000001</v>
      </c>
      <c r="E61" s="1">
        <v>130.69999999999999</v>
      </c>
      <c r="F61" s="1">
        <v>23</v>
      </c>
      <c r="G61" s="1">
        <f t="shared" si="0"/>
        <v>1</v>
      </c>
      <c r="Q61" s="4">
        <v>2</v>
      </c>
      <c r="V61" s="4">
        <v>1</v>
      </c>
      <c r="W61" s="4" t="s">
        <v>11</v>
      </c>
      <c r="X61" s="4">
        <v>0.15841584158415842</v>
      </c>
    </row>
    <row r="62" spans="1:24" x14ac:dyDescent="0.25">
      <c r="A62" s="1" t="s">
        <v>12</v>
      </c>
      <c r="B62" s="2" t="s">
        <v>15</v>
      </c>
      <c r="C62" s="3" t="s">
        <v>11</v>
      </c>
      <c r="D62" s="1">
        <v>146.1</v>
      </c>
      <c r="E62" s="1">
        <v>122.8</v>
      </c>
      <c r="F62" s="1">
        <v>22.8</v>
      </c>
      <c r="G62" s="1">
        <f t="shared" si="0"/>
        <v>1</v>
      </c>
      <c r="Q62" s="4">
        <v>1</v>
      </c>
      <c r="V62" s="4">
        <v>2</v>
      </c>
      <c r="W62" s="4" t="s">
        <v>8</v>
      </c>
      <c r="X62" s="4">
        <v>0.16831683168316833</v>
      </c>
    </row>
    <row r="63" spans="1:24" x14ac:dyDescent="0.25">
      <c r="A63" s="1" t="s">
        <v>12</v>
      </c>
      <c r="B63" s="2" t="s">
        <v>15</v>
      </c>
      <c r="C63" s="3" t="s">
        <v>11</v>
      </c>
      <c r="D63" s="1">
        <v>145.1</v>
      </c>
      <c r="E63" s="1">
        <v>146.5</v>
      </c>
      <c r="F63" s="1">
        <v>22.8</v>
      </c>
      <c r="G63" s="1">
        <f t="shared" si="0"/>
        <v>1</v>
      </c>
      <c r="Q63" s="4">
        <v>2</v>
      </c>
      <c r="V63" s="4">
        <v>2</v>
      </c>
      <c r="W63" s="4" t="s">
        <v>11</v>
      </c>
      <c r="X63" s="4">
        <v>0.16831683168316833</v>
      </c>
    </row>
    <row r="64" spans="1:24" x14ac:dyDescent="0.25">
      <c r="A64" s="1" t="s">
        <v>9</v>
      </c>
      <c r="B64" s="2" t="s">
        <v>15</v>
      </c>
      <c r="C64" s="3" t="s">
        <v>11</v>
      </c>
      <c r="D64" s="1">
        <v>143</v>
      </c>
      <c r="E64" s="1">
        <v>133.5</v>
      </c>
      <c r="F64" s="1">
        <v>18.2</v>
      </c>
      <c r="G64" s="1">
        <f t="shared" si="0"/>
        <v>1</v>
      </c>
      <c r="Q64" s="4">
        <v>2</v>
      </c>
      <c r="V64" s="4">
        <v>1</v>
      </c>
      <c r="W64" s="4" t="s">
        <v>18</v>
      </c>
      <c r="X64" s="4">
        <v>0.16831683168316833</v>
      </c>
    </row>
    <row r="65" spans="1:24" x14ac:dyDescent="0.25">
      <c r="A65" s="1" t="s">
        <v>12</v>
      </c>
      <c r="B65" s="2" t="s">
        <v>15</v>
      </c>
      <c r="C65" s="3" t="s">
        <v>11</v>
      </c>
      <c r="D65" s="1">
        <v>142.4</v>
      </c>
      <c r="E65" s="1">
        <v>127.8</v>
      </c>
      <c r="F65" s="1">
        <v>20.9</v>
      </c>
      <c r="G65" s="1">
        <f t="shared" si="0"/>
        <v>1</v>
      </c>
      <c r="Q65" s="4">
        <v>1</v>
      </c>
      <c r="V65" s="4">
        <v>2</v>
      </c>
      <c r="W65" s="4" t="s">
        <v>18</v>
      </c>
      <c r="X65" s="4">
        <v>0.15841584158415842</v>
      </c>
    </row>
    <row r="66" spans="1:24" x14ac:dyDescent="0.25">
      <c r="A66" s="1" t="s">
        <v>12</v>
      </c>
      <c r="B66" s="2" t="s">
        <v>15</v>
      </c>
      <c r="C66" s="3" t="s">
        <v>11</v>
      </c>
      <c r="D66" s="1">
        <v>142</v>
      </c>
      <c r="E66" s="1">
        <v>112.3</v>
      </c>
      <c r="F66" s="1">
        <v>21.3</v>
      </c>
      <c r="G66" s="1">
        <f t="shared" ref="G66:G129" si="2">IF(C66="alto",1,IF(C66="medio",2,3))</f>
        <v>1</v>
      </c>
      <c r="Q66" s="4">
        <v>1</v>
      </c>
      <c r="V66" s="4">
        <v>2</v>
      </c>
      <c r="W66" s="4" t="s">
        <v>18</v>
      </c>
      <c r="X66" s="4">
        <v>0.15841584158415842</v>
      </c>
    </row>
    <row r="67" spans="1:24" x14ac:dyDescent="0.25">
      <c r="A67" s="1" t="s">
        <v>9</v>
      </c>
      <c r="B67" s="2" t="s">
        <v>15</v>
      </c>
      <c r="C67" s="3" t="s">
        <v>11</v>
      </c>
      <c r="D67" s="1">
        <v>141</v>
      </c>
      <c r="E67" s="1">
        <v>125.2</v>
      </c>
      <c r="F67" s="1">
        <v>22.9</v>
      </c>
      <c r="G67" s="1">
        <f t="shared" si="2"/>
        <v>1</v>
      </c>
      <c r="Q67" s="4">
        <v>2</v>
      </c>
      <c r="V67" s="4">
        <v>2</v>
      </c>
      <c r="W67" s="4" t="s">
        <v>18</v>
      </c>
      <c r="X67" s="4">
        <v>0.15841584158415842</v>
      </c>
    </row>
    <row r="68" spans="1:24" x14ac:dyDescent="0.25">
      <c r="A68" s="1" t="s">
        <v>12</v>
      </c>
      <c r="B68" s="2" t="s">
        <v>15</v>
      </c>
      <c r="C68" s="3" t="s">
        <v>11</v>
      </c>
      <c r="D68" s="1">
        <v>137.19999999999999</v>
      </c>
      <c r="E68" s="1">
        <v>139.30000000000001</v>
      </c>
      <c r="F68" s="1">
        <v>20.2</v>
      </c>
      <c r="G68" s="1">
        <f t="shared" si="2"/>
        <v>1</v>
      </c>
      <c r="Q68" s="4">
        <v>2</v>
      </c>
      <c r="V68" s="4">
        <v>1</v>
      </c>
      <c r="W68" s="4" t="s">
        <v>11</v>
      </c>
      <c r="X68" s="4">
        <v>0.15841584158415842</v>
      </c>
    </row>
    <row r="69" spans="1:24" x14ac:dyDescent="0.25">
      <c r="A69" s="1" t="s">
        <v>9</v>
      </c>
      <c r="B69" s="2" t="s">
        <v>15</v>
      </c>
      <c r="C69" s="3" t="s">
        <v>11</v>
      </c>
      <c r="D69" s="1">
        <v>135.5</v>
      </c>
      <c r="E69" s="1">
        <v>112.6</v>
      </c>
      <c r="F69" s="1">
        <v>22.7</v>
      </c>
      <c r="G69" s="1">
        <f t="shared" si="2"/>
        <v>1</v>
      </c>
      <c r="Q69" s="4">
        <v>3</v>
      </c>
      <c r="V69" s="4">
        <v>2</v>
      </c>
      <c r="W69" s="4" t="s">
        <v>8</v>
      </c>
      <c r="X69" s="4">
        <v>0.15841584158415842</v>
      </c>
    </row>
    <row r="70" spans="1:24" x14ac:dyDescent="0.25">
      <c r="A70" s="1" t="s">
        <v>12</v>
      </c>
      <c r="B70" s="2" t="s">
        <v>15</v>
      </c>
      <c r="C70" s="3" t="s">
        <v>11</v>
      </c>
      <c r="D70" s="1">
        <v>131.6</v>
      </c>
      <c r="E70" s="1">
        <v>134.80000000000001</v>
      </c>
      <c r="F70" s="1">
        <v>21.1</v>
      </c>
      <c r="G70" s="1">
        <f t="shared" si="2"/>
        <v>1</v>
      </c>
      <c r="Q70" s="4">
        <v>2</v>
      </c>
      <c r="V70" s="4">
        <v>2</v>
      </c>
      <c r="W70" s="4" t="s">
        <v>18</v>
      </c>
      <c r="X70" s="4">
        <v>0.15841584158415842</v>
      </c>
    </row>
    <row r="71" spans="1:24" x14ac:dyDescent="0.25">
      <c r="A71" s="1" t="s">
        <v>13</v>
      </c>
      <c r="B71" s="2" t="s">
        <v>15</v>
      </c>
      <c r="C71" s="3" t="s">
        <v>11</v>
      </c>
      <c r="D71" s="1">
        <v>129.9</v>
      </c>
      <c r="E71" s="1">
        <v>123.6</v>
      </c>
      <c r="F71" s="1">
        <v>21.1</v>
      </c>
      <c r="G71" s="1">
        <f t="shared" si="2"/>
        <v>1</v>
      </c>
      <c r="Q71" s="4">
        <v>1</v>
      </c>
      <c r="V71" s="4">
        <v>3</v>
      </c>
      <c r="W71" s="4" t="s">
        <v>8</v>
      </c>
      <c r="X71" s="4">
        <v>0.16831683168316833</v>
      </c>
    </row>
    <row r="72" spans="1:24" x14ac:dyDescent="0.25">
      <c r="A72" s="1" t="s">
        <v>17</v>
      </c>
      <c r="B72" s="2" t="s">
        <v>15</v>
      </c>
      <c r="C72" s="3" t="s">
        <v>11</v>
      </c>
      <c r="D72" s="1">
        <v>123.9</v>
      </c>
      <c r="E72" s="1">
        <v>139</v>
      </c>
      <c r="F72" s="1">
        <v>21.4</v>
      </c>
      <c r="G72" s="1">
        <f t="shared" si="2"/>
        <v>1</v>
      </c>
      <c r="Q72" s="4">
        <v>3</v>
      </c>
      <c r="V72" s="4">
        <v>2</v>
      </c>
      <c r="W72" s="4" t="s">
        <v>11</v>
      </c>
      <c r="X72" s="4">
        <v>0.16831683168316833</v>
      </c>
    </row>
    <row r="73" spans="1:24" x14ac:dyDescent="0.25">
      <c r="A73" s="1" t="s">
        <v>9</v>
      </c>
      <c r="B73" s="2" t="s">
        <v>10</v>
      </c>
      <c r="C73" s="3" t="s">
        <v>8</v>
      </c>
      <c r="D73" s="1">
        <v>162.69999999999999</v>
      </c>
      <c r="E73" s="1">
        <v>140.80000000000001</v>
      </c>
      <c r="F73" s="1">
        <v>22.5</v>
      </c>
      <c r="G73" s="1">
        <f t="shared" si="2"/>
        <v>3</v>
      </c>
      <c r="Q73" s="4">
        <v>2</v>
      </c>
      <c r="V73" s="4">
        <v>3</v>
      </c>
      <c r="W73" s="4" t="s">
        <v>8</v>
      </c>
      <c r="X73" s="4">
        <v>0.17821782178217821</v>
      </c>
    </row>
    <row r="74" spans="1:24" x14ac:dyDescent="0.25">
      <c r="A74" s="1" t="s">
        <v>13</v>
      </c>
      <c r="B74" s="2" t="s">
        <v>10</v>
      </c>
      <c r="C74" s="3" t="s">
        <v>8</v>
      </c>
      <c r="D74" s="1">
        <v>158.4</v>
      </c>
      <c r="E74" s="1">
        <v>123.2</v>
      </c>
      <c r="F74" s="1">
        <v>22.7</v>
      </c>
      <c r="G74" s="1">
        <f t="shared" si="2"/>
        <v>3</v>
      </c>
      <c r="Q74" s="4">
        <v>2</v>
      </c>
      <c r="V74" s="4">
        <v>1</v>
      </c>
      <c r="W74" s="4" t="s">
        <v>18</v>
      </c>
      <c r="X74" s="4">
        <v>0.17821782178217821</v>
      </c>
    </row>
    <row r="75" spans="1:24" x14ac:dyDescent="0.25">
      <c r="A75" s="1" t="s">
        <v>12</v>
      </c>
      <c r="B75" s="2" t="s">
        <v>10</v>
      </c>
      <c r="C75" s="3" t="s">
        <v>8</v>
      </c>
      <c r="D75" s="1">
        <v>157.4</v>
      </c>
      <c r="E75" s="1">
        <v>137.30000000000001</v>
      </c>
      <c r="F75" s="1">
        <v>18.100000000000001</v>
      </c>
      <c r="G75" s="1">
        <f t="shared" si="2"/>
        <v>3</v>
      </c>
      <c r="Q75" s="4">
        <v>1</v>
      </c>
      <c r="V75" s="4">
        <v>2</v>
      </c>
      <c r="W75" s="4" t="s">
        <v>18</v>
      </c>
      <c r="X75" s="4">
        <v>0.17821782178217821</v>
      </c>
    </row>
    <row r="76" spans="1:24" x14ac:dyDescent="0.25">
      <c r="A76" s="1" t="s">
        <v>6</v>
      </c>
      <c r="B76" s="2" t="s">
        <v>10</v>
      </c>
      <c r="C76" s="3" t="s">
        <v>8</v>
      </c>
      <c r="D76" s="1">
        <v>156.30000000000001</v>
      </c>
      <c r="E76" s="1">
        <v>133.9</v>
      </c>
      <c r="F76" s="1">
        <v>19.600000000000001</v>
      </c>
      <c r="G76" s="1">
        <f t="shared" si="2"/>
        <v>3</v>
      </c>
      <c r="Q76" s="4">
        <v>3</v>
      </c>
      <c r="V76" s="4">
        <v>2</v>
      </c>
      <c r="W76" s="4" t="s">
        <v>18</v>
      </c>
      <c r="X76" s="4">
        <v>0.17821782178217821</v>
      </c>
    </row>
    <row r="77" spans="1:24" x14ac:dyDescent="0.25">
      <c r="A77" s="1" t="s">
        <v>9</v>
      </c>
      <c r="B77" s="2" t="s">
        <v>10</v>
      </c>
      <c r="C77" s="3" t="s">
        <v>8</v>
      </c>
      <c r="D77" s="1">
        <v>156</v>
      </c>
      <c r="E77" s="1">
        <v>136.69999999999999</v>
      </c>
      <c r="F77" s="1">
        <v>21.6</v>
      </c>
      <c r="G77" s="1">
        <f t="shared" si="2"/>
        <v>3</v>
      </c>
      <c r="Q77" s="4">
        <v>2</v>
      </c>
      <c r="V77" s="4">
        <v>1</v>
      </c>
      <c r="W77" s="4" t="s">
        <v>18</v>
      </c>
      <c r="X77" s="4">
        <v>0.17821782178217821</v>
      </c>
    </row>
    <row r="78" spans="1:24" x14ac:dyDescent="0.25">
      <c r="A78" s="1" t="s">
        <v>6</v>
      </c>
      <c r="B78" s="2" t="s">
        <v>10</v>
      </c>
      <c r="C78" s="3" t="s">
        <v>8</v>
      </c>
      <c r="D78" s="1">
        <v>155</v>
      </c>
      <c r="E78" s="1">
        <v>113.1</v>
      </c>
      <c r="F78" s="1">
        <v>20.3</v>
      </c>
      <c r="G78" s="1">
        <f t="shared" si="2"/>
        <v>3</v>
      </c>
      <c r="Q78" s="4">
        <v>2</v>
      </c>
      <c r="V78" s="4">
        <v>2</v>
      </c>
      <c r="W78" s="4" t="s">
        <v>18</v>
      </c>
      <c r="X78" s="4">
        <v>0.17821782178217821</v>
      </c>
    </row>
    <row r="79" spans="1:24" x14ac:dyDescent="0.25">
      <c r="A79" s="1" t="s">
        <v>13</v>
      </c>
      <c r="B79" s="2" t="s">
        <v>10</v>
      </c>
      <c r="C79" s="3" t="s">
        <v>8</v>
      </c>
      <c r="D79" s="1">
        <v>154.30000000000001</v>
      </c>
      <c r="E79" s="1">
        <v>133.69999999999999</v>
      </c>
      <c r="F79" s="1">
        <v>21</v>
      </c>
      <c r="G79" s="1">
        <f t="shared" si="2"/>
        <v>3</v>
      </c>
      <c r="Q79" s="4">
        <v>3</v>
      </c>
      <c r="V79" s="4">
        <v>3</v>
      </c>
      <c r="W79" s="4" t="s">
        <v>8</v>
      </c>
      <c r="X79" s="4">
        <v>0.18811881188118812</v>
      </c>
    </row>
    <row r="80" spans="1:24" x14ac:dyDescent="0.25">
      <c r="A80" s="1" t="s">
        <v>6</v>
      </c>
      <c r="B80" s="2" t="s">
        <v>10</v>
      </c>
      <c r="C80" s="3" t="s">
        <v>8</v>
      </c>
      <c r="D80" s="1">
        <v>153.80000000000001</v>
      </c>
      <c r="E80" s="1">
        <v>127.3</v>
      </c>
      <c r="F80" s="1">
        <v>21.1</v>
      </c>
      <c r="G80" s="1">
        <f t="shared" si="2"/>
        <v>3</v>
      </c>
      <c r="Q80" s="4">
        <v>2</v>
      </c>
      <c r="V80" s="4">
        <v>2</v>
      </c>
      <c r="W80" s="4" t="s">
        <v>18</v>
      </c>
      <c r="X80" s="4">
        <v>0.18811881188118812</v>
      </c>
    </row>
    <row r="81" spans="1:24" x14ac:dyDescent="0.25">
      <c r="A81" s="1" t="s">
        <v>12</v>
      </c>
      <c r="B81" s="2" t="s">
        <v>10</v>
      </c>
      <c r="C81" s="3" t="s">
        <v>8</v>
      </c>
      <c r="D81" s="1">
        <v>150.1</v>
      </c>
      <c r="E81" s="1">
        <v>129.6</v>
      </c>
      <c r="F81" s="1">
        <v>18.8</v>
      </c>
      <c r="G81" s="1">
        <f t="shared" si="2"/>
        <v>3</v>
      </c>
      <c r="Q81" s="4">
        <v>2</v>
      </c>
      <c r="V81" s="4">
        <v>2</v>
      </c>
      <c r="W81" s="4" t="s">
        <v>11</v>
      </c>
      <c r="X81" s="4">
        <v>0.18811881188118812</v>
      </c>
    </row>
    <row r="82" spans="1:24" x14ac:dyDescent="0.25">
      <c r="A82" s="1" t="s">
        <v>6</v>
      </c>
      <c r="B82" s="2" t="s">
        <v>10</v>
      </c>
      <c r="C82" s="3" t="s">
        <v>8</v>
      </c>
      <c r="D82" s="1">
        <v>150</v>
      </c>
      <c r="E82" s="1">
        <v>129.1</v>
      </c>
      <c r="F82" s="1">
        <v>20.2</v>
      </c>
      <c r="G82" s="1">
        <f t="shared" si="2"/>
        <v>3</v>
      </c>
      <c r="Q82" s="4">
        <v>1</v>
      </c>
      <c r="V82" s="4">
        <v>2</v>
      </c>
      <c r="W82" s="4" t="s">
        <v>11</v>
      </c>
      <c r="X82" s="4">
        <v>0.17821782178217821</v>
      </c>
    </row>
    <row r="83" spans="1:24" x14ac:dyDescent="0.25">
      <c r="A83" s="1" t="s">
        <v>6</v>
      </c>
      <c r="B83" s="2" t="s">
        <v>10</v>
      </c>
      <c r="C83" s="3" t="s">
        <v>8</v>
      </c>
      <c r="D83" s="1">
        <v>149.1</v>
      </c>
      <c r="E83" s="1">
        <v>145.6</v>
      </c>
      <c r="F83" s="1">
        <v>20.8</v>
      </c>
      <c r="G83" s="1">
        <f t="shared" si="2"/>
        <v>3</v>
      </c>
      <c r="Q83" s="4">
        <v>1</v>
      </c>
      <c r="V83" s="4">
        <v>3</v>
      </c>
      <c r="W83" s="4" t="s">
        <v>8</v>
      </c>
      <c r="X83" s="4">
        <v>0.18811881188118812</v>
      </c>
    </row>
    <row r="84" spans="1:24" x14ac:dyDescent="0.25">
      <c r="A84" s="1" t="s">
        <v>6</v>
      </c>
      <c r="B84" s="2" t="s">
        <v>10</v>
      </c>
      <c r="C84" s="3" t="s">
        <v>8</v>
      </c>
      <c r="D84" s="1">
        <v>149</v>
      </c>
      <c r="E84" s="1">
        <v>125.4</v>
      </c>
      <c r="F84" s="1">
        <v>20</v>
      </c>
      <c r="G84" s="1">
        <f t="shared" si="2"/>
        <v>3</v>
      </c>
      <c r="Q84" s="4">
        <v>2</v>
      </c>
      <c r="V84" s="4">
        <v>1</v>
      </c>
      <c r="W84" s="4" t="s">
        <v>11</v>
      </c>
      <c r="X84" s="4">
        <v>0.18811881188118812</v>
      </c>
    </row>
    <row r="85" spans="1:24" x14ac:dyDescent="0.25">
      <c r="A85" s="1" t="s">
        <v>6</v>
      </c>
      <c r="B85" s="2" t="s">
        <v>10</v>
      </c>
      <c r="C85" s="3" t="s">
        <v>8</v>
      </c>
      <c r="D85" s="1">
        <v>148.6</v>
      </c>
      <c r="E85" s="1">
        <v>131.19999999999999</v>
      </c>
      <c r="F85" s="1">
        <v>18.899999999999999</v>
      </c>
      <c r="G85" s="1">
        <f t="shared" si="2"/>
        <v>3</v>
      </c>
      <c r="Q85" s="4">
        <v>1</v>
      </c>
      <c r="V85" s="4">
        <v>2</v>
      </c>
      <c r="W85" s="4" t="s">
        <v>18</v>
      </c>
      <c r="X85" s="4">
        <v>0.17821782178217821</v>
      </c>
    </row>
    <row r="86" spans="1:24" x14ac:dyDescent="0.25">
      <c r="A86" s="1" t="s">
        <v>6</v>
      </c>
      <c r="B86" s="2" t="s">
        <v>10</v>
      </c>
      <c r="C86" s="3" t="s">
        <v>8</v>
      </c>
      <c r="D86" s="1">
        <v>148</v>
      </c>
      <c r="E86" s="1">
        <v>133.80000000000001</v>
      </c>
      <c r="F86" s="1">
        <v>20.399999999999999</v>
      </c>
      <c r="G86" s="1">
        <f t="shared" si="2"/>
        <v>3</v>
      </c>
      <c r="Q86" s="4">
        <v>2</v>
      </c>
      <c r="V86" s="4">
        <v>2</v>
      </c>
      <c r="W86" s="4" t="s">
        <v>18</v>
      </c>
      <c r="X86" s="4">
        <v>0.17821782178217821</v>
      </c>
    </row>
    <row r="87" spans="1:24" x14ac:dyDescent="0.25">
      <c r="A87" s="1" t="s">
        <v>9</v>
      </c>
      <c r="B87" s="2" t="s">
        <v>10</v>
      </c>
      <c r="C87" s="3" t="s">
        <v>8</v>
      </c>
      <c r="D87" s="1">
        <v>146.19999999999999</v>
      </c>
      <c r="E87" s="1">
        <v>136.6</v>
      </c>
      <c r="F87" s="1">
        <v>22.3</v>
      </c>
      <c r="G87" s="1">
        <f t="shared" si="2"/>
        <v>3</v>
      </c>
      <c r="Q87" s="4">
        <v>3</v>
      </c>
      <c r="V87" s="4">
        <v>2</v>
      </c>
      <c r="W87" s="4" t="s">
        <v>18</v>
      </c>
      <c r="X87" s="4">
        <v>0.17821782178217821</v>
      </c>
    </row>
    <row r="88" spans="1:24" x14ac:dyDescent="0.25">
      <c r="A88" s="1" t="s">
        <v>9</v>
      </c>
      <c r="B88" s="2" t="s">
        <v>10</v>
      </c>
      <c r="C88" s="3" t="s">
        <v>8</v>
      </c>
      <c r="D88" s="1">
        <v>146</v>
      </c>
      <c r="E88" s="1">
        <v>123.8</v>
      </c>
      <c r="F88" s="1">
        <v>21.9</v>
      </c>
      <c r="G88" s="1">
        <f t="shared" si="2"/>
        <v>3</v>
      </c>
      <c r="Q88" s="4">
        <v>3</v>
      </c>
      <c r="V88" s="4">
        <v>3</v>
      </c>
      <c r="W88" s="4" t="s">
        <v>11</v>
      </c>
      <c r="X88" s="4">
        <v>0.17821782178217821</v>
      </c>
    </row>
    <row r="89" spans="1:24" x14ac:dyDescent="0.25">
      <c r="A89" s="1" t="s">
        <v>17</v>
      </c>
      <c r="B89" s="2" t="s">
        <v>10</v>
      </c>
      <c r="C89" s="3" t="s">
        <v>8</v>
      </c>
      <c r="D89" s="1">
        <v>145.9</v>
      </c>
      <c r="E89" s="1">
        <v>161.30000000000001</v>
      </c>
      <c r="F89" s="1">
        <v>19</v>
      </c>
      <c r="G89" s="1">
        <f t="shared" si="2"/>
        <v>3</v>
      </c>
      <c r="Q89" s="4">
        <v>2</v>
      </c>
      <c r="V89" s="4">
        <v>3</v>
      </c>
      <c r="W89" s="4" t="s">
        <v>18</v>
      </c>
      <c r="X89" s="4">
        <v>0.17821782178217821</v>
      </c>
    </row>
    <row r="90" spans="1:24" x14ac:dyDescent="0.25">
      <c r="A90" s="1" t="s">
        <v>9</v>
      </c>
      <c r="B90" s="2" t="s">
        <v>10</v>
      </c>
      <c r="C90" s="3" t="s">
        <v>8</v>
      </c>
      <c r="D90" s="1">
        <v>145.19999999999999</v>
      </c>
      <c r="E90" s="1">
        <v>127</v>
      </c>
      <c r="F90" s="1">
        <v>18.399999999999999</v>
      </c>
      <c r="G90" s="1">
        <f t="shared" si="2"/>
        <v>3</v>
      </c>
      <c r="Q90" s="4">
        <v>3</v>
      </c>
      <c r="V90" s="4">
        <v>2</v>
      </c>
      <c r="W90" s="4" t="s">
        <v>8</v>
      </c>
      <c r="X90" s="4">
        <v>0.18811881188118812</v>
      </c>
    </row>
    <row r="91" spans="1:24" x14ac:dyDescent="0.25">
      <c r="A91" s="1" t="s">
        <v>9</v>
      </c>
      <c r="B91" s="2" t="s">
        <v>10</v>
      </c>
      <c r="C91" s="3" t="s">
        <v>8</v>
      </c>
      <c r="D91" s="1">
        <v>145.1</v>
      </c>
      <c r="E91" s="1">
        <v>134.6</v>
      </c>
      <c r="F91" s="1">
        <v>21.6</v>
      </c>
      <c r="G91" s="1">
        <f t="shared" si="2"/>
        <v>3</v>
      </c>
      <c r="Q91" s="4">
        <v>2</v>
      </c>
      <c r="V91" s="4">
        <v>2</v>
      </c>
      <c r="W91" s="4" t="s">
        <v>18</v>
      </c>
      <c r="X91" s="4">
        <v>0.18811881188118812</v>
      </c>
    </row>
    <row r="92" spans="1:24" x14ac:dyDescent="0.25">
      <c r="A92" s="1" t="s">
        <v>13</v>
      </c>
      <c r="B92" s="2" t="s">
        <v>10</v>
      </c>
      <c r="C92" s="3" t="s">
        <v>8</v>
      </c>
      <c r="D92" s="1">
        <v>144.80000000000001</v>
      </c>
      <c r="E92" s="1">
        <v>151.6</v>
      </c>
      <c r="F92" s="1">
        <v>20.399999999999999</v>
      </c>
      <c r="G92" s="1">
        <f t="shared" si="2"/>
        <v>3</v>
      </c>
      <c r="Q92" s="4">
        <v>2</v>
      </c>
      <c r="V92" s="4">
        <v>2</v>
      </c>
      <c r="W92" s="4" t="s">
        <v>11</v>
      </c>
      <c r="X92" s="4">
        <v>0.17821782178217821</v>
      </c>
    </row>
    <row r="93" spans="1:24" x14ac:dyDescent="0.25">
      <c r="A93" s="1" t="s">
        <v>9</v>
      </c>
      <c r="B93" s="2" t="s">
        <v>10</v>
      </c>
      <c r="C93" s="3" t="s">
        <v>8</v>
      </c>
      <c r="D93" s="1">
        <v>144.80000000000001</v>
      </c>
      <c r="E93" s="1">
        <v>129.69999999999999</v>
      </c>
      <c r="F93" s="1">
        <v>19.5</v>
      </c>
      <c r="G93" s="1">
        <f t="shared" si="2"/>
        <v>3</v>
      </c>
      <c r="Q93" s="4">
        <v>2</v>
      </c>
      <c r="V93" s="4">
        <v>1</v>
      </c>
      <c r="W93" s="4" t="s">
        <v>18</v>
      </c>
      <c r="X93" s="4">
        <v>0.17821782178217821</v>
      </c>
    </row>
    <row r="94" spans="1:24" x14ac:dyDescent="0.25">
      <c r="A94" s="1" t="s">
        <v>13</v>
      </c>
      <c r="B94" s="2" t="s">
        <v>10</v>
      </c>
      <c r="C94" s="3" t="s">
        <v>8</v>
      </c>
      <c r="D94" s="1">
        <v>143.19999999999999</v>
      </c>
      <c r="E94" s="1">
        <v>107.1</v>
      </c>
      <c r="F94" s="1">
        <v>23</v>
      </c>
      <c r="G94" s="1">
        <f t="shared" si="2"/>
        <v>3</v>
      </c>
      <c r="Q94" s="4">
        <v>2</v>
      </c>
      <c r="V94" s="4">
        <v>2</v>
      </c>
      <c r="W94" s="4" t="s">
        <v>11</v>
      </c>
      <c r="X94" s="4">
        <v>0.17821782178217821</v>
      </c>
    </row>
    <row r="95" spans="1:24" x14ac:dyDescent="0.25">
      <c r="A95" s="1" t="s">
        <v>9</v>
      </c>
      <c r="B95" s="2" t="s">
        <v>10</v>
      </c>
      <c r="C95" s="3" t="s">
        <v>8</v>
      </c>
      <c r="D95" s="1">
        <v>143.1</v>
      </c>
      <c r="E95" s="1">
        <v>145.5</v>
      </c>
      <c r="F95" s="1">
        <v>19.8</v>
      </c>
      <c r="G95" s="1">
        <f t="shared" si="2"/>
        <v>3</v>
      </c>
      <c r="Q95" s="4">
        <v>2</v>
      </c>
      <c r="V95" s="4">
        <v>2</v>
      </c>
      <c r="W95" s="4" t="s">
        <v>8</v>
      </c>
      <c r="X95" s="4">
        <v>0.18811881188118812</v>
      </c>
    </row>
    <row r="96" spans="1:24" x14ac:dyDescent="0.25">
      <c r="A96" s="1" t="s">
        <v>12</v>
      </c>
      <c r="B96" s="2" t="s">
        <v>10</v>
      </c>
      <c r="C96" s="3" t="s">
        <v>8</v>
      </c>
      <c r="D96" s="1">
        <v>141.5</v>
      </c>
      <c r="E96" s="1">
        <v>124.5</v>
      </c>
      <c r="F96" s="1">
        <v>21.3</v>
      </c>
      <c r="G96" s="1">
        <f t="shared" si="2"/>
        <v>3</v>
      </c>
      <c r="Q96" s="4">
        <v>3</v>
      </c>
      <c r="V96" s="4">
        <v>2</v>
      </c>
      <c r="W96" s="4" t="s">
        <v>18</v>
      </c>
      <c r="X96" s="4">
        <v>0.18811881188118812</v>
      </c>
    </row>
    <row r="97" spans="1:24" x14ac:dyDescent="0.25">
      <c r="A97" s="1" t="s">
        <v>13</v>
      </c>
      <c r="B97" s="2" t="s">
        <v>10</v>
      </c>
      <c r="C97" s="3" t="s">
        <v>8</v>
      </c>
      <c r="D97" s="1">
        <v>141.30000000000001</v>
      </c>
      <c r="E97" s="1">
        <v>147.69999999999999</v>
      </c>
      <c r="F97" s="1">
        <v>21.7</v>
      </c>
      <c r="G97" s="1">
        <f t="shared" si="2"/>
        <v>3</v>
      </c>
      <c r="Q97" s="4">
        <v>3</v>
      </c>
      <c r="V97" s="4">
        <v>2</v>
      </c>
      <c r="W97" s="4" t="s">
        <v>18</v>
      </c>
      <c r="X97" s="4">
        <v>0.18811881188118812</v>
      </c>
    </row>
    <row r="98" spans="1:24" x14ac:dyDescent="0.25">
      <c r="A98" s="1" t="s">
        <v>12</v>
      </c>
      <c r="B98" s="2" t="s">
        <v>10</v>
      </c>
      <c r="C98" s="3" t="s">
        <v>8</v>
      </c>
      <c r="D98" s="1">
        <v>141</v>
      </c>
      <c r="E98" s="1">
        <v>131.4</v>
      </c>
      <c r="F98" s="1">
        <v>20.2</v>
      </c>
      <c r="G98" s="1">
        <f t="shared" si="2"/>
        <v>3</v>
      </c>
      <c r="Q98" s="4">
        <v>3</v>
      </c>
      <c r="V98" s="4">
        <v>2</v>
      </c>
      <c r="W98" s="4" t="s">
        <v>11</v>
      </c>
      <c r="X98" s="4">
        <v>0.18811881188118812</v>
      </c>
    </row>
    <row r="99" spans="1:24" x14ac:dyDescent="0.25">
      <c r="A99" s="1" t="s">
        <v>9</v>
      </c>
      <c r="B99" s="2" t="s">
        <v>10</v>
      </c>
      <c r="C99" s="3" t="s">
        <v>8</v>
      </c>
      <c r="D99" s="1">
        <v>140.69999999999999</v>
      </c>
      <c r="E99" s="1">
        <v>133.1</v>
      </c>
      <c r="F99" s="1">
        <v>22.2</v>
      </c>
      <c r="G99" s="1">
        <f t="shared" si="2"/>
        <v>3</v>
      </c>
      <c r="Q99" s="4">
        <v>2</v>
      </c>
      <c r="V99" s="4">
        <v>2</v>
      </c>
      <c r="W99" s="4" t="s">
        <v>18</v>
      </c>
      <c r="X99" s="4">
        <v>0.18811881188118812</v>
      </c>
    </row>
    <row r="100" spans="1:24" x14ac:dyDescent="0.25">
      <c r="A100" s="1" t="s">
        <v>9</v>
      </c>
      <c r="B100" s="2" t="s">
        <v>10</v>
      </c>
      <c r="C100" s="3" t="s">
        <v>8</v>
      </c>
      <c r="D100" s="1">
        <v>139.5</v>
      </c>
      <c r="E100" s="1">
        <v>138.19999999999999</v>
      </c>
      <c r="F100" s="1">
        <v>20.6</v>
      </c>
      <c r="G100" s="1">
        <f t="shared" si="2"/>
        <v>3</v>
      </c>
      <c r="Q100" s="4">
        <v>2</v>
      </c>
      <c r="V100" s="4">
        <v>1</v>
      </c>
      <c r="W100" s="4" t="s">
        <v>18</v>
      </c>
      <c r="X100" s="4">
        <v>0.18811881188118812</v>
      </c>
    </row>
    <row r="101" spans="1:24" x14ac:dyDescent="0.25">
      <c r="A101" s="1" t="s">
        <v>13</v>
      </c>
      <c r="B101" s="2" t="s">
        <v>10</v>
      </c>
      <c r="C101" s="3" t="s">
        <v>8</v>
      </c>
      <c r="D101" s="1">
        <v>136.9</v>
      </c>
      <c r="E101" s="1">
        <v>148</v>
      </c>
      <c r="F101" s="1">
        <v>21.7</v>
      </c>
      <c r="G101" s="1">
        <f t="shared" si="2"/>
        <v>3</v>
      </c>
      <c r="Q101" s="4">
        <v>2</v>
      </c>
      <c r="V101" s="4">
        <v>2</v>
      </c>
      <c r="W101" s="4" t="s">
        <v>8</v>
      </c>
      <c r="X101" s="4">
        <v>0.19801980198019803</v>
      </c>
    </row>
    <row r="102" spans="1:24" x14ac:dyDescent="0.25">
      <c r="A102" s="1" t="s">
        <v>6</v>
      </c>
      <c r="B102" s="2" t="s">
        <v>10</v>
      </c>
      <c r="C102" s="3" t="s">
        <v>8</v>
      </c>
      <c r="D102" s="1">
        <v>133.30000000000001</v>
      </c>
      <c r="E102" s="1">
        <v>123.9</v>
      </c>
      <c r="F102" s="1">
        <v>20.7</v>
      </c>
      <c r="G102" s="1">
        <f t="shared" si="2"/>
        <v>3</v>
      </c>
      <c r="Q102" s="4">
        <v>2</v>
      </c>
    </row>
    <row r="103" spans="1:24" x14ac:dyDescent="0.25">
      <c r="A103" s="1" t="s">
        <v>6</v>
      </c>
      <c r="B103" s="2" t="s">
        <v>10</v>
      </c>
      <c r="C103" s="3" t="s">
        <v>8</v>
      </c>
      <c r="D103" s="1">
        <v>125.8</v>
      </c>
      <c r="E103" s="1">
        <v>132.1</v>
      </c>
      <c r="F103" s="1">
        <v>21.7</v>
      </c>
      <c r="G103" s="1">
        <f t="shared" si="2"/>
        <v>3</v>
      </c>
      <c r="Q103" s="4">
        <v>1</v>
      </c>
    </row>
    <row r="104" spans="1:24" x14ac:dyDescent="0.25">
      <c r="A104" s="1" t="s">
        <v>12</v>
      </c>
      <c r="B104" s="2" t="s">
        <v>7</v>
      </c>
      <c r="C104" s="3" t="s">
        <v>8</v>
      </c>
      <c r="D104" s="1">
        <v>157</v>
      </c>
      <c r="E104" s="1">
        <v>121.5</v>
      </c>
      <c r="F104" s="1">
        <v>21</v>
      </c>
      <c r="G104" s="1">
        <f t="shared" si="2"/>
        <v>3</v>
      </c>
      <c r="Q104" s="4">
        <v>1</v>
      </c>
    </row>
    <row r="105" spans="1:24" x14ac:dyDescent="0.25">
      <c r="A105" s="1" t="s">
        <v>13</v>
      </c>
      <c r="B105" s="2" t="s">
        <v>7</v>
      </c>
      <c r="C105" s="3" t="s">
        <v>8</v>
      </c>
      <c r="D105" s="1">
        <v>156.4</v>
      </c>
      <c r="E105" s="1">
        <v>136.19999999999999</v>
      </c>
      <c r="F105" s="1">
        <v>18.5</v>
      </c>
      <c r="G105" s="1">
        <f t="shared" si="2"/>
        <v>3</v>
      </c>
      <c r="Q105" s="4">
        <v>2</v>
      </c>
    </row>
    <row r="106" spans="1:24" x14ac:dyDescent="0.25">
      <c r="A106" s="1" t="s">
        <v>12</v>
      </c>
      <c r="B106" s="2" t="s">
        <v>7</v>
      </c>
      <c r="C106" s="3" t="s">
        <v>8</v>
      </c>
      <c r="D106" s="1">
        <v>154.30000000000001</v>
      </c>
      <c r="E106" s="1">
        <v>144.69999999999999</v>
      </c>
      <c r="F106" s="1">
        <v>18.100000000000001</v>
      </c>
      <c r="G106" s="1">
        <f t="shared" si="2"/>
        <v>3</v>
      </c>
      <c r="Q106" s="4">
        <v>2</v>
      </c>
    </row>
    <row r="107" spans="1:24" x14ac:dyDescent="0.25">
      <c r="A107" s="1" t="s">
        <v>6</v>
      </c>
      <c r="B107" s="2" t="s">
        <v>7</v>
      </c>
      <c r="C107" s="3" t="s">
        <v>8</v>
      </c>
      <c r="D107" s="1">
        <v>151.6</v>
      </c>
      <c r="E107" s="1">
        <v>122.7</v>
      </c>
      <c r="F107" s="1">
        <v>18.399999999999999</v>
      </c>
      <c r="G107" s="1">
        <f t="shared" si="2"/>
        <v>3</v>
      </c>
      <c r="Q107" s="4">
        <v>1</v>
      </c>
    </row>
    <row r="108" spans="1:24" x14ac:dyDescent="0.25">
      <c r="A108" s="1" t="s">
        <v>9</v>
      </c>
      <c r="B108" s="2" t="s">
        <v>7</v>
      </c>
      <c r="C108" s="3" t="s">
        <v>8</v>
      </c>
      <c r="D108" s="1">
        <v>150.30000000000001</v>
      </c>
      <c r="E108" s="1">
        <v>147.30000000000001</v>
      </c>
      <c r="F108" s="1">
        <v>20.6</v>
      </c>
      <c r="G108" s="1">
        <f t="shared" si="2"/>
        <v>3</v>
      </c>
      <c r="Q108" s="4">
        <v>1</v>
      </c>
    </row>
    <row r="109" spans="1:24" x14ac:dyDescent="0.25">
      <c r="A109" s="1" t="s">
        <v>12</v>
      </c>
      <c r="B109" s="2" t="s">
        <v>7</v>
      </c>
      <c r="C109" s="3" t="s">
        <v>8</v>
      </c>
      <c r="D109" s="1">
        <v>147.4</v>
      </c>
      <c r="E109" s="1">
        <v>129</v>
      </c>
      <c r="F109" s="1">
        <v>22.2</v>
      </c>
      <c r="G109" s="1">
        <f t="shared" si="2"/>
        <v>3</v>
      </c>
      <c r="Q109" s="4">
        <v>2</v>
      </c>
    </row>
    <row r="110" spans="1:24" x14ac:dyDescent="0.25">
      <c r="A110" s="1" t="s">
        <v>6</v>
      </c>
      <c r="B110" s="2" t="s">
        <v>7</v>
      </c>
      <c r="C110" s="3" t="s">
        <v>8</v>
      </c>
      <c r="D110" s="1">
        <v>146.9</v>
      </c>
      <c r="E110" s="1">
        <v>134.19999999999999</v>
      </c>
      <c r="F110" s="1">
        <v>18.7</v>
      </c>
      <c r="G110" s="1">
        <f t="shared" si="2"/>
        <v>3</v>
      </c>
      <c r="Q110" s="4">
        <v>3</v>
      </c>
    </row>
    <row r="111" spans="1:24" x14ac:dyDescent="0.25">
      <c r="A111" s="1" t="s">
        <v>12</v>
      </c>
      <c r="B111" s="2" t="s">
        <v>7</v>
      </c>
      <c r="C111" s="3" t="s">
        <v>8</v>
      </c>
      <c r="D111" s="1">
        <v>145.30000000000001</v>
      </c>
      <c r="E111" s="1">
        <v>132.9</v>
      </c>
      <c r="F111" s="1">
        <v>18.600000000000001</v>
      </c>
      <c r="G111" s="1">
        <f t="shared" si="2"/>
        <v>3</v>
      </c>
      <c r="Q111" s="4">
        <v>1</v>
      </c>
    </row>
    <row r="112" spans="1:24" x14ac:dyDescent="0.25">
      <c r="A112" s="1" t="s">
        <v>9</v>
      </c>
      <c r="B112" s="2" t="s">
        <v>7</v>
      </c>
      <c r="C112" s="3" t="s">
        <v>8</v>
      </c>
      <c r="D112" s="1">
        <v>144.80000000000001</v>
      </c>
      <c r="E112" s="1">
        <v>139.1</v>
      </c>
      <c r="F112" s="1">
        <v>19.100000000000001</v>
      </c>
      <c r="G112" s="1">
        <f t="shared" si="2"/>
        <v>3</v>
      </c>
      <c r="Q112" s="4">
        <v>3</v>
      </c>
    </row>
    <row r="113" spans="1:17" x14ac:dyDescent="0.25">
      <c r="A113" s="1" t="s">
        <v>12</v>
      </c>
      <c r="B113" s="2" t="s">
        <v>7</v>
      </c>
      <c r="C113" s="3" t="s">
        <v>8</v>
      </c>
      <c r="D113" s="1">
        <v>144.6</v>
      </c>
      <c r="E113" s="1">
        <v>121.8</v>
      </c>
      <c r="F113" s="1">
        <v>19.7</v>
      </c>
      <c r="G113" s="1">
        <f t="shared" si="2"/>
        <v>3</v>
      </c>
      <c r="Q113" s="4">
        <v>1</v>
      </c>
    </row>
    <row r="114" spans="1:17" x14ac:dyDescent="0.25">
      <c r="A114" s="1" t="s">
        <v>9</v>
      </c>
      <c r="B114" s="2" t="s">
        <v>7</v>
      </c>
      <c r="C114" s="3" t="s">
        <v>8</v>
      </c>
      <c r="D114" s="1">
        <v>143</v>
      </c>
      <c r="E114" s="1">
        <v>146.80000000000001</v>
      </c>
      <c r="F114" s="1">
        <v>19.2</v>
      </c>
      <c r="G114" s="1">
        <f t="shared" si="2"/>
        <v>3</v>
      </c>
      <c r="Q114" s="4">
        <v>2</v>
      </c>
    </row>
    <row r="115" spans="1:17" x14ac:dyDescent="0.25">
      <c r="A115" s="1" t="s">
        <v>13</v>
      </c>
      <c r="B115" s="2" t="s">
        <v>7</v>
      </c>
      <c r="C115" s="3" t="s">
        <v>8</v>
      </c>
      <c r="D115" s="1">
        <v>140.5</v>
      </c>
      <c r="E115" s="1">
        <v>130.9</v>
      </c>
      <c r="F115" s="1">
        <v>18.399999999999999</v>
      </c>
      <c r="G115" s="1">
        <f t="shared" si="2"/>
        <v>3</v>
      </c>
      <c r="Q115" s="4">
        <v>2</v>
      </c>
    </row>
    <row r="116" spans="1:17" x14ac:dyDescent="0.25">
      <c r="A116" s="1" t="s">
        <v>9</v>
      </c>
      <c r="B116" s="2" t="s">
        <v>7</v>
      </c>
      <c r="C116" s="3" t="s">
        <v>8</v>
      </c>
      <c r="D116" s="1">
        <v>140.19999999999999</v>
      </c>
      <c r="E116" s="1">
        <v>136.4</v>
      </c>
      <c r="F116" s="1">
        <v>19.5</v>
      </c>
      <c r="G116" s="1">
        <f t="shared" si="2"/>
        <v>3</v>
      </c>
      <c r="Q116" s="4">
        <v>3</v>
      </c>
    </row>
    <row r="117" spans="1:17" x14ac:dyDescent="0.25">
      <c r="A117" s="1" t="s">
        <v>13</v>
      </c>
      <c r="B117" s="2" t="s">
        <v>7</v>
      </c>
      <c r="C117" s="3" t="s">
        <v>8</v>
      </c>
      <c r="D117" s="1">
        <v>137.30000000000001</v>
      </c>
      <c r="E117" s="1">
        <v>134.30000000000001</v>
      </c>
      <c r="F117" s="1">
        <v>18.2</v>
      </c>
      <c r="G117" s="1">
        <f t="shared" si="2"/>
        <v>3</v>
      </c>
      <c r="Q117" s="4">
        <v>1</v>
      </c>
    </row>
    <row r="118" spans="1:17" x14ac:dyDescent="0.25">
      <c r="A118" s="1" t="s">
        <v>12</v>
      </c>
      <c r="B118" s="2" t="s">
        <v>7</v>
      </c>
      <c r="C118" s="3" t="s">
        <v>8</v>
      </c>
      <c r="D118" s="1">
        <v>133</v>
      </c>
      <c r="E118" s="1">
        <v>128.5</v>
      </c>
      <c r="F118" s="1">
        <v>18.3</v>
      </c>
      <c r="G118" s="1">
        <f t="shared" si="2"/>
        <v>3</v>
      </c>
      <c r="Q118" s="4">
        <v>1</v>
      </c>
    </row>
    <row r="119" spans="1:17" x14ac:dyDescent="0.25">
      <c r="A119" s="1" t="s">
        <v>6</v>
      </c>
      <c r="B119" s="2" t="s">
        <v>7</v>
      </c>
      <c r="C119" s="3" t="s">
        <v>8</v>
      </c>
      <c r="D119" s="1">
        <v>131.69999999999999</v>
      </c>
      <c r="E119" s="1">
        <v>146.4</v>
      </c>
      <c r="F119" s="1">
        <v>20.5</v>
      </c>
      <c r="G119" s="1">
        <f t="shared" si="2"/>
        <v>3</v>
      </c>
      <c r="Q119" s="4">
        <v>2</v>
      </c>
    </row>
    <row r="120" spans="1:17" x14ac:dyDescent="0.25">
      <c r="A120" s="1" t="s">
        <v>12</v>
      </c>
      <c r="B120" s="2" t="s">
        <v>7</v>
      </c>
      <c r="C120" s="3" t="s">
        <v>8</v>
      </c>
      <c r="D120" s="1">
        <v>130</v>
      </c>
      <c r="E120" s="1">
        <v>130.4</v>
      </c>
      <c r="F120" s="1">
        <v>18.5</v>
      </c>
      <c r="G120" s="1">
        <f t="shared" si="2"/>
        <v>3</v>
      </c>
      <c r="Q120" s="4">
        <v>1</v>
      </c>
    </row>
    <row r="121" spans="1:17" x14ac:dyDescent="0.25">
      <c r="A121" s="1" t="s">
        <v>12</v>
      </c>
      <c r="B121" s="2" t="s">
        <v>7</v>
      </c>
      <c r="C121" s="3" t="s">
        <v>8</v>
      </c>
      <c r="D121" s="1">
        <v>129.1</v>
      </c>
      <c r="E121" s="1">
        <v>135.9</v>
      </c>
      <c r="F121" s="1">
        <v>22.3</v>
      </c>
      <c r="G121" s="1">
        <f t="shared" si="2"/>
        <v>3</v>
      </c>
      <c r="Q121" s="4">
        <v>2</v>
      </c>
    </row>
    <row r="122" spans="1:17" x14ac:dyDescent="0.25">
      <c r="A122" s="1" t="s">
        <v>9</v>
      </c>
      <c r="B122" s="2" t="s">
        <v>15</v>
      </c>
      <c r="C122" s="3" t="s">
        <v>8</v>
      </c>
      <c r="D122" s="1">
        <v>163.80000000000001</v>
      </c>
      <c r="E122" s="1">
        <v>121.2</v>
      </c>
      <c r="F122" s="1">
        <v>19.2</v>
      </c>
      <c r="G122" s="1">
        <f t="shared" si="2"/>
        <v>3</v>
      </c>
      <c r="Q122" s="4">
        <v>2</v>
      </c>
    </row>
    <row r="123" spans="1:17" x14ac:dyDescent="0.25">
      <c r="A123" s="1" t="s">
        <v>12</v>
      </c>
      <c r="B123" s="2" t="s">
        <v>15</v>
      </c>
      <c r="C123" s="3" t="s">
        <v>8</v>
      </c>
      <c r="D123" s="1">
        <v>162.9</v>
      </c>
      <c r="E123" s="1">
        <v>129.9</v>
      </c>
      <c r="F123" s="1">
        <v>21.6</v>
      </c>
      <c r="G123" s="1">
        <f t="shared" si="2"/>
        <v>3</v>
      </c>
      <c r="Q123" s="4">
        <v>1</v>
      </c>
    </row>
    <row r="124" spans="1:17" x14ac:dyDescent="0.25">
      <c r="A124" s="1" t="s">
        <v>12</v>
      </c>
      <c r="B124" s="2" t="s">
        <v>15</v>
      </c>
      <c r="C124" s="3" t="s">
        <v>8</v>
      </c>
      <c r="D124" s="1">
        <v>156.4</v>
      </c>
      <c r="E124" s="1">
        <v>143.9</v>
      </c>
      <c r="F124" s="1">
        <v>20.6</v>
      </c>
      <c r="G124" s="1">
        <f t="shared" si="2"/>
        <v>3</v>
      </c>
      <c r="Q124" s="4">
        <v>2</v>
      </c>
    </row>
    <row r="125" spans="1:17" x14ac:dyDescent="0.25">
      <c r="A125" s="1" t="s">
        <v>13</v>
      </c>
      <c r="B125" s="2" t="s">
        <v>15</v>
      </c>
      <c r="C125" s="3" t="s">
        <v>8</v>
      </c>
      <c r="D125" s="1">
        <v>154.69999999999999</v>
      </c>
      <c r="E125" s="1">
        <v>138.1</v>
      </c>
      <c r="F125" s="1">
        <v>19.399999999999999</v>
      </c>
      <c r="G125" s="1">
        <f t="shared" si="2"/>
        <v>3</v>
      </c>
      <c r="Q125" s="4">
        <v>2</v>
      </c>
    </row>
    <row r="126" spans="1:17" x14ac:dyDescent="0.25">
      <c r="A126" s="1" t="s">
        <v>17</v>
      </c>
      <c r="B126" s="2" t="s">
        <v>15</v>
      </c>
      <c r="C126" s="3" t="s">
        <v>8</v>
      </c>
      <c r="D126" s="1">
        <v>153.4</v>
      </c>
      <c r="E126" s="1">
        <v>126.1</v>
      </c>
      <c r="F126" s="1">
        <v>22.9</v>
      </c>
      <c r="G126" s="1">
        <f t="shared" si="2"/>
        <v>3</v>
      </c>
      <c r="Q126" s="4">
        <v>2</v>
      </c>
    </row>
    <row r="127" spans="1:17" x14ac:dyDescent="0.25">
      <c r="A127" s="1" t="s">
        <v>9</v>
      </c>
      <c r="B127" s="2" t="s">
        <v>15</v>
      </c>
      <c r="C127" s="3" t="s">
        <v>8</v>
      </c>
      <c r="D127" s="1">
        <v>153.4</v>
      </c>
      <c r="E127" s="1">
        <v>116.5</v>
      </c>
      <c r="F127" s="1">
        <v>21.7</v>
      </c>
      <c r="G127" s="1">
        <f t="shared" si="2"/>
        <v>3</v>
      </c>
      <c r="Q127" s="4">
        <v>2</v>
      </c>
    </row>
    <row r="128" spans="1:17" x14ac:dyDescent="0.25">
      <c r="A128" s="1" t="s">
        <v>12</v>
      </c>
      <c r="B128" s="2" t="s">
        <v>15</v>
      </c>
      <c r="C128" s="3" t="s">
        <v>8</v>
      </c>
      <c r="D128" s="1">
        <v>153.30000000000001</v>
      </c>
      <c r="E128" s="1">
        <v>132.6</v>
      </c>
      <c r="F128" s="1">
        <v>20.6</v>
      </c>
      <c r="G128" s="1">
        <f t="shared" si="2"/>
        <v>3</v>
      </c>
      <c r="Q128" s="4">
        <v>2</v>
      </c>
    </row>
    <row r="129" spans="1:17" x14ac:dyDescent="0.25">
      <c r="A129" s="1" t="s">
        <v>9</v>
      </c>
      <c r="B129" s="2" t="s">
        <v>15</v>
      </c>
      <c r="C129" s="3" t="s">
        <v>8</v>
      </c>
      <c r="D129" s="1">
        <v>152.69999999999999</v>
      </c>
      <c r="E129" s="1">
        <v>137.1</v>
      </c>
      <c r="F129" s="1">
        <v>21.4</v>
      </c>
      <c r="G129" s="1">
        <f t="shared" si="2"/>
        <v>3</v>
      </c>
      <c r="Q129" s="4">
        <v>3</v>
      </c>
    </row>
    <row r="130" spans="1:17" x14ac:dyDescent="0.25">
      <c r="A130" s="1" t="s">
        <v>13</v>
      </c>
      <c r="B130" s="2" t="s">
        <v>15</v>
      </c>
      <c r="C130" s="3" t="s">
        <v>8</v>
      </c>
      <c r="D130" s="1">
        <v>151.1</v>
      </c>
      <c r="E130" s="1">
        <v>129.19999999999999</v>
      </c>
      <c r="F130" s="1">
        <v>20.7</v>
      </c>
      <c r="G130" s="1">
        <f t="shared" ref="G130:G193" si="3">IF(C130="alto",1,IF(C130="medio",2,3))</f>
        <v>3</v>
      </c>
      <c r="Q130" s="4">
        <v>2</v>
      </c>
    </row>
    <row r="131" spans="1:17" x14ac:dyDescent="0.25">
      <c r="A131" s="1" t="s">
        <v>13</v>
      </c>
      <c r="B131" s="2" t="s">
        <v>15</v>
      </c>
      <c r="C131" s="3" t="s">
        <v>8</v>
      </c>
      <c r="D131" s="1">
        <v>151</v>
      </c>
      <c r="E131" s="1">
        <v>137.5</v>
      </c>
      <c r="F131" s="1">
        <v>18.2</v>
      </c>
      <c r="G131" s="1">
        <f t="shared" si="3"/>
        <v>3</v>
      </c>
      <c r="Q131" s="4">
        <v>2</v>
      </c>
    </row>
    <row r="132" spans="1:17" x14ac:dyDescent="0.25">
      <c r="A132" s="1" t="s">
        <v>6</v>
      </c>
      <c r="B132" s="2" t="s">
        <v>15</v>
      </c>
      <c r="C132" s="3" t="s">
        <v>8</v>
      </c>
      <c r="D132" s="1">
        <v>150.19999999999999</v>
      </c>
      <c r="E132" s="1">
        <v>126.7</v>
      </c>
      <c r="F132" s="1">
        <v>18.8</v>
      </c>
      <c r="G132" s="1">
        <f t="shared" si="3"/>
        <v>3</v>
      </c>
      <c r="Q132" s="4">
        <v>2</v>
      </c>
    </row>
    <row r="133" spans="1:17" x14ac:dyDescent="0.25">
      <c r="A133" s="1" t="s">
        <v>17</v>
      </c>
      <c r="B133" s="2" t="s">
        <v>15</v>
      </c>
      <c r="C133" s="3" t="s">
        <v>8</v>
      </c>
      <c r="D133" s="1">
        <v>150</v>
      </c>
      <c r="E133" s="1">
        <v>126.7</v>
      </c>
      <c r="F133" s="1">
        <v>18.8</v>
      </c>
      <c r="G133" s="1">
        <f t="shared" si="3"/>
        <v>3</v>
      </c>
      <c r="Q133" s="4">
        <v>2</v>
      </c>
    </row>
    <row r="134" spans="1:17" x14ac:dyDescent="0.25">
      <c r="A134" s="1" t="s">
        <v>12</v>
      </c>
      <c r="B134" s="2" t="s">
        <v>15</v>
      </c>
      <c r="C134" s="3" t="s">
        <v>8</v>
      </c>
      <c r="D134" s="1">
        <v>149.69999999999999</v>
      </c>
      <c r="E134" s="1">
        <v>133.30000000000001</v>
      </c>
      <c r="F134" s="1">
        <v>23</v>
      </c>
      <c r="G134" s="1">
        <f t="shared" si="3"/>
        <v>3</v>
      </c>
      <c r="Q134" s="4">
        <v>2</v>
      </c>
    </row>
    <row r="135" spans="1:17" x14ac:dyDescent="0.25">
      <c r="A135" s="1" t="s">
        <v>13</v>
      </c>
      <c r="B135" s="2" t="s">
        <v>15</v>
      </c>
      <c r="C135" s="3" t="s">
        <v>8</v>
      </c>
      <c r="D135" s="1">
        <v>149.6</v>
      </c>
      <c r="E135" s="1">
        <v>151.30000000000001</v>
      </c>
      <c r="F135" s="1">
        <v>18.8</v>
      </c>
      <c r="G135" s="1">
        <f t="shared" si="3"/>
        <v>3</v>
      </c>
      <c r="Q135" s="4">
        <v>2</v>
      </c>
    </row>
    <row r="136" spans="1:17" x14ac:dyDescent="0.25">
      <c r="A136" s="1" t="s">
        <v>9</v>
      </c>
      <c r="B136" s="2" t="s">
        <v>15</v>
      </c>
      <c r="C136" s="3" t="s">
        <v>8</v>
      </c>
      <c r="D136" s="1">
        <v>149.5</v>
      </c>
      <c r="E136" s="1">
        <v>127.6</v>
      </c>
      <c r="F136" s="1">
        <v>21</v>
      </c>
      <c r="G136" s="1">
        <f t="shared" si="3"/>
        <v>3</v>
      </c>
      <c r="Q136" s="4">
        <v>2</v>
      </c>
    </row>
    <row r="137" spans="1:17" x14ac:dyDescent="0.25">
      <c r="A137" s="1" t="s">
        <v>13</v>
      </c>
      <c r="B137" s="2" t="s">
        <v>15</v>
      </c>
      <c r="C137" s="3" t="s">
        <v>8</v>
      </c>
      <c r="D137" s="1">
        <v>149</v>
      </c>
      <c r="E137" s="1">
        <v>129.69999999999999</v>
      </c>
      <c r="F137" s="1">
        <v>20</v>
      </c>
      <c r="G137" s="1">
        <f t="shared" si="3"/>
        <v>3</v>
      </c>
      <c r="Q137" s="4">
        <v>2</v>
      </c>
    </row>
    <row r="138" spans="1:17" x14ac:dyDescent="0.25">
      <c r="A138" s="1" t="s">
        <v>13</v>
      </c>
      <c r="B138" s="2" t="s">
        <v>15</v>
      </c>
      <c r="C138" s="3" t="s">
        <v>8</v>
      </c>
      <c r="D138" s="1">
        <v>148.1</v>
      </c>
      <c r="E138" s="1">
        <v>153.30000000000001</v>
      </c>
      <c r="F138" s="1">
        <v>22.6</v>
      </c>
      <c r="G138" s="1">
        <f t="shared" si="3"/>
        <v>3</v>
      </c>
      <c r="Q138" s="4">
        <v>1</v>
      </c>
    </row>
    <row r="139" spans="1:17" x14ac:dyDescent="0.25">
      <c r="A139" s="1" t="s">
        <v>6</v>
      </c>
      <c r="B139" s="2" t="s">
        <v>15</v>
      </c>
      <c r="C139" s="3" t="s">
        <v>8</v>
      </c>
      <c r="D139" s="1">
        <v>147</v>
      </c>
      <c r="E139" s="1">
        <v>136.30000000000001</v>
      </c>
      <c r="F139" s="1">
        <v>20.3</v>
      </c>
      <c r="G139" s="1">
        <f t="shared" si="3"/>
        <v>3</v>
      </c>
      <c r="Q139" s="4">
        <v>2</v>
      </c>
    </row>
    <row r="140" spans="1:17" x14ac:dyDescent="0.25">
      <c r="A140" s="1" t="s">
        <v>9</v>
      </c>
      <c r="B140" s="2" t="s">
        <v>15</v>
      </c>
      <c r="C140" s="3" t="s">
        <v>8</v>
      </c>
      <c r="D140" s="1">
        <v>145.69999999999999</v>
      </c>
      <c r="E140" s="1">
        <v>123.3</v>
      </c>
      <c r="F140" s="1">
        <v>22.4</v>
      </c>
      <c r="G140" s="1">
        <f t="shared" si="3"/>
        <v>3</v>
      </c>
      <c r="Q140" s="4">
        <v>1</v>
      </c>
    </row>
    <row r="141" spans="1:17" x14ac:dyDescent="0.25">
      <c r="A141" s="1" t="s">
        <v>12</v>
      </c>
      <c r="B141" s="2" t="s">
        <v>15</v>
      </c>
      <c r="C141" s="3" t="s">
        <v>8</v>
      </c>
      <c r="D141" s="1">
        <v>145.69999999999999</v>
      </c>
      <c r="E141" s="1">
        <v>120.4</v>
      </c>
      <c r="F141" s="1">
        <v>22.6</v>
      </c>
      <c r="G141" s="1">
        <f t="shared" si="3"/>
        <v>3</v>
      </c>
      <c r="Q141" s="4">
        <v>3</v>
      </c>
    </row>
    <row r="142" spans="1:17" x14ac:dyDescent="0.25">
      <c r="A142" s="1" t="s">
        <v>6</v>
      </c>
      <c r="B142" s="2" t="s">
        <v>15</v>
      </c>
      <c r="C142" s="3" t="s">
        <v>8</v>
      </c>
      <c r="D142" s="1">
        <v>145.6</v>
      </c>
      <c r="E142" s="1">
        <v>120.9</v>
      </c>
      <c r="F142" s="1">
        <v>21.2</v>
      </c>
      <c r="G142" s="1">
        <f t="shared" si="3"/>
        <v>3</v>
      </c>
      <c r="Q142" s="4">
        <v>3</v>
      </c>
    </row>
    <row r="143" spans="1:17" x14ac:dyDescent="0.25">
      <c r="A143" s="1" t="s">
        <v>9</v>
      </c>
      <c r="B143" s="2" t="s">
        <v>15</v>
      </c>
      <c r="C143" s="3" t="s">
        <v>8</v>
      </c>
      <c r="D143" s="1">
        <v>145.30000000000001</v>
      </c>
      <c r="E143" s="1">
        <v>115</v>
      </c>
      <c r="F143" s="1">
        <v>20.100000000000001</v>
      </c>
      <c r="G143" s="1">
        <f t="shared" si="3"/>
        <v>3</v>
      </c>
      <c r="Q143" s="4">
        <v>2</v>
      </c>
    </row>
    <row r="144" spans="1:17" x14ac:dyDescent="0.25">
      <c r="A144" s="1" t="s">
        <v>6</v>
      </c>
      <c r="B144" s="2" t="s">
        <v>15</v>
      </c>
      <c r="C144" s="3" t="s">
        <v>8</v>
      </c>
      <c r="D144" s="1">
        <v>142.69999999999999</v>
      </c>
      <c r="E144" s="1">
        <v>142.80000000000001</v>
      </c>
      <c r="F144" s="1">
        <v>19</v>
      </c>
      <c r="G144" s="1">
        <f t="shared" si="3"/>
        <v>3</v>
      </c>
      <c r="Q144" s="4">
        <v>2</v>
      </c>
    </row>
    <row r="145" spans="1:17" x14ac:dyDescent="0.25">
      <c r="A145" s="1" t="s">
        <v>9</v>
      </c>
      <c r="B145" s="2" t="s">
        <v>15</v>
      </c>
      <c r="C145" s="3" t="s">
        <v>8</v>
      </c>
      <c r="D145" s="1">
        <v>140.4</v>
      </c>
      <c r="E145" s="1">
        <v>131.19999999999999</v>
      </c>
      <c r="F145" s="1">
        <v>21.3</v>
      </c>
      <c r="G145" s="1">
        <f t="shared" si="3"/>
        <v>3</v>
      </c>
      <c r="Q145" s="4">
        <v>1</v>
      </c>
    </row>
    <row r="146" spans="1:17" x14ac:dyDescent="0.25">
      <c r="A146" s="1" t="s">
        <v>6</v>
      </c>
      <c r="B146" s="2" t="s">
        <v>15</v>
      </c>
      <c r="C146" s="3" t="s">
        <v>8</v>
      </c>
      <c r="D146" s="1">
        <v>139.5</v>
      </c>
      <c r="E146" s="1">
        <v>111.3</v>
      </c>
      <c r="F146" s="1">
        <v>19.399999999999999</v>
      </c>
      <c r="G146" s="1">
        <f t="shared" si="3"/>
        <v>3</v>
      </c>
      <c r="Q146" s="4">
        <v>2</v>
      </c>
    </row>
    <row r="147" spans="1:17" x14ac:dyDescent="0.25">
      <c r="A147" s="1" t="s">
        <v>9</v>
      </c>
      <c r="B147" s="2" t="s">
        <v>15</v>
      </c>
      <c r="C147" s="3" t="s">
        <v>8</v>
      </c>
      <c r="D147" s="1">
        <v>138.1</v>
      </c>
      <c r="E147" s="1">
        <v>130.1</v>
      </c>
      <c r="F147" s="1">
        <v>18.5</v>
      </c>
      <c r="G147" s="1">
        <f t="shared" si="3"/>
        <v>3</v>
      </c>
      <c r="Q147" s="4">
        <v>2</v>
      </c>
    </row>
    <row r="148" spans="1:17" x14ac:dyDescent="0.25">
      <c r="A148" s="1" t="s">
        <v>6</v>
      </c>
      <c r="B148" s="2" t="s">
        <v>15</v>
      </c>
      <c r="C148" s="3" t="s">
        <v>8</v>
      </c>
      <c r="D148" s="1">
        <v>136.9</v>
      </c>
      <c r="E148" s="1">
        <v>111.8</v>
      </c>
      <c r="F148" s="1">
        <v>21.3</v>
      </c>
      <c r="G148" s="1">
        <f t="shared" si="3"/>
        <v>3</v>
      </c>
      <c r="Q148" s="4">
        <v>3</v>
      </c>
    </row>
    <row r="149" spans="1:17" x14ac:dyDescent="0.25">
      <c r="A149" s="1" t="s">
        <v>12</v>
      </c>
      <c r="B149" s="2" t="s">
        <v>15</v>
      </c>
      <c r="C149" s="3" t="s">
        <v>8</v>
      </c>
      <c r="D149" s="1">
        <v>133.6</v>
      </c>
      <c r="E149" s="1">
        <v>139.69999999999999</v>
      </c>
      <c r="F149" s="1">
        <v>21.5</v>
      </c>
      <c r="G149" s="1">
        <f t="shared" si="3"/>
        <v>3</v>
      </c>
      <c r="Q149" s="4">
        <v>2</v>
      </c>
    </row>
    <row r="150" spans="1:17" x14ac:dyDescent="0.25">
      <c r="A150" s="1" t="s">
        <v>9</v>
      </c>
      <c r="B150" s="2" t="s">
        <v>15</v>
      </c>
      <c r="C150" s="3" t="s">
        <v>8</v>
      </c>
      <c r="D150" s="1">
        <v>133.6</v>
      </c>
      <c r="E150" s="1">
        <v>122.8</v>
      </c>
      <c r="F150" s="1">
        <v>20.7</v>
      </c>
      <c r="G150" s="1">
        <f t="shared" si="3"/>
        <v>3</v>
      </c>
      <c r="Q150" s="4">
        <v>3</v>
      </c>
    </row>
    <row r="151" spans="1:17" x14ac:dyDescent="0.25">
      <c r="A151" s="1" t="s">
        <v>13</v>
      </c>
      <c r="B151" s="2" t="s">
        <v>15</v>
      </c>
      <c r="C151" s="3" t="s">
        <v>8</v>
      </c>
      <c r="D151" s="1">
        <v>123.2</v>
      </c>
      <c r="E151" s="1">
        <v>134.1</v>
      </c>
      <c r="F151" s="1">
        <v>21.7</v>
      </c>
      <c r="G151" s="1">
        <f t="shared" si="3"/>
        <v>3</v>
      </c>
      <c r="Q151" s="4">
        <v>2</v>
      </c>
    </row>
    <row r="152" spans="1:17" x14ac:dyDescent="0.25">
      <c r="A152" s="1" t="s">
        <v>9</v>
      </c>
      <c r="B152" s="2" t="s">
        <v>10</v>
      </c>
      <c r="C152" s="3" t="s">
        <v>18</v>
      </c>
      <c r="D152" s="1">
        <v>170.5</v>
      </c>
      <c r="E152" s="1">
        <v>116.5</v>
      </c>
      <c r="F152" s="1">
        <v>18.8</v>
      </c>
      <c r="G152" s="1">
        <f t="shared" si="3"/>
        <v>2</v>
      </c>
      <c r="Q152" s="4">
        <v>3</v>
      </c>
    </row>
    <row r="153" spans="1:17" x14ac:dyDescent="0.25">
      <c r="A153" s="1" t="s">
        <v>12</v>
      </c>
      <c r="B153" s="2" t="s">
        <v>10</v>
      </c>
      <c r="C153" s="3" t="s">
        <v>18</v>
      </c>
      <c r="D153" s="1">
        <v>164.9</v>
      </c>
      <c r="E153" s="1">
        <v>135.4</v>
      </c>
      <c r="F153" s="1">
        <v>19.7</v>
      </c>
      <c r="G153" s="1">
        <f t="shared" si="3"/>
        <v>2</v>
      </c>
      <c r="Q153" s="4">
        <v>2</v>
      </c>
    </row>
    <row r="154" spans="1:17" x14ac:dyDescent="0.25">
      <c r="A154" s="1" t="s">
        <v>13</v>
      </c>
      <c r="B154" s="2" t="s">
        <v>10</v>
      </c>
      <c r="C154" s="3" t="s">
        <v>18</v>
      </c>
      <c r="D154" s="1">
        <v>164.8</v>
      </c>
      <c r="E154" s="1">
        <v>140.80000000000001</v>
      </c>
      <c r="F154" s="1">
        <v>22.7</v>
      </c>
      <c r="G154" s="1">
        <f t="shared" si="3"/>
        <v>2</v>
      </c>
      <c r="Q154" s="4">
        <v>2</v>
      </c>
    </row>
    <row r="155" spans="1:17" x14ac:dyDescent="0.25">
      <c r="A155" s="1" t="s">
        <v>9</v>
      </c>
      <c r="B155" s="2" t="s">
        <v>10</v>
      </c>
      <c r="C155" s="3" t="s">
        <v>18</v>
      </c>
      <c r="D155" s="1">
        <v>164.4</v>
      </c>
      <c r="E155" s="1">
        <v>127.9</v>
      </c>
      <c r="F155" s="1">
        <v>23</v>
      </c>
      <c r="G155" s="1">
        <f t="shared" si="3"/>
        <v>2</v>
      </c>
      <c r="Q155" s="4">
        <v>2</v>
      </c>
    </row>
    <row r="156" spans="1:17" x14ac:dyDescent="0.25">
      <c r="A156" s="1" t="s">
        <v>17</v>
      </c>
      <c r="B156" s="2" t="s">
        <v>10</v>
      </c>
      <c r="C156" s="3" t="s">
        <v>18</v>
      </c>
      <c r="D156" s="1">
        <v>164.3</v>
      </c>
      <c r="E156" s="1">
        <v>101.3</v>
      </c>
      <c r="F156" s="1">
        <v>19.5</v>
      </c>
      <c r="G156" s="1">
        <f t="shared" si="3"/>
        <v>2</v>
      </c>
      <c r="Q156" s="4">
        <v>2</v>
      </c>
    </row>
    <row r="157" spans="1:17" x14ac:dyDescent="0.25">
      <c r="A157" s="1" t="s">
        <v>9</v>
      </c>
      <c r="B157" s="2" t="s">
        <v>10</v>
      </c>
      <c r="C157" s="3" t="s">
        <v>18</v>
      </c>
      <c r="D157" s="1">
        <v>163</v>
      </c>
      <c r="E157" s="1">
        <v>122.9</v>
      </c>
      <c r="F157" s="1">
        <v>19.5</v>
      </c>
      <c r="G157" s="1">
        <f t="shared" si="3"/>
        <v>2</v>
      </c>
      <c r="Q157" s="4">
        <v>1</v>
      </c>
    </row>
    <row r="158" spans="1:17" x14ac:dyDescent="0.25">
      <c r="A158" s="1" t="s">
        <v>12</v>
      </c>
      <c r="B158" s="2" t="s">
        <v>10</v>
      </c>
      <c r="C158" s="3" t="s">
        <v>18</v>
      </c>
      <c r="D158" s="1">
        <v>162.80000000000001</v>
      </c>
      <c r="E158" s="1">
        <v>122.4</v>
      </c>
      <c r="F158" s="1">
        <v>20</v>
      </c>
      <c r="G158" s="1">
        <f t="shared" si="3"/>
        <v>2</v>
      </c>
      <c r="Q158" s="4">
        <v>2</v>
      </c>
    </row>
    <row r="159" spans="1:17" x14ac:dyDescent="0.25">
      <c r="A159" s="1" t="s">
        <v>17</v>
      </c>
      <c r="B159" s="2" t="s">
        <v>10</v>
      </c>
      <c r="C159" s="3" t="s">
        <v>18</v>
      </c>
      <c r="D159" s="1">
        <v>162.6</v>
      </c>
      <c r="E159" s="1">
        <v>125.1</v>
      </c>
      <c r="F159" s="1">
        <v>19.600000000000001</v>
      </c>
      <c r="G159" s="1">
        <f t="shared" si="3"/>
        <v>2</v>
      </c>
      <c r="Q159" s="4">
        <v>2</v>
      </c>
    </row>
    <row r="160" spans="1:17" x14ac:dyDescent="0.25">
      <c r="A160" s="1" t="s">
        <v>13</v>
      </c>
      <c r="B160" s="2" t="s">
        <v>10</v>
      </c>
      <c r="C160" s="3" t="s">
        <v>18</v>
      </c>
      <c r="D160" s="1">
        <v>162</v>
      </c>
      <c r="E160" s="1">
        <v>146.80000000000001</v>
      </c>
      <c r="F160" s="1">
        <v>19.600000000000001</v>
      </c>
      <c r="G160" s="1">
        <f t="shared" si="3"/>
        <v>2</v>
      </c>
      <c r="Q160" s="4">
        <v>2</v>
      </c>
    </row>
    <row r="161" spans="1:17" x14ac:dyDescent="0.25">
      <c r="A161" s="1" t="s">
        <v>12</v>
      </c>
      <c r="B161" s="2" t="s">
        <v>10</v>
      </c>
      <c r="C161" s="3" t="s">
        <v>18</v>
      </c>
      <c r="D161" s="1">
        <v>162</v>
      </c>
      <c r="E161" s="1">
        <v>123.8</v>
      </c>
      <c r="F161" s="1">
        <v>19.899999999999999</v>
      </c>
      <c r="G161" s="1">
        <f t="shared" si="3"/>
        <v>2</v>
      </c>
      <c r="Q161" s="4">
        <v>2</v>
      </c>
    </row>
    <row r="162" spans="1:17" x14ac:dyDescent="0.25">
      <c r="A162" s="1" t="s">
        <v>9</v>
      </c>
      <c r="B162" s="2" t="s">
        <v>10</v>
      </c>
      <c r="C162" s="3" t="s">
        <v>18</v>
      </c>
      <c r="D162" s="1">
        <v>159.5</v>
      </c>
      <c r="E162" s="1">
        <v>135.19999999999999</v>
      </c>
      <c r="F162" s="1">
        <v>19.899999999999999</v>
      </c>
      <c r="G162" s="1">
        <f t="shared" si="3"/>
        <v>2</v>
      </c>
      <c r="Q162" s="4">
        <v>2</v>
      </c>
    </row>
    <row r="163" spans="1:17" x14ac:dyDescent="0.25">
      <c r="A163" s="1" t="s">
        <v>6</v>
      </c>
      <c r="B163" s="2" t="s">
        <v>10</v>
      </c>
      <c r="C163" s="3" t="s">
        <v>18</v>
      </c>
      <c r="D163" s="1">
        <v>158.80000000000001</v>
      </c>
      <c r="E163" s="1">
        <v>139.19999999999999</v>
      </c>
      <c r="F163" s="1">
        <v>21.5</v>
      </c>
      <c r="G163" s="1">
        <f t="shared" si="3"/>
        <v>2</v>
      </c>
      <c r="Q163" s="4">
        <v>2</v>
      </c>
    </row>
    <row r="164" spans="1:17" x14ac:dyDescent="0.25">
      <c r="A164" s="1" t="s">
        <v>13</v>
      </c>
      <c r="B164" s="2" t="s">
        <v>10</v>
      </c>
      <c r="C164" s="3" t="s">
        <v>18</v>
      </c>
      <c r="D164" s="1">
        <v>158.69999999999999</v>
      </c>
      <c r="E164" s="1">
        <v>118.7</v>
      </c>
      <c r="F164" s="1">
        <v>19.100000000000001</v>
      </c>
      <c r="G164" s="1">
        <f t="shared" si="3"/>
        <v>2</v>
      </c>
      <c r="Q164" s="4">
        <v>1</v>
      </c>
    </row>
    <row r="165" spans="1:17" x14ac:dyDescent="0.25">
      <c r="A165" s="1" t="s">
        <v>9</v>
      </c>
      <c r="B165" s="2" t="s">
        <v>10</v>
      </c>
      <c r="C165" s="3" t="s">
        <v>18</v>
      </c>
      <c r="D165" s="1">
        <v>158.5</v>
      </c>
      <c r="E165" s="1">
        <v>129.9</v>
      </c>
      <c r="F165" s="1">
        <v>19.600000000000001</v>
      </c>
      <c r="G165" s="1">
        <f t="shared" si="3"/>
        <v>2</v>
      </c>
      <c r="Q165" s="4">
        <v>2</v>
      </c>
    </row>
    <row r="166" spans="1:17" x14ac:dyDescent="0.25">
      <c r="A166" s="1" t="s">
        <v>9</v>
      </c>
      <c r="B166" s="2" t="s">
        <v>10</v>
      </c>
      <c r="C166" s="3" t="s">
        <v>18</v>
      </c>
      <c r="D166" s="1">
        <v>158.30000000000001</v>
      </c>
      <c r="E166" s="1">
        <v>135.6</v>
      </c>
      <c r="F166" s="1">
        <v>22.3</v>
      </c>
      <c r="G166" s="1">
        <f t="shared" si="3"/>
        <v>2</v>
      </c>
      <c r="Q166" s="4">
        <v>2</v>
      </c>
    </row>
    <row r="167" spans="1:17" x14ac:dyDescent="0.25">
      <c r="A167" s="1" t="s">
        <v>13</v>
      </c>
      <c r="B167" s="2" t="s">
        <v>10</v>
      </c>
      <c r="C167" s="3" t="s">
        <v>18</v>
      </c>
      <c r="D167" s="1">
        <v>158</v>
      </c>
      <c r="E167" s="1">
        <v>124</v>
      </c>
      <c r="F167" s="1">
        <v>22.4</v>
      </c>
      <c r="G167" s="1">
        <f t="shared" si="3"/>
        <v>2</v>
      </c>
      <c r="Q167" s="4">
        <v>2</v>
      </c>
    </row>
    <row r="168" spans="1:17" x14ac:dyDescent="0.25">
      <c r="A168" s="1" t="s">
        <v>9</v>
      </c>
      <c r="B168" s="2" t="s">
        <v>10</v>
      </c>
      <c r="C168" s="3" t="s">
        <v>18</v>
      </c>
      <c r="D168" s="1">
        <v>157.5</v>
      </c>
      <c r="E168" s="1">
        <v>127.1</v>
      </c>
      <c r="F168" s="1">
        <v>22.4</v>
      </c>
      <c r="G168" s="1">
        <f t="shared" si="3"/>
        <v>2</v>
      </c>
      <c r="Q168" s="4">
        <v>2</v>
      </c>
    </row>
    <row r="169" spans="1:17" x14ac:dyDescent="0.25">
      <c r="A169" s="1" t="s">
        <v>13</v>
      </c>
      <c r="B169" s="2" t="s">
        <v>10</v>
      </c>
      <c r="C169" s="3" t="s">
        <v>18</v>
      </c>
      <c r="D169" s="1">
        <v>157.5</v>
      </c>
      <c r="E169" s="1">
        <v>124.2</v>
      </c>
      <c r="F169" s="1">
        <v>19.7</v>
      </c>
      <c r="G169" s="1">
        <f t="shared" si="3"/>
        <v>2</v>
      </c>
      <c r="Q169" s="4">
        <v>1</v>
      </c>
    </row>
    <row r="170" spans="1:17" x14ac:dyDescent="0.25">
      <c r="A170" s="1" t="s">
        <v>6</v>
      </c>
      <c r="B170" s="2" t="s">
        <v>10</v>
      </c>
      <c r="C170" s="3" t="s">
        <v>18</v>
      </c>
      <c r="D170" s="1">
        <v>157.19999999999999</v>
      </c>
      <c r="E170" s="1">
        <v>137.4</v>
      </c>
      <c r="F170" s="1">
        <v>21</v>
      </c>
      <c r="G170" s="1">
        <f t="shared" si="3"/>
        <v>2</v>
      </c>
      <c r="Q170" s="4">
        <v>2</v>
      </c>
    </row>
    <row r="171" spans="1:17" x14ac:dyDescent="0.25">
      <c r="A171" s="1" t="s">
        <v>12</v>
      </c>
      <c r="B171" s="2" t="s">
        <v>10</v>
      </c>
      <c r="C171" s="3" t="s">
        <v>18</v>
      </c>
      <c r="D171" s="1">
        <v>156.9</v>
      </c>
      <c r="E171" s="1">
        <v>132.80000000000001</v>
      </c>
      <c r="F171" s="1">
        <v>22.2</v>
      </c>
      <c r="G171" s="1">
        <f t="shared" si="3"/>
        <v>2</v>
      </c>
      <c r="Q171" s="4">
        <v>2</v>
      </c>
    </row>
    <row r="172" spans="1:17" x14ac:dyDescent="0.25">
      <c r="A172" s="1" t="s">
        <v>12</v>
      </c>
      <c r="B172" s="2" t="s">
        <v>10</v>
      </c>
      <c r="C172" s="3" t="s">
        <v>18</v>
      </c>
      <c r="D172" s="1">
        <v>156.5</v>
      </c>
      <c r="E172" s="1">
        <v>122.4</v>
      </c>
      <c r="F172" s="1">
        <v>21.4</v>
      </c>
      <c r="G172" s="1">
        <f t="shared" si="3"/>
        <v>2</v>
      </c>
      <c r="Q172" s="4">
        <v>2</v>
      </c>
    </row>
    <row r="173" spans="1:17" x14ac:dyDescent="0.25">
      <c r="A173" s="1" t="s">
        <v>17</v>
      </c>
      <c r="B173" s="2" t="s">
        <v>10</v>
      </c>
      <c r="C173" s="3" t="s">
        <v>18</v>
      </c>
      <c r="D173" s="1">
        <v>156.30000000000001</v>
      </c>
      <c r="E173" s="1">
        <v>132.19999999999999</v>
      </c>
      <c r="F173" s="1">
        <v>21.4</v>
      </c>
      <c r="G173" s="1">
        <f t="shared" si="3"/>
        <v>2</v>
      </c>
      <c r="Q173" s="4">
        <v>2</v>
      </c>
    </row>
    <row r="174" spans="1:17" x14ac:dyDescent="0.25">
      <c r="A174" s="1" t="s">
        <v>9</v>
      </c>
      <c r="B174" s="2" t="s">
        <v>10</v>
      </c>
      <c r="C174" s="3" t="s">
        <v>18</v>
      </c>
      <c r="D174" s="1">
        <v>156</v>
      </c>
      <c r="E174" s="1">
        <v>118.4</v>
      </c>
      <c r="F174" s="1">
        <v>19.3</v>
      </c>
      <c r="G174" s="1">
        <f t="shared" si="3"/>
        <v>2</v>
      </c>
      <c r="Q174" s="4">
        <v>2</v>
      </c>
    </row>
    <row r="175" spans="1:17" x14ac:dyDescent="0.25">
      <c r="A175" s="1" t="s">
        <v>13</v>
      </c>
      <c r="B175" s="2" t="s">
        <v>10</v>
      </c>
      <c r="C175" s="3" t="s">
        <v>18</v>
      </c>
      <c r="D175" s="1">
        <v>155.80000000000001</v>
      </c>
      <c r="E175" s="1">
        <v>132.5</v>
      </c>
      <c r="F175" s="1">
        <v>22.6</v>
      </c>
      <c r="G175" s="1">
        <f t="shared" si="3"/>
        <v>2</v>
      </c>
      <c r="Q175" s="4">
        <v>1</v>
      </c>
    </row>
    <row r="176" spans="1:17" x14ac:dyDescent="0.25">
      <c r="A176" s="1" t="s">
        <v>13</v>
      </c>
      <c r="B176" s="2" t="s">
        <v>10</v>
      </c>
      <c r="C176" s="3" t="s">
        <v>18</v>
      </c>
      <c r="D176" s="1">
        <v>155.69999999999999</v>
      </c>
      <c r="E176" s="1">
        <v>140.1</v>
      </c>
      <c r="F176" s="1">
        <v>19.100000000000001</v>
      </c>
      <c r="G176" s="1">
        <f t="shared" si="3"/>
        <v>2</v>
      </c>
      <c r="Q176" s="4">
        <v>3</v>
      </c>
    </row>
    <row r="177" spans="1:17" x14ac:dyDescent="0.25">
      <c r="A177" s="1" t="s">
        <v>9</v>
      </c>
      <c r="B177" s="2" t="s">
        <v>10</v>
      </c>
      <c r="C177" s="3" t="s">
        <v>18</v>
      </c>
      <c r="D177" s="1">
        <v>155.6</v>
      </c>
      <c r="E177" s="1">
        <v>129.9</v>
      </c>
      <c r="F177" s="1">
        <v>20.2</v>
      </c>
      <c r="G177" s="1">
        <f t="shared" si="3"/>
        <v>2</v>
      </c>
      <c r="Q177" s="4">
        <v>2</v>
      </c>
    </row>
    <row r="178" spans="1:17" x14ac:dyDescent="0.25">
      <c r="A178" s="1" t="s">
        <v>12</v>
      </c>
      <c r="B178" s="2" t="s">
        <v>10</v>
      </c>
      <c r="C178" s="3" t="s">
        <v>18</v>
      </c>
      <c r="D178" s="1">
        <v>154.9</v>
      </c>
      <c r="E178" s="1">
        <v>136.80000000000001</v>
      </c>
      <c r="F178" s="1">
        <v>19.3</v>
      </c>
      <c r="G178" s="1">
        <f t="shared" si="3"/>
        <v>2</v>
      </c>
      <c r="Q178" s="4">
        <v>2</v>
      </c>
    </row>
    <row r="179" spans="1:17" x14ac:dyDescent="0.25">
      <c r="A179" s="1" t="s">
        <v>13</v>
      </c>
      <c r="B179" s="2" t="s">
        <v>10</v>
      </c>
      <c r="C179" s="3" t="s">
        <v>18</v>
      </c>
      <c r="D179" s="1">
        <v>154.69999999999999</v>
      </c>
      <c r="E179" s="1">
        <v>132.1</v>
      </c>
      <c r="F179" s="1">
        <v>18.2</v>
      </c>
      <c r="G179" s="1">
        <f t="shared" si="3"/>
        <v>2</v>
      </c>
      <c r="Q179" s="4">
        <v>1</v>
      </c>
    </row>
    <row r="180" spans="1:17" x14ac:dyDescent="0.25">
      <c r="A180" s="1" t="s">
        <v>13</v>
      </c>
      <c r="B180" s="2" t="s">
        <v>10</v>
      </c>
      <c r="C180" s="3" t="s">
        <v>18</v>
      </c>
      <c r="D180" s="1">
        <v>154.5</v>
      </c>
      <c r="E180" s="1">
        <v>124</v>
      </c>
      <c r="F180" s="1">
        <v>23</v>
      </c>
      <c r="G180" s="1">
        <f t="shared" si="3"/>
        <v>2</v>
      </c>
      <c r="Q180" s="4">
        <v>2</v>
      </c>
    </row>
    <row r="181" spans="1:17" x14ac:dyDescent="0.25">
      <c r="A181" s="1" t="s">
        <v>9</v>
      </c>
      <c r="B181" s="2" t="s">
        <v>10</v>
      </c>
      <c r="C181" s="3" t="s">
        <v>18</v>
      </c>
      <c r="D181" s="1">
        <v>154.4</v>
      </c>
      <c r="E181" s="1">
        <v>133.69999999999999</v>
      </c>
      <c r="F181" s="1">
        <v>20.9</v>
      </c>
      <c r="G181" s="1">
        <f t="shared" si="3"/>
        <v>2</v>
      </c>
      <c r="Q181" s="4">
        <v>2</v>
      </c>
    </row>
    <row r="182" spans="1:17" x14ac:dyDescent="0.25">
      <c r="A182" s="1" t="s">
        <v>13</v>
      </c>
      <c r="B182" s="2" t="s">
        <v>10</v>
      </c>
      <c r="C182" s="3" t="s">
        <v>18</v>
      </c>
      <c r="D182" s="1">
        <v>154.19999999999999</v>
      </c>
      <c r="E182" s="1">
        <v>121.6</v>
      </c>
      <c r="F182" s="1">
        <v>19.8</v>
      </c>
      <c r="G182" s="1">
        <f t="shared" si="3"/>
        <v>2</v>
      </c>
      <c r="Q182" s="4">
        <v>3</v>
      </c>
    </row>
    <row r="183" spans="1:17" x14ac:dyDescent="0.25">
      <c r="A183" s="1" t="s">
        <v>9</v>
      </c>
      <c r="B183" s="2" t="s">
        <v>10</v>
      </c>
      <c r="C183" s="3" t="s">
        <v>18</v>
      </c>
      <c r="D183" s="1">
        <v>154</v>
      </c>
      <c r="E183" s="1">
        <v>127.9</v>
      </c>
      <c r="F183" s="1">
        <v>21</v>
      </c>
      <c r="G183" s="1">
        <f t="shared" si="3"/>
        <v>2</v>
      </c>
      <c r="Q183" s="4">
        <v>3</v>
      </c>
    </row>
    <row r="184" spans="1:17" x14ac:dyDescent="0.25">
      <c r="A184" s="1" t="s">
        <v>9</v>
      </c>
      <c r="B184" s="2" t="s">
        <v>10</v>
      </c>
      <c r="C184" s="3" t="s">
        <v>18</v>
      </c>
      <c r="D184" s="1">
        <v>153.6</v>
      </c>
      <c r="E184" s="1">
        <v>133.19999999999999</v>
      </c>
      <c r="F184" s="1">
        <v>21.9</v>
      </c>
      <c r="G184" s="1">
        <f t="shared" si="3"/>
        <v>2</v>
      </c>
      <c r="Q184" s="4">
        <v>2</v>
      </c>
    </row>
    <row r="185" spans="1:17" x14ac:dyDescent="0.25">
      <c r="A185" s="1" t="s">
        <v>9</v>
      </c>
      <c r="B185" s="2" t="s">
        <v>10</v>
      </c>
      <c r="C185" s="3" t="s">
        <v>18</v>
      </c>
      <c r="D185" s="1">
        <v>153.30000000000001</v>
      </c>
      <c r="E185" s="1">
        <v>134.30000000000001</v>
      </c>
      <c r="F185" s="1">
        <v>20.100000000000001</v>
      </c>
      <c r="G185" s="1">
        <f t="shared" si="3"/>
        <v>2</v>
      </c>
      <c r="Q185" s="4">
        <v>3</v>
      </c>
    </row>
    <row r="186" spans="1:17" x14ac:dyDescent="0.25">
      <c r="A186" s="1" t="s">
        <v>13</v>
      </c>
      <c r="B186" s="2" t="s">
        <v>10</v>
      </c>
      <c r="C186" s="3" t="s">
        <v>18</v>
      </c>
      <c r="D186" s="1">
        <v>153.1</v>
      </c>
      <c r="E186" s="1">
        <v>119</v>
      </c>
      <c r="F186" s="1">
        <v>22.6</v>
      </c>
      <c r="G186" s="1">
        <f t="shared" si="3"/>
        <v>2</v>
      </c>
      <c r="Q186" s="4">
        <v>2</v>
      </c>
    </row>
    <row r="187" spans="1:17" x14ac:dyDescent="0.25">
      <c r="A187" s="1" t="s">
        <v>12</v>
      </c>
      <c r="B187" s="2" t="s">
        <v>10</v>
      </c>
      <c r="C187" s="3" t="s">
        <v>18</v>
      </c>
      <c r="D187" s="1">
        <v>153</v>
      </c>
      <c r="E187" s="1">
        <v>127.7</v>
      </c>
      <c r="F187" s="1">
        <v>23</v>
      </c>
      <c r="G187" s="1">
        <f t="shared" si="3"/>
        <v>2</v>
      </c>
      <c r="Q187" s="4">
        <v>2</v>
      </c>
    </row>
    <row r="188" spans="1:17" x14ac:dyDescent="0.25">
      <c r="A188" s="1" t="s">
        <v>12</v>
      </c>
      <c r="B188" s="2" t="s">
        <v>10</v>
      </c>
      <c r="C188" s="3" t="s">
        <v>18</v>
      </c>
      <c r="D188" s="1">
        <v>152.69999999999999</v>
      </c>
      <c r="E188" s="1">
        <v>135.9</v>
      </c>
      <c r="F188" s="1">
        <v>18.7</v>
      </c>
      <c r="G188" s="1">
        <f t="shared" si="3"/>
        <v>2</v>
      </c>
      <c r="Q188" s="4">
        <v>1</v>
      </c>
    </row>
    <row r="189" spans="1:17" x14ac:dyDescent="0.25">
      <c r="A189" s="1" t="s">
        <v>12</v>
      </c>
      <c r="B189" s="2" t="s">
        <v>10</v>
      </c>
      <c r="C189" s="3" t="s">
        <v>18</v>
      </c>
      <c r="D189" s="1">
        <v>152.4</v>
      </c>
      <c r="E189" s="1">
        <v>154</v>
      </c>
      <c r="F189" s="1">
        <v>20.3</v>
      </c>
      <c r="G189" s="1">
        <f t="shared" si="3"/>
        <v>2</v>
      </c>
      <c r="Q189" s="4">
        <v>1</v>
      </c>
    </row>
    <row r="190" spans="1:17" x14ac:dyDescent="0.25">
      <c r="A190" s="1" t="s">
        <v>17</v>
      </c>
      <c r="B190" s="2" t="s">
        <v>10</v>
      </c>
      <c r="C190" s="3" t="s">
        <v>18</v>
      </c>
      <c r="D190" s="1">
        <v>152</v>
      </c>
      <c r="E190" s="1">
        <v>129.9</v>
      </c>
      <c r="F190" s="1">
        <v>22.4</v>
      </c>
      <c r="G190" s="1">
        <f t="shared" si="3"/>
        <v>2</v>
      </c>
      <c r="Q190" s="4">
        <v>2</v>
      </c>
    </row>
    <row r="191" spans="1:17" x14ac:dyDescent="0.25">
      <c r="A191" s="1" t="s">
        <v>9</v>
      </c>
      <c r="B191" s="2" t="s">
        <v>10</v>
      </c>
      <c r="C191" s="3" t="s">
        <v>18</v>
      </c>
      <c r="D191" s="1">
        <v>151.5</v>
      </c>
      <c r="E191" s="1">
        <v>134.80000000000001</v>
      </c>
      <c r="F191" s="1">
        <v>21.5</v>
      </c>
      <c r="G191" s="1">
        <f t="shared" si="3"/>
        <v>2</v>
      </c>
      <c r="Q191" s="4">
        <v>2</v>
      </c>
    </row>
    <row r="192" spans="1:17" x14ac:dyDescent="0.25">
      <c r="A192" s="1" t="s">
        <v>9</v>
      </c>
      <c r="B192" s="2" t="s">
        <v>10</v>
      </c>
      <c r="C192" s="3" t="s">
        <v>18</v>
      </c>
      <c r="D192" s="1">
        <v>151.19999999999999</v>
      </c>
      <c r="E192" s="1">
        <v>122.8</v>
      </c>
      <c r="F192" s="1">
        <v>22.2</v>
      </c>
      <c r="G192" s="1">
        <f t="shared" si="3"/>
        <v>2</v>
      </c>
      <c r="Q192" s="4">
        <v>3</v>
      </c>
    </row>
    <row r="193" spans="1:17" x14ac:dyDescent="0.25">
      <c r="A193" s="1" t="s">
        <v>17</v>
      </c>
      <c r="B193" s="2" t="s">
        <v>10</v>
      </c>
      <c r="C193" s="3" t="s">
        <v>18</v>
      </c>
      <c r="D193" s="1">
        <v>151.1</v>
      </c>
      <c r="E193" s="1">
        <v>119.2</v>
      </c>
      <c r="F193" s="1">
        <v>19.100000000000001</v>
      </c>
      <c r="G193" s="1">
        <f t="shared" si="3"/>
        <v>2</v>
      </c>
      <c r="Q193" s="4">
        <v>1</v>
      </c>
    </row>
    <row r="194" spans="1:17" x14ac:dyDescent="0.25">
      <c r="A194" s="1" t="s">
        <v>13</v>
      </c>
      <c r="B194" s="2" t="s">
        <v>10</v>
      </c>
      <c r="C194" s="3" t="s">
        <v>18</v>
      </c>
      <c r="D194" s="1">
        <v>150.6</v>
      </c>
      <c r="E194" s="1">
        <v>127.4</v>
      </c>
      <c r="F194" s="1">
        <v>22.1</v>
      </c>
      <c r="G194" s="1">
        <f t="shared" ref="G194:G257" si="4">IF(C194="alto",1,IF(C194="medio",2,3))</f>
        <v>2</v>
      </c>
      <c r="Q194" s="4">
        <v>2</v>
      </c>
    </row>
    <row r="195" spans="1:17" x14ac:dyDescent="0.25">
      <c r="A195" s="1" t="s">
        <v>6</v>
      </c>
      <c r="B195" s="2" t="s">
        <v>10</v>
      </c>
      <c r="C195" s="3" t="s">
        <v>18</v>
      </c>
      <c r="D195" s="1">
        <v>150.4</v>
      </c>
      <c r="E195" s="1">
        <v>148.30000000000001</v>
      </c>
      <c r="F195" s="1">
        <v>22.9</v>
      </c>
      <c r="G195" s="1">
        <f t="shared" si="4"/>
        <v>2</v>
      </c>
      <c r="Q195" s="4">
        <v>3</v>
      </c>
    </row>
    <row r="196" spans="1:17" x14ac:dyDescent="0.25">
      <c r="A196" s="1" t="s">
        <v>6</v>
      </c>
      <c r="B196" s="2" t="s">
        <v>10</v>
      </c>
      <c r="C196" s="3" t="s">
        <v>18</v>
      </c>
      <c r="D196" s="1">
        <v>150.30000000000001</v>
      </c>
      <c r="E196" s="1">
        <v>137</v>
      </c>
      <c r="F196" s="1">
        <v>19.399999999999999</v>
      </c>
      <c r="G196" s="1">
        <f t="shared" si="4"/>
        <v>2</v>
      </c>
      <c r="Q196" s="4">
        <v>2</v>
      </c>
    </row>
    <row r="197" spans="1:17" x14ac:dyDescent="0.25">
      <c r="A197" s="1" t="s">
        <v>9</v>
      </c>
      <c r="B197" s="2" t="s">
        <v>10</v>
      </c>
      <c r="C197" s="3" t="s">
        <v>18</v>
      </c>
      <c r="D197" s="1">
        <v>150.30000000000001</v>
      </c>
      <c r="E197" s="1">
        <v>135.30000000000001</v>
      </c>
      <c r="F197" s="1">
        <v>22.1</v>
      </c>
      <c r="G197" s="1">
        <f t="shared" si="4"/>
        <v>2</v>
      </c>
      <c r="Q197" s="4">
        <v>3</v>
      </c>
    </row>
    <row r="198" spans="1:17" x14ac:dyDescent="0.25">
      <c r="A198" s="1" t="s">
        <v>9</v>
      </c>
      <c r="B198" s="2" t="s">
        <v>10</v>
      </c>
      <c r="C198" s="3" t="s">
        <v>18</v>
      </c>
      <c r="D198" s="1">
        <v>150.19999999999999</v>
      </c>
      <c r="E198" s="1">
        <v>125.7</v>
      </c>
      <c r="F198" s="1">
        <v>20.2</v>
      </c>
      <c r="G198" s="1">
        <f t="shared" si="4"/>
        <v>2</v>
      </c>
      <c r="Q198" s="4">
        <v>2</v>
      </c>
    </row>
    <row r="199" spans="1:17" x14ac:dyDescent="0.25">
      <c r="A199" s="1" t="s">
        <v>13</v>
      </c>
      <c r="B199" s="2" t="s">
        <v>10</v>
      </c>
      <c r="C199" s="3" t="s">
        <v>18</v>
      </c>
      <c r="D199" s="1">
        <v>149.80000000000001</v>
      </c>
      <c r="E199" s="1">
        <v>131.1</v>
      </c>
      <c r="F199" s="1">
        <v>18.7</v>
      </c>
      <c r="G199" s="1">
        <f t="shared" si="4"/>
        <v>2</v>
      </c>
      <c r="Q199" s="4">
        <v>2</v>
      </c>
    </row>
    <row r="200" spans="1:17" x14ac:dyDescent="0.25">
      <c r="A200" s="1" t="s">
        <v>9</v>
      </c>
      <c r="B200" s="2" t="s">
        <v>10</v>
      </c>
      <c r="C200" s="3" t="s">
        <v>18</v>
      </c>
      <c r="D200" s="1">
        <v>149.30000000000001</v>
      </c>
      <c r="E200" s="1">
        <v>110.3</v>
      </c>
      <c r="F200" s="1">
        <v>18.600000000000001</v>
      </c>
      <c r="G200" s="1">
        <f t="shared" si="4"/>
        <v>2</v>
      </c>
      <c r="Q200" s="4">
        <v>2</v>
      </c>
    </row>
    <row r="201" spans="1:17" x14ac:dyDescent="0.25">
      <c r="A201" s="1" t="s">
        <v>12</v>
      </c>
      <c r="B201" s="2" t="s">
        <v>10</v>
      </c>
      <c r="C201" s="3" t="s">
        <v>18</v>
      </c>
      <c r="D201" s="1">
        <v>149</v>
      </c>
      <c r="E201" s="1">
        <v>145.69999999999999</v>
      </c>
      <c r="F201" s="1">
        <v>18.600000000000001</v>
      </c>
      <c r="G201" s="1">
        <f t="shared" si="4"/>
        <v>2</v>
      </c>
      <c r="Q201" s="4">
        <v>2</v>
      </c>
    </row>
    <row r="202" spans="1:17" x14ac:dyDescent="0.25">
      <c r="A202" s="1" t="s">
        <v>6</v>
      </c>
      <c r="B202" s="2" t="s">
        <v>10</v>
      </c>
      <c r="C202" s="3" t="s">
        <v>18</v>
      </c>
      <c r="D202" s="1">
        <v>149</v>
      </c>
      <c r="E202" s="1">
        <v>124.8</v>
      </c>
      <c r="F202" s="1">
        <v>18.100000000000001</v>
      </c>
      <c r="G202" s="1">
        <f t="shared" si="4"/>
        <v>2</v>
      </c>
      <c r="Q202" s="4">
        <v>1</v>
      </c>
    </row>
    <row r="203" spans="1:17" x14ac:dyDescent="0.25">
      <c r="A203" s="1" t="s">
        <v>9</v>
      </c>
      <c r="B203" s="2" t="s">
        <v>10</v>
      </c>
      <c r="C203" s="3" t="s">
        <v>18</v>
      </c>
      <c r="D203" s="1">
        <v>148.80000000000001</v>
      </c>
      <c r="E203" s="1">
        <v>145.30000000000001</v>
      </c>
      <c r="F203" s="1">
        <v>20.7</v>
      </c>
      <c r="G203" s="1">
        <f t="shared" si="4"/>
        <v>2</v>
      </c>
      <c r="Q203" s="4">
        <v>2</v>
      </c>
    </row>
    <row r="204" spans="1:17" x14ac:dyDescent="0.25">
      <c r="A204" s="1" t="s">
        <v>13</v>
      </c>
      <c r="B204" s="2" t="s">
        <v>10</v>
      </c>
      <c r="C204" s="3" t="s">
        <v>18</v>
      </c>
      <c r="D204" s="1">
        <v>148.4</v>
      </c>
      <c r="E204" s="1">
        <v>124.8</v>
      </c>
      <c r="F204" s="1">
        <v>22.5</v>
      </c>
      <c r="G204" s="1">
        <f t="shared" si="4"/>
        <v>2</v>
      </c>
      <c r="Q204" s="4">
        <v>3</v>
      </c>
    </row>
    <row r="205" spans="1:17" x14ac:dyDescent="0.25">
      <c r="A205" s="1" t="s">
        <v>12</v>
      </c>
      <c r="B205" s="2" t="s">
        <v>10</v>
      </c>
      <c r="C205" s="3" t="s">
        <v>18</v>
      </c>
      <c r="D205" s="1">
        <v>147.9</v>
      </c>
      <c r="E205" s="1">
        <v>116.7</v>
      </c>
      <c r="F205" s="1">
        <v>18.600000000000001</v>
      </c>
      <c r="G205" s="1">
        <f t="shared" si="4"/>
        <v>2</v>
      </c>
      <c r="Q205" s="4">
        <v>3</v>
      </c>
    </row>
    <row r="206" spans="1:17" x14ac:dyDescent="0.25">
      <c r="A206" s="1" t="s">
        <v>9</v>
      </c>
      <c r="B206" s="2" t="s">
        <v>10</v>
      </c>
      <c r="C206" s="3" t="s">
        <v>18</v>
      </c>
      <c r="D206" s="1">
        <v>147.6</v>
      </c>
      <c r="E206" s="1">
        <v>119.3</v>
      </c>
      <c r="F206" s="1">
        <v>18.8</v>
      </c>
      <c r="G206" s="1">
        <f t="shared" si="4"/>
        <v>2</v>
      </c>
      <c r="Q206" s="4">
        <v>2</v>
      </c>
    </row>
    <row r="207" spans="1:17" x14ac:dyDescent="0.25">
      <c r="A207" s="1" t="s">
        <v>6</v>
      </c>
      <c r="B207" s="2" t="s">
        <v>10</v>
      </c>
      <c r="C207" s="3" t="s">
        <v>18</v>
      </c>
      <c r="D207" s="1">
        <v>147.5</v>
      </c>
      <c r="E207" s="1">
        <v>139.1</v>
      </c>
      <c r="F207" s="1">
        <v>22.2</v>
      </c>
      <c r="G207" s="1">
        <f t="shared" si="4"/>
        <v>2</v>
      </c>
      <c r="Q207" s="4">
        <v>3</v>
      </c>
    </row>
    <row r="208" spans="1:17" x14ac:dyDescent="0.25">
      <c r="A208" s="1" t="s">
        <v>9</v>
      </c>
      <c r="B208" s="2" t="s">
        <v>10</v>
      </c>
      <c r="C208" s="3" t="s">
        <v>18</v>
      </c>
      <c r="D208" s="1">
        <v>147.5</v>
      </c>
      <c r="E208" s="1">
        <v>137.1</v>
      </c>
      <c r="F208" s="1">
        <v>22.6</v>
      </c>
      <c r="G208" s="1">
        <f t="shared" si="4"/>
        <v>2</v>
      </c>
      <c r="Q208" s="4">
        <v>3</v>
      </c>
    </row>
    <row r="209" spans="1:17" x14ac:dyDescent="0.25">
      <c r="A209" s="1" t="s">
        <v>12</v>
      </c>
      <c r="B209" s="2" t="s">
        <v>10</v>
      </c>
      <c r="C209" s="3" t="s">
        <v>18</v>
      </c>
      <c r="D209" s="1">
        <v>147.4</v>
      </c>
      <c r="E209" s="1">
        <v>123.9</v>
      </c>
      <c r="F209" s="1">
        <v>21.3</v>
      </c>
      <c r="G209" s="1">
        <f t="shared" si="4"/>
        <v>2</v>
      </c>
      <c r="Q209" s="4">
        <v>2</v>
      </c>
    </row>
    <row r="210" spans="1:17" x14ac:dyDescent="0.25">
      <c r="A210" s="1" t="s">
        <v>12</v>
      </c>
      <c r="B210" s="2" t="s">
        <v>10</v>
      </c>
      <c r="C210" s="3" t="s">
        <v>18</v>
      </c>
      <c r="D210" s="1">
        <v>146.80000000000001</v>
      </c>
      <c r="E210" s="1">
        <v>125.9</v>
      </c>
      <c r="F210" s="1">
        <v>23</v>
      </c>
      <c r="G210" s="1">
        <f t="shared" si="4"/>
        <v>2</v>
      </c>
      <c r="Q210" s="4">
        <v>1</v>
      </c>
    </row>
    <row r="211" spans="1:17" x14ac:dyDescent="0.25">
      <c r="A211" s="1" t="s">
        <v>9</v>
      </c>
      <c r="B211" s="2" t="s">
        <v>10</v>
      </c>
      <c r="C211" s="3" t="s">
        <v>18</v>
      </c>
      <c r="D211" s="1">
        <v>146.5</v>
      </c>
      <c r="E211" s="1">
        <v>111.9</v>
      </c>
      <c r="F211" s="1">
        <v>18.2</v>
      </c>
      <c r="G211" s="1">
        <f t="shared" si="4"/>
        <v>2</v>
      </c>
      <c r="Q211" s="4">
        <v>2</v>
      </c>
    </row>
    <row r="212" spans="1:17" x14ac:dyDescent="0.25">
      <c r="A212" s="1" t="s">
        <v>13</v>
      </c>
      <c r="B212" s="2" t="s">
        <v>10</v>
      </c>
      <c r="C212" s="3" t="s">
        <v>18</v>
      </c>
      <c r="D212" s="1">
        <v>146.30000000000001</v>
      </c>
      <c r="E212" s="1">
        <v>130.19999999999999</v>
      </c>
      <c r="F212" s="1">
        <v>19.899999999999999</v>
      </c>
      <c r="G212" s="1">
        <f t="shared" si="4"/>
        <v>2</v>
      </c>
      <c r="Q212" s="4">
        <v>1</v>
      </c>
    </row>
    <row r="213" spans="1:17" x14ac:dyDescent="0.25">
      <c r="A213" s="1" t="s">
        <v>12</v>
      </c>
      <c r="B213" s="2" t="s">
        <v>10</v>
      </c>
      <c r="C213" s="3" t="s">
        <v>18</v>
      </c>
      <c r="D213" s="1">
        <v>145.69999999999999</v>
      </c>
      <c r="E213" s="1">
        <v>142.5</v>
      </c>
      <c r="F213" s="1">
        <v>19.399999999999999</v>
      </c>
      <c r="G213" s="1">
        <f t="shared" si="4"/>
        <v>2</v>
      </c>
      <c r="Q213" s="4">
        <v>2</v>
      </c>
    </row>
    <row r="214" spans="1:17" x14ac:dyDescent="0.25">
      <c r="A214" s="1" t="s">
        <v>9</v>
      </c>
      <c r="B214" s="2" t="s">
        <v>10</v>
      </c>
      <c r="C214" s="3" t="s">
        <v>18</v>
      </c>
      <c r="D214" s="1">
        <v>145.69999999999999</v>
      </c>
      <c r="E214" s="1">
        <v>128</v>
      </c>
      <c r="F214" s="1">
        <v>22.7</v>
      </c>
      <c r="G214" s="1">
        <f t="shared" si="4"/>
        <v>2</v>
      </c>
      <c r="Q214" s="4">
        <v>2</v>
      </c>
    </row>
    <row r="215" spans="1:17" x14ac:dyDescent="0.25">
      <c r="A215" s="1" t="s">
        <v>12</v>
      </c>
      <c r="B215" s="2" t="s">
        <v>10</v>
      </c>
      <c r="C215" s="3" t="s">
        <v>18</v>
      </c>
      <c r="D215" s="1">
        <v>145.30000000000001</v>
      </c>
      <c r="E215" s="1">
        <v>136.19999999999999</v>
      </c>
      <c r="F215" s="1">
        <v>21.6</v>
      </c>
      <c r="G215" s="1">
        <f t="shared" si="4"/>
        <v>2</v>
      </c>
      <c r="Q215" s="4">
        <v>2</v>
      </c>
    </row>
    <row r="216" spans="1:17" x14ac:dyDescent="0.25">
      <c r="A216" s="1" t="s">
        <v>12</v>
      </c>
      <c r="B216" s="2" t="s">
        <v>10</v>
      </c>
      <c r="C216" s="3" t="s">
        <v>18</v>
      </c>
      <c r="D216" s="1">
        <v>144.80000000000001</v>
      </c>
      <c r="E216" s="1">
        <v>122.5</v>
      </c>
      <c r="F216" s="1">
        <v>22.2</v>
      </c>
      <c r="G216" s="1">
        <f t="shared" si="4"/>
        <v>2</v>
      </c>
      <c r="Q216" s="4">
        <v>2</v>
      </c>
    </row>
    <row r="217" spans="1:17" x14ac:dyDescent="0.25">
      <c r="A217" s="1" t="s">
        <v>13</v>
      </c>
      <c r="B217" s="2" t="s">
        <v>10</v>
      </c>
      <c r="C217" s="3" t="s">
        <v>18</v>
      </c>
      <c r="D217" s="1">
        <v>143.5</v>
      </c>
      <c r="E217" s="1">
        <v>121.5</v>
      </c>
      <c r="F217" s="1">
        <v>19.899999999999999</v>
      </c>
      <c r="G217" s="1">
        <f t="shared" si="4"/>
        <v>2</v>
      </c>
      <c r="Q217" s="4">
        <v>2</v>
      </c>
    </row>
    <row r="218" spans="1:17" x14ac:dyDescent="0.25">
      <c r="A218" s="1" t="s">
        <v>9</v>
      </c>
      <c r="B218" s="2" t="s">
        <v>10</v>
      </c>
      <c r="C218" s="3" t="s">
        <v>18</v>
      </c>
      <c r="D218" s="1">
        <v>143.4</v>
      </c>
      <c r="E218" s="1">
        <v>141.6</v>
      </c>
      <c r="F218" s="1">
        <v>21.7</v>
      </c>
      <c r="G218" s="1">
        <f t="shared" si="4"/>
        <v>2</v>
      </c>
      <c r="Q218" s="4">
        <v>2</v>
      </c>
    </row>
    <row r="219" spans="1:17" x14ac:dyDescent="0.25">
      <c r="A219" s="1" t="s">
        <v>6</v>
      </c>
      <c r="B219" s="2" t="s">
        <v>10</v>
      </c>
      <c r="C219" s="3" t="s">
        <v>18</v>
      </c>
      <c r="D219" s="1">
        <v>143.19999999999999</v>
      </c>
      <c r="E219" s="1">
        <v>133</v>
      </c>
      <c r="F219" s="1">
        <v>19.899999999999999</v>
      </c>
      <c r="G219" s="1">
        <f t="shared" si="4"/>
        <v>2</v>
      </c>
      <c r="Q219" s="4">
        <v>2</v>
      </c>
    </row>
    <row r="220" spans="1:17" x14ac:dyDescent="0.25">
      <c r="A220" s="1" t="s">
        <v>9</v>
      </c>
      <c r="B220" s="2" t="s">
        <v>10</v>
      </c>
      <c r="C220" s="3" t="s">
        <v>18</v>
      </c>
      <c r="D220" s="1">
        <v>142.19999999999999</v>
      </c>
      <c r="E220" s="1">
        <v>132.30000000000001</v>
      </c>
      <c r="F220" s="1">
        <v>19.399999999999999</v>
      </c>
      <c r="G220" s="1">
        <f t="shared" si="4"/>
        <v>2</v>
      </c>
      <c r="Q220" s="4">
        <v>3</v>
      </c>
    </row>
    <row r="221" spans="1:17" x14ac:dyDescent="0.25">
      <c r="A221" s="1" t="s">
        <v>9</v>
      </c>
      <c r="B221" s="2" t="s">
        <v>10</v>
      </c>
      <c r="C221" s="3" t="s">
        <v>18</v>
      </c>
      <c r="D221" s="1">
        <v>141.80000000000001</v>
      </c>
      <c r="E221" s="1">
        <v>139.69999999999999</v>
      </c>
      <c r="F221" s="1">
        <v>18.5</v>
      </c>
      <c r="G221" s="1">
        <f t="shared" si="4"/>
        <v>2</v>
      </c>
      <c r="Q221" s="4">
        <v>2</v>
      </c>
    </row>
    <row r="222" spans="1:17" x14ac:dyDescent="0.25">
      <c r="A222" s="1" t="s">
        <v>17</v>
      </c>
      <c r="B222" s="2" t="s">
        <v>10</v>
      </c>
      <c r="C222" s="3" t="s">
        <v>18</v>
      </c>
      <c r="D222" s="1">
        <v>141.69999999999999</v>
      </c>
      <c r="E222" s="1">
        <v>134.30000000000001</v>
      </c>
      <c r="F222" s="1">
        <v>20.399999999999999</v>
      </c>
      <c r="G222" s="1">
        <f t="shared" si="4"/>
        <v>2</v>
      </c>
      <c r="Q222" s="4">
        <v>3</v>
      </c>
    </row>
    <row r="223" spans="1:17" x14ac:dyDescent="0.25">
      <c r="A223" s="1" t="s">
        <v>9</v>
      </c>
      <c r="B223" s="2" t="s">
        <v>10</v>
      </c>
      <c r="C223" s="3" t="s">
        <v>18</v>
      </c>
      <c r="D223" s="1">
        <v>141.6</v>
      </c>
      <c r="E223" s="1">
        <v>130.80000000000001</v>
      </c>
      <c r="F223" s="1">
        <v>22.6</v>
      </c>
      <c r="G223" s="1">
        <f t="shared" si="4"/>
        <v>2</v>
      </c>
      <c r="Q223" s="4">
        <v>3</v>
      </c>
    </row>
    <row r="224" spans="1:17" x14ac:dyDescent="0.25">
      <c r="A224" s="1" t="s">
        <v>9</v>
      </c>
      <c r="B224" s="2" t="s">
        <v>10</v>
      </c>
      <c r="C224" s="3" t="s">
        <v>18</v>
      </c>
      <c r="D224" s="1">
        <v>141.6</v>
      </c>
      <c r="E224" s="1">
        <v>122.5</v>
      </c>
      <c r="F224" s="1">
        <v>19.3</v>
      </c>
      <c r="G224" s="1">
        <f t="shared" si="4"/>
        <v>2</v>
      </c>
      <c r="Q224" s="4">
        <v>2</v>
      </c>
    </row>
    <row r="225" spans="1:17" x14ac:dyDescent="0.25">
      <c r="A225" s="1" t="s">
        <v>9</v>
      </c>
      <c r="B225" s="2" t="s">
        <v>10</v>
      </c>
      <c r="C225" s="3" t="s">
        <v>18</v>
      </c>
      <c r="D225" s="1">
        <v>141.4</v>
      </c>
      <c r="E225" s="1">
        <v>141.30000000000001</v>
      </c>
      <c r="F225" s="1">
        <v>19.2</v>
      </c>
      <c r="G225" s="1">
        <f t="shared" si="4"/>
        <v>2</v>
      </c>
      <c r="Q225" s="4">
        <v>3</v>
      </c>
    </row>
    <row r="226" spans="1:17" x14ac:dyDescent="0.25">
      <c r="A226" s="1" t="s">
        <v>9</v>
      </c>
      <c r="B226" s="2" t="s">
        <v>10</v>
      </c>
      <c r="C226" s="3" t="s">
        <v>18</v>
      </c>
      <c r="D226" s="1">
        <v>140.6</v>
      </c>
      <c r="E226" s="1">
        <v>139.1</v>
      </c>
      <c r="F226" s="1">
        <v>18.600000000000001</v>
      </c>
      <c r="G226" s="1">
        <f t="shared" si="4"/>
        <v>2</v>
      </c>
      <c r="Q226" s="4">
        <v>2</v>
      </c>
    </row>
    <row r="227" spans="1:17" x14ac:dyDescent="0.25">
      <c r="A227" s="1" t="s">
        <v>9</v>
      </c>
      <c r="B227" s="2" t="s">
        <v>10</v>
      </c>
      <c r="C227" s="3" t="s">
        <v>18</v>
      </c>
      <c r="D227" s="1">
        <v>140.19999999999999</v>
      </c>
      <c r="E227" s="1">
        <v>111.5</v>
      </c>
      <c r="F227" s="1">
        <v>20.8</v>
      </c>
      <c r="G227" s="1">
        <f t="shared" si="4"/>
        <v>2</v>
      </c>
      <c r="Q227" s="4">
        <v>1</v>
      </c>
    </row>
    <row r="228" spans="1:17" x14ac:dyDescent="0.25">
      <c r="A228" s="1" t="s">
        <v>9</v>
      </c>
      <c r="B228" s="2" t="s">
        <v>10</v>
      </c>
      <c r="C228" s="3" t="s">
        <v>18</v>
      </c>
      <c r="D228" s="1">
        <v>138.9</v>
      </c>
      <c r="E228" s="1">
        <v>147.6</v>
      </c>
      <c r="F228" s="1">
        <v>21.1</v>
      </c>
      <c r="G228" s="1">
        <f t="shared" si="4"/>
        <v>2</v>
      </c>
      <c r="Q228" s="4">
        <v>2</v>
      </c>
    </row>
    <row r="229" spans="1:17" x14ac:dyDescent="0.25">
      <c r="A229" s="1" t="s">
        <v>12</v>
      </c>
      <c r="B229" s="2" t="s">
        <v>10</v>
      </c>
      <c r="C229" s="3" t="s">
        <v>18</v>
      </c>
      <c r="D229" s="1">
        <v>138.5</v>
      </c>
      <c r="E229" s="1">
        <v>122.3</v>
      </c>
      <c r="F229" s="1">
        <v>21.4</v>
      </c>
      <c r="G229" s="1">
        <f t="shared" si="4"/>
        <v>2</v>
      </c>
      <c r="Q229" s="4">
        <v>2</v>
      </c>
    </row>
    <row r="230" spans="1:17" x14ac:dyDescent="0.25">
      <c r="A230" s="1" t="s">
        <v>9</v>
      </c>
      <c r="B230" s="2" t="s">
        <v>10</v>
      </c>
      <c r="C230" s="3" t="s">
        <v>18</v>
      </c>
      <c r="D230" s="1">
        <v>138.19999999999999</v>
      </c>
      <c r="E230" s="1">
        <v>126.8</v>
      </c>
      <c r="F230" s="1">
        <v>18.100000000000001</v>
      </c>
      <c r="G230" s="1">
        <f t="shared" si="4"/>
        <v>2</v>
      </c>
      <c r="Q230" s="4">
        <v>2</v>
      </c>
    </row>
    <row r="231" spans="1:17" x14ac:dyDescent="0.25">
      <c r="A231" s="1" t="s">
        <v>12</v>
      </c>
      <c r="B231" s="2" t="s">
        <v>10</v>
      </c>
      <c r="C231" s="3" t="s">
        <v>18</v>
      </c>
      <c r="D231" s="1">
        <v>138.1</v>
      </c>
      <c r="E231" s="1">
        <v>141.6</v>
      </c>
      <c r="F231" s="1">
        <v>20.399999999999999</v>
      </c>
      <c r="G231" s="1">
        <f t="shared" si="4"/>
        <v>2</v>
      </c>
      <c r="Q231" s="4">
        <v>2</v>
      </c>
    </row>
    <row r="232" spans="1:17" x14ac:dyDescent="0.25">
      <c r="A232" s="1" t="s">
        <v>9</v>
      </c>
      <c r="B232" s="2" t="s">
        <v>10</v>
      </c>
      <c r="C232" s="3" t="s">
        <v>18</v>
      </c>
      <c r="D232" s="1">
        <v>138.1</v>
      </c>
      <c r="E232" s="1">
        <v>116.4</v>
      </c>
      <c r="F232" s="1">
        <v>22.1</v>
      </c>
      <c r="G232" s="1">
        <f t="shared" si="4"/>
        <v>2</v>
      </c>
      <c r="Q232" s="4">
        <v>1</v>
      </c>
    </row>
    <row r="233" spans="1:17" x14ac:dyDescent="0.25">
      <c r="A233" s="1" t="s">
        <v>6</v>
      </c>
      <c r="B233" s="2" t="s">
        <v>10</v>
      </c>
      <c r="C233" s="3" t="s">
        <v>18</v>
      </c>
      <c r="D233" s="1">
        <v>137.30000000000001</v>
      </c>
      <c r="E233" s="1">
        <v>122.5</v>
      </c>
      <c r="F233" s="1">
        <v>18.8</v>
      </c>
      <c r="G233" s="1">
        <f t="shared" si="4"/>
        <v>2</v>
      </c>
      <c r="Q233" s="4">
        <v>2</v>
      </c>
    </row>
    <row r="234" spans="1:17" x14ac:dyDescent="0.25">
      <c r="A234" s="1" t="s">
        <v>12</v>
      </c>
      <c r="B234" s="2" t="s">
        <v>10</v>
      </c>
      <c r="C234" s="3" t="s">
        <v>18</v>
      </c>
      <c r="D234" s="1">
        <v>136.80000000000001</v>
      </c>
      <c r="E234" s="1">
        <v>123.4</v>
      </c>
      <c r="F234" s="1">
        <v>18.600000000000001</v>
      </c>
      <c r="G234" s="1">
        <f t="shared" si="4"/>
        <v>2</v>
      </c>
      <c r="Q234" s="4">
        <v>2</v>
      </c>
    </row>
    <row r="235" spans="1:17" x14ac:dyDescent="0.25">
      <c r="A235" s="1" t="s">
        <v>9</v>
      </c>
      <c r="B235" s="2" t="s">
        <v>10</v>
      </c>
      <c r="C235" s="3" t="s">
        <v>18</v>
      </c>
      <c r="D235" s="1">
        <v>136.30000000000001</v>
      </c>
      <c r="E235" s="1">
        <v>130.5</v>
      </c>
      <c r="F235" s="1">
        <v>18.600000000000001</v>
      </c>
      <c r="G235" s="1">
        <f t="shared" si="4"/>
        <v>2</v>
      </c>
      <c r="Q235" s="4">
        <v>3</v>
      </c>
    </row>
    <row r="236" spans="1:17" x14ac:dyDescent="0.25">
      <c r="A236" s="1" t="s">
        <v>12</v>
      </c>
      <c r="B236" s="2" t="s">
        <v>10</v>
      </c>
      <c r="C236" s="3" t="s">
        <v>18</v>
      </c>
      <c r="D236" s="1">
        <v>135.30000000000001</v>
      </c>
      <c r="E236" s="1">
        <v>111.5</v>
      </c>
      <c r="F236" s="1">
        <v>21.4</v>
      </c>
      <c r="G236" s="1">
        <f t="shared" si="4"/>
        <v>2</v>
      </c>
      <c r="Q236" s="4">
        <v>2</v>
      </c>
    </row>
    <row r="237" spans="1:17" x14ac:dyDescent="0.25">
      <c r="A237" s="1" t="s">
        <v>6</v>
      </c>
      <c r="B237" s="2" t="s">
        <v>10</v>
      </c>
      <c r="C237" s="3" t="s">
        <v>18</v>
      </c>
      <c r="D237" s="1">
        <v>131</v>
      </c>
      <c r="E237" s="1">
        <v>123.8</v>
      </c>
      <c r="F237" s="1">
        <v>22.8</v>
      </c>
      <c r="G237" s="1">
        <f t="shared" si="4"/>
        <v>2</v>
      </c>
      <c r="Q237" s="4">
        <v>1</v>
      </c>
    </row>
    <row r="238" spans="1:17" x14ac:dyDescent="0.25">
      <c r="A238" s="1" t="s">
        <v>9</v>
      </c>
      <c r="B238" s="2" t="s">
        <v>10</v>
      </c>
      <c r="C238" s="3" t="s">
        <v>18</v>
      </c>
      <c r="D238" s="1">
        <v>129.4</v>
      </c>
      <c r="E238" s="1">
        <v>149.6</v>
      </c>
      <c r="F238" s="1">
        <v>23</v>
      </c>
      <c r="G238" s="1">
        <f t="shared" si="4"/>
        <v>2</v>
      </c>
      <c r="Q238" s="4">
        <v>2</v>
      </c>
    </row>
    <row r="239" spans="1:17" x14ac:dyDescent="0.25">
      <c r="A239" s="1" t="s">
        <v>6</v>
      </c>
      <c r="B239" s="2" t="s">
        <v>10</v>
      </c>
      <c r="C239" s="3" t="s">
        <v>18</v>
      </c>
      <c r="D239" s="1">
        <v>129.4</v>
      </c>
      <c r="E239" s="1">
        <v>105.8</v>
      </c>
      <c r="F239" s="1">
        <v>18.8</v>
      </c>
      <c r="G239" s="1">
        <f t="shared" si="4"/>
        <v>2</v>
      </c>
      <c r="Q239" s="4">
        <v>2</v>
      </c>
    </row>
    <row r="240" spans="1:17" x14ac:dyDescent="0.25">
      <c r="A240" s="1" t="s">
        <v>12</v>
      </c>
      <c r="B240" s="2" t="s">
        <v>10</v>
      </c>
      <c r="C240" s="3" t="s">
        <v>18</v>
      </c>
      <c r="D240" s="1">
        <v>129.30000000000001</v>
      </c>
      <c r="E240" s="1">
        <v>142.9</v>
      </c>
      <c r="F240" s="1">
        <v>19.100000000000001</v>
      </c>
      <c r="G240" s="1">
        <f t="shared" si="4"/>
        <v>2</v>
      </c>
      <c r="Q240" s="4">
        <v>2</v>
      </c>
    </row>
    <row r="241" spans="1:17" x14ac:dyDescent="0.25">
      <c r="A241" s="1" t="s">
        <v>6</v>
      </c>
      <c r="B241" s="2" t="s">
        <v>10</v>
      </c>
      <c r="C241" s="3" t="s">
        <v>18</v>
      </c>
      <c r="D241" s="1">
        <v>128.5</v>
      </c>
      <c r="E241" s="1">
        <v>134.9</v>
      </c>
      <c r="F241" s="1">
        <v>20.8</v>
      </c>
      <c r="G241" s="1">
        <f t="shared" si="4"/>
        <v>2</v>
      </c>
      <c r="Q241" s="4">
        <v>1</v>
      </c>
    </row>
    <row r="242" spans="1:17" x14ac:dyDescent="0.25">
      <c r="A242" s="1" t="s">
        <v>9</v>
      </c>
      <c r="B242" s="2" t="s">
        <v>10</v>
      </c>
      <c r="C242" s="3" t="s">
        <v>18</v>
      </c>
      <c r="D242" s="1">
        <v>126</v>
      </c>
      <c r="E242" s="1">
        <v>130.5</v>
      </c>
      <c r="F242" s="1">
        <v>21.3</v>
      </c>
      <c r="G242" s="1">
        <f t="shared" si="4"/>
        <v>2</v>
      </c>
      <c r="Q242" s="4">
        <v>2</v>
      </c>
    </row>
    <row r="243" spans="1:17" x14ac:dyDescent="0.25">
      <c r="A243" s="1" t="s">
        <v>9</v>
      </c>
      <c r="B243" s="2" t="s">
        <v>10</v>
      </c>
      <c r="C243" s="3" t="s">
        <v>18</v>
      </c>
      <c r="D243" s="1">
        <v>126</v>
      </c>
      <c r="E243" s="1">
        <v>124.9</v>
      </c>
      <c r="F243" s="1">
        <v>20.399999999999999</v>
      </c>
      <c r="G243" s="1">
        <f t="shared" si="4"/>
        <v>2</v>
      </c>
      <c r="Q243" s="4">
        <v>2</v>
      </c>
    </row>
    <row r="244" spans="1:17" x14ac:dyDescent="0.25">
      <c r="A244" s="1" t="s">
        <v>9</v>
      </c>
      <c r="B244" s="2" t="s">
        <v>7</v>
      </c>
      <c r="C244" s="3" t="s">
        <v>18</v>
      </c>
      <c r="D244" s="1">
        <v>164.4</v>
      </c>
      <c r="E244" s="1">
        <v>124.3</v>
      </c>
      <c r="F244" s="1">
        <v>19.3</v>
      </c>
      <c r="G244" s="1">
        <f t="shared" si="4"/>
        <v>2</v>
      </c>
      <c r="Q244" s="4">
        <v>2</v>
      </c>
    </row>
    <row r="245" spans="1:17" x14ac:dyDescent="0.25">
      <c r="A245" s="1" t="s">
        <v>9</v>
      </c>
      <c r="B245" s="2" t="s">
        <v>7</v>
      </c>
      <c r="C245" s="3" t="s">
        <v>18</v>
      </c>
      <c r="D245" s="1">
        <v>164.1</v>
      </c>
      <c r="E245" s="1">
        <v>139.30000000000001</v>
      </c>
      <c r="F245" s="1">
        <v>18.7</v>
      </c>
      <c r="G245" s="1">
        <f t="shared" si="4"/>
        <v>2</v>
      </c>
      <c r="Q245" s="4">
        <v>2</v>
      </c>
    </row>
    <row r="246" spans="1:17" x14ac:dyDescent="0.25">
      <c r="A246" s="1" t="s">
        <v>12</v>
      </c>
      <c r="B246" s="2" t="s">
        <v>7</v>
      </c>
      <c r="C246" s="3" t="s">
        <v>18</v>
      </c>
      <c r="D246" s="1">
        <v>163.19999999999999</v>
      </c>
      <c r="E246" s="1">
        <v>135</v>
      </c>
      <c r="F246" s="1">
        <v>18.8</v>
      </c>
      <c r="G246" s="1">
        <f t="shared" si="4"/>
        <v>2</v>
      </c>
      <c r="Q246" s="4">
        <v>2</v>
      </c>
    </row>
    <row r="247" spans="1:17" x14ac:dyDescent="0.25">
      <c r="A247" s="1" t="s">
        <v>13</v>
      </c>
      <c r="B247" s="2" t="s">
        <v>7</v>
      </c>
      <c r="C247" s="3" t="s">
        <v>18</v>
      </c>
      <c r="D247" s="1">
        <v>161.19999999999999</v>
      </c>
      <c r="E247" s="1">
        <v>115</v>
      </c>
      <c r="F247" s="1">
        <v>18.2</v>
      </c>
      <c r="G247" s="1">
        <f t="shared" si="4"/>
        <v>2</v>
      </c>
      <c r="Q247" s="4">
        <v>2</v>
      </c>
    </row>
    <row r="248" spans="1:17" x14ac:dyDescent="0.25">
      <c r="A248" s="1" t="s">
        <v>6</v>
      </c>
      <c r="B248" s="2" t="s">
        <v>7</v>
      </c>
      <c r="C248" s="3" t="s">
        <v>18</v>
      </c>
      <c r="D248" s="1">
        <v>161.1</v>
      </c>
      <c r="E248" s="1">
        <v>136.19999999999999</v>
      </c>
      <c r="F248" s="1">
        <v>18.899999999999999</v>
      </c>
      <c r="G248" s="1">
        <f t="shared" si="4"/>
        <v>2</v>
      </c>
      <c r="Q248" s="4">
        <v>2</v>
      </c>
    </row>
    <row r="249" spans="1:17" x14ac:dyDescent="0.25">
      <c r="A249" s="1" t="s">
        <v>9</v>
      </c>
      <c r="B249" s="2" t="s">
        <v>7</v>
      </c>
      <c r="C249" s="3" t="s">
        <v>18</v>
      </c>
      <c r="D249" s="1">
        <v>160.19999999999999</v>
      </c>
      <c r="E249" s="1">
        <v>155.9</v>
      </c>
      <c r="F249" s="1">
        <v>19.399999999999999</v>
      </c>
      <c r="G249" s="1">
        <f t="shared" si="4"/>
        <v>2</v>
      </c>
      <c r="Q249" s="4">
        <v>2</v>
      </c>
    </row>
    <row r="250" spans="1:17" x14ac:dyDescent="0.25">
      <c r="A250" s="1" t="s">
        <v>9</v>
      </c>
      <c r="B250" s="2" t="s">
        <v>7</v>
      </c>
      <c r="C250" s="3" t="s">
        <v>18</v>
      </c>
      <c r="D250" s="1">
        <v>159.6</v>
      </c>
      <c r="E250" s="1">
        <v>130.19999999999999</v>
      </c>
      <c r="F250" s="1">
        <v>19.7</v>
      </c>
      <c r="G250" s="1">
        <f t="shared" si="4"/>
        <v>2</v>
      </c>
      <c r="Q250" s="4">
        <v>1</v>
      </c>
    </row>
    <row r="251" spans="1:17" x14ac:dyDescent="0.25">
      <c r="A251" s="1" t="s">
        <v>17</v>
      </c>
      <c r="B251" s="2" t="s">
        <v>7</v>
      </c>
      <c r="C251" s="3" t="s">
        <v>18</v>
      </c>
      <c r="D251" s="1">
        <v>159.5</v>
      </c>
      <c r="E251" s="1">
        <v>139.30000000000001</v>
      </c>
      <c r="F251" s="1">
        <v>22.1</v>
      </c>
      <c r="G251" s="1">
        <f t="shared" si="4"/>
        <v>2</v>
      </c>
      <c r="Q251" s="4">
        <v>3</v>
      </c>
    </row>
    <row r="252" spans="1:17" x14ac:dyDescent="0.25">
      <c r="A252" s="1" t="s">
        <v>13</v>
      </c>
      <c r="B252" s="2" t="s">
        <v>7</v>
      </c>
      <c r="C252" s="3" t="s">
        <v>18</v>
      </c>
      <c r="D252" s="1">
        <v>158.80000000000001</v>
      </c>
      <c r="E252" s="1">
        <v>123.7</v>
      </c>
      <c r="F252" s="1">
        <v>22.9</v>
      </c>
      <c r="G252" s="1">
        <f t="shared" si="4"/>
        <v>2</v>
      </c>
      <c r="Q252" s="4">
        <v>2</v>
      </c>
    </row>
    <row r="253" spans="1:17" x14ac:dyDescent="0.25">
      <c r="A253" s="1" t="s">
        <v>13</v>
      </c>
      <c r="B253" s="2" t="s">
        <v>7</v>
      </c>
      <c r="C253" s="3" t="s">
        <v>18</v>
      </c>
      <c r="D253" s="1">
        <v>158.30000000000001</v>
      </c>
      <c r="E253" s="1">
        <v>151.69999999999999</v>
      </c>
      <c r="F253" s="1">
        <v>20.399999999999999</v>
      </c>
      <c r="G253" s="1">
        <f t="shared" si="4"/>
        <v>2</v>
      </c>
      <c r="Q253" s="4">
        <v>2</v>
      </c>
    </row>
    <row r="254" spans="1:17" x14ac:dyDescent="0.25">
      <c r="A254" s="1" t="s">
        <v>9</v>
      </c>
      <c r="B254" s="2" t="s">
        <v>7</v>
      </c>
      <c r="C254" s="3" t="s">
        <v>18</v>
      </c>
      <c r="D254" s="1">
        <v>158.30000000000001</v>
      </c>
      <c r="E254" s="1">
        <v>142.6</v>
      </c>
      <c r="F254" s="1">
        <v>18.7</v>
      </c>
      <c r="G254" s="1">
        <f t="shared" si="4"/>
        <v>2</v>
      </c>
      <c r="Q254" s="4">
        <v>2</v>
      </c>
    </row>
    <row r="255" spans="1:17" x14ac:dyDescent="0.25">
      <c r="A255" s="1" t="s">
        <v>6</v>
      </c>
      <c r="B255" s="2" t="s">
        <v>7</v>
      </c>
      <c r="C255" s="3" t="s">
        <v>18</v>
      </c>
      <c r="D255" s="1">
        <v>158.1</v>
      </c>
      <c r="E255" s="1">
        <v>122.2</v>
      </c>
      <c r="F255" s="1">
        <v>20.2</v>
      </c>
      <c r="G255" s="1">
        <f t="shared" si="4"/>
        <v>2</v>
      </c>
      <c r="Q255" s="4">
        <v>1</v>
      </c>
    </row>
    <row r="256" spans="1:17" x14ac:dyDescent="0.25">
      <c r="A256" s="1" t="s">
        <v>13</v>
      </c>
      <c r="B256" s="2" t="s">
        <v>7</v>
      </c>
      <c r="C256" s="3" t="s">
        <v>18</v>
      </c>
      <c r="D256" s="1">
        <v>158.1</v>
      </c>
      <c r="E256" s="1">
        <v>107.1</v>
      </c>
      <c r="F256" s="1">
        <v>22.3</v>
      </c>
      <c r="G256" s="1">
        <f t="shared" si="4"/>
        <v>2</v>
      </c>
      <c r="Q256" s="4">
        <v>2</v>
      </c>
    </row>
    <row r="257" spans="1:17" x14ac:dyDescent="0.25">
      <c r="A257" s="1" t="s">
        <v>9</v>
      </c>
      <c r="B257" s="2" t="s">
        <v>7</v>
      </c>
      <c r="C257" s="3" t="s">
        <v>18</v>
      </c>
      <c r="D257" s="1">
        <v>157.9</v>
      </c>
      <c r="E257" s="1">
        <v>124.1</v>
      </c>
      <c r="F257" s="1">
        <v>19.5</v>
      </c>
      <c r="G257" s="1">
        <f t="shared" si="4"/>
        <v>2</v>
      </c>
      <c r="Q257" s="4">
        <v>3</v>
      </c>
    </row>
    <row r="258" spans="1:17" x14ac:dyDescent="0.25">
      <c r="A258" s="1" t="s">
        <v>9</v>
      </c>
      <c r="B258" s="2" t="s">
        <v>7</v>
      </c>
      <c r="C258" s="3" t="s">
        <v>18</v>
      </c>
      <c r="D258" s="1">
        <v>157.5</v>
      </c>
      <c r="E258" s="1">
        <v>135</v>
      </c>
      <c r="F258" s="1">
        <v>19.5</v>
      </c>
      <c r="G258" s="1">
        <f t="shared" ref="G258:G321" si="5">IF(C258="alto",1,IF(C258="medio",2,3))</f>
        <v>2</v>
      </c>
      <c r="Q258" s="4">
        <v>3</v>
      </c>
    </row>
    <row r="259" spans="1:17" x14ac:dyDescent="0.25">
      <c r="A259" s="1" t="s">
        <v>13</v>
      </c>
      <c r="B259" s="2" t="s">
        <v>7</v>
      </c>
      <c r="C259" s="3" t="s">
        <v>18</v>
      </c>
      <c r="D259" s="1">
        <v>157.4</v>
      </c>
      <c r="E259" s="1">
        <v>131.9</v>
      </c>
      <c r="F259" s="1">
        <v>18.8</v>
      </c>
      <c r="G259" s="1">
        <f t="shared" si="5"/>
        <v>2</v>
      </c>
      <c r="Q259" s="4">
        <v>3</v>
      </c>
    </row>
    <row r="260" spans="1:17" x14ac:dyDescent="0.25">
      <c r="A260" s="1" t="s">
        <v>17</v>
      </c>
      <c r="B260" s="2" t="s">
        <v>7</v>
      </c>
      <c r="C260" s="3" t="s">
        <v>18</v>
      </c>
      <c r="D260" s="1">
        <v>156.9</v>
      </c>
      <c r="E260" s="1">
        <v>115.3</v>
      </c>
      <c r="F260" s="1">
        <v>18.600000000000001</v>
      </c>
      <c r="G260" s="1">
        <f t="shared" si="5"/>
        <v>2</v>
      </c>
      <c r="Q260" s="4">
        <v>3</v>
      </c>
    </row>
    <row r="261" spans="1:17" x14ac:dyDescent="0.25">
      <c r="A261" s="1" t="s">
        <v>17</v>
      </c>
      <c r="B261" s="2" t="s">
        <v>7</v>
      </c>
      <c r="C261" s="3" t="s">
        <v>18</v>
      </c>
      <c r="D261" s="1">
        <v>156.80000000000001</v>
      </c>
      <c r="E261" s="1">
        <v>123.5</v>
      </c>
      <c r="F261" s="1">
        <v>19.8</v>
      </c>
      <c r="G261" s="1">
        <f t="shared" si="5"/>
        <v>2</v>
      </c>
      <c r="Q261" s="4">
        <v>2</v>
      </c>
    </row>
    <row r="262" spans="1:17" x14ac:dyDescent="0.25">
      <c r="A262" s="1" t="s">
        <v>17</v>
      </c>
      <c r="B262" s="2" t="s">
        <v>7</v>
      </c>
      <c r="C262" s="3" t="s">
        <v>18</v>
      </c>
      <c r="D262" s="1">
        <v>156.6</v>
      </c>
      <c r="E262" s="1">
        <v>127.8</v>
      </c>
      <c r="F262" s="1">
        <v>22.7</v>
      </c>
      <c r="G262" s="1">
        <f t="shared" si="5"/>
        <v>2</v>
      </c>
      <c r="Q262" s="4">
        <v>2</v>
      </c>
    </row>
    <row r="263" spans="1:17" x14ac:dyDescent="0.25">
      <c r="A263" s="1" t="s">
        <v>17</v>
      </c>
      <c r="B263" s="2" t="s">
        <v>7</v>
      </c>
      <c r="C263" s="3" t="s">
        <v>18</v>
      </c>
      <c r="D263" s="1">
        <v>156.5</v>
      </c>
      <c r="E263" s="1">
        <v>119.8</v>
      </c>
      <c r="F263" s="1">
        <v>20.399999999999999</v>
      </c>
      <c r="G263" s="1">
        <f t="shared" si="5"/>
        <v>2</v>
      </c>
      <c r="Q263" s="4">
        <v>2</v>
      </c>
    </row>
    <row r="264" spans="1:17" x14ac:dyDescent="0.25">
      <c r="A264" s="1" t="s">
        <v>9</v>
      </c>
      <c r="B264" s="2" t="s">
        <v>7</v>
      </c>
      <c r="C264" s="3" t="s">
        <v>18</v>
      </c>
      <c r="D264" s="1">
        <v>156.30000000000001</v>
      </c>
      <c r="E264" s="1">
        <v>148.69999999999999</v>
      </c>
      <c r="F264" s="1">
        <v>22.7</v>
      </c>
      <c r="G264" s="1">
        <f t="shared" si="5"/>
        <v>2</v>
      </c>
      <c r="Q264" s="4">
        <v>3</v>
      </c>
    </row>
    <row r="265" spans="1:17" x14ac:dyDescent="0.25">
      <c r="A265" s="1" t="s">
        <v>13</v>
      </c>
      <c r="B265" s="2" t="s">
        <v>7</v>
      </c>
      <c r="C265" s="3" t="s">
        <v>18</v>
      </c>
      <c r="D265" s="1">
        <v>155.5</v>
      </c>
      <c r="E265" s="1">
        <v>137.1</v>
      </c>
      <c r="F265" s="1">
        <v>20</v>
      </c>
      <c r="G265" s="1">
        <f t="shared" si="5"/>
        <v>2</v>
      </c>
      <c r="Q265" s="4">
        <v>1</v>
      </c>
    </row>
    <row r="266" spans="1:17" x14ac:dyDescent="0.25">
      <c r="A266" s="1" t="s">
        <v>6</v>
      </c>
      <c r="B266" s="2" t="s">
        <v>7</v>
      </c>
      <c r="C266" s="3" t="s">
        <v>18</v>
      </c>
      <c r="D266" s="1">
        <v>154.4</v>
      </c>
      <c r="E266" s="1">
        <v>127</v>
      </c>
      <c r="F266" s="1">
        <v>18.100000000000001</v>
      </c>
      <c r="G266" s="1">
        <f t="shared" si="5"/>
        <v>2</v>
      </c>
      <c r="Q266" s="4">
        <v>3</v>
      </c>
    </row>
    <row r="267" spans="1:17" x14ac:dyDescent="0.25">
      <c r="A267" s="1" t="s">
        <v>9</v>
      </c>
      <c r="B267" s="2" t="s">
        <v>7</v>
      </c>
      <c r="C267" s="3" t="s">
        <v>18</v>
      </c>
      <c r="D267" s="1">
        <v>154.19999999999999</v>
      </c>
      <c r="E267" s="1">
        <v>134.4</v>
      </c>
      <c r="F267" s="1">
        <v>18.3</v>
      </c>
      <c r="G267" s="1">
        <f t="shared" si="5"/>
        <v>2</v>
      </c>
      <c r="Q267" s="4">
        <v>2</v>
      </c>
    </row>
    <row r="268" spans="1:17" x14ac:dyDescent="0.25">
      <c r="A268" s="1" t="s">
        <v>6</v>
      </c>
      <c r="B268" s="2" t="s">
        <v>7</v>
      </c>
      <c r="C268" s="3" t="s">
        <v>18</v>
      </c>
      <c r="D268" s="1">
        <v>154</v>
      </c>
      <c r="E268" s="1">
        <v>128.4</v>
      </c>
      <c r="F268" s="1">
        <v>19</v>
      </c>
      <c r="G268" s="1">
        <f t="shared" si="5"/>
        <v>2</v>
      </c>
      <c r="Q268" s="4">
        <v>3</v>
      </c>
    </row>
    <row r="269" spans="1:17" x14ac:dyDescent="0.25">
      <c r="A269" s="1" t="s">
        <v>13</v>
      </c>
      <c r="B269" s="2" t="s">
        <v>7</v>
      </c>
      <c r="C269" s="3" t="s">
        <v>18</v>
      </c>
      <c r="D269" s="1">
        <v>153.6</v>
      </c>
      <c r="E269" s="1">
        <v>122.5</v>
      </c>
      <c r="F269" s="1">
        <v>18.3</v>
      </c>
      <c r="G269" s="1">
        <f t="shared" si="5"/>
        <v>2</v>
      </c>
      <c r="Q269" s="4">
        <v>2</v>
      </c>
    </row>
    <row r="270" spans="1:17" x14ac:dyDescent="0.25">
      <c r="A270" s="1" t="s">
        <v>13</v>
      </c>
      <c r="B270" s="2" t="s">
        <v>7</v>
      </c>
      <c r="C270" s="3" t="s">
        <v>18</v>
      </c>
      <c r="D270" s="1">
        <v>153.4</v>
      </c>
      <c r="E270" s="1">
        <v>104</v>
      </c>
      <c r="F270" s="1">
        <v>19.5</v>
      </c>
      <c r="G270" s="1">
        <f t="shared" si="5"/>
        <v>2</v>
      </c>
      <c r="Q270" s="4">
        <v>2</v>
      </c>
    </row>
    <row r="271" spans="1:17" x14ac:dyDescent="0.25">
      <c r="A271" s="1" t="s">
        <v>6</v>
      </c>
      <c r="B271" s="2" t="s">
        <v>7</v>
      </c>
      <c r="C271" s="3" t="s">
        <v>18</v>
      </c>
      <c r="D271" s="1">
        <v>153.19999999999999</v>
      </c>
      <c r="E271" s="1">
        <v>134.69999999999999</v>
      </c>
      <c r="F271" s="1">
        <v>20.2</v>
      </c>
      <c r="G271" s="1">
        <f t="shared" si="5"/>
        <v>2</v>
      </c>
      <c r="Q271" s="4">
        <v>2</v>
      </c>
    </row>
    <row r="272" spans="1:17" x14ac:dyDescent="0.25">
      <c r="A272" s="1" t="s">
        <v>13</v>
      </c>
      <c r="B272" s="2" t="s">
        <v>7</v>
      </c>
      <c r="C272" s="3" t="s">
        <v>18</v>
      </c>
      <c r="D272" s="1">
        <v>153.1</v>
      </c>
      <c r="E272" s="1">
        <v>146.9</v>
      </c>
      <c r="F272" s="1">
        <v>20.3</v>
      </c>
      <c r="G272" s="1">
        <f t="shared" si="5"/>
        <v>2</v>
      </c>
      <c r="Q272" s="4">
        <v>2</v>
      </c>
    </row>
    <row r="273" spans="1:17" x14ac:dyDescent="0.25">
      <c r="A273" s="1" t="s">
        <v>13</v>
      </c>
      <c r="B273" s="2" t="s">
        <v>7</v>
      </c>
      <c r="C273" s="3" t="s">
        <v>18</v>
      </c>
      <c r="D273" s="1">
        <v>152.9</v>
      </c>
      <c r="E273" s="1">
        <v>126.6</v>
      </c>
      <c r="F273" s="1">
        <v>19.8</v>
      </c>
      <c r="G273" s="1">
        <f t="shared" si="5"/>
        <v>2</v>
      </c>
      <c r="Q273" s="4">
        <v>3</v>
      </c>
    </row>
    <row r="274" spans="1:17" x14ac:dyDescent="0.25">
      <c r="A274" s="1" t="s">
        <v>13</v>
      </c>
      <c r="B274" s="2" t="s">
        <v>7</v>
      </c>
      <c r="C274" s="3" t="s">
        <v>18</v>
      </c>
      <c r="D274" s="1">
        <v>152.6</v>
      </c>
      <c r="E274" s="1">
        <v>136.9</v>
      </c>
      <c r="F274" s="1">
        <v>19.5</v>
      </c>
      <c r="G274" s="1">
        <f t="shared" si="5"/>
        <v>2</v>
      </c>
      <c r="Q274" s="4">
        <v>2</v>
      </c>
    </row>
    <row r="275" spans="1:17" x14ac:dyDescent="0.25">
      <c r="A275" s="1" t="s">
        <v>9</v>
      </c>
      <c r="B275" s="2" t="s">
        <v>7</v>
      </c>
      <c r="C275" s="3" t="s">
        <v>18</v>
      </c>
      <c r="D275" s="1">
        <v>152</v>
      </c>
      <c r="E275" s="1">
        <v>144.5</v>
      </c>
      <c r="F275" s="1">
        <v>18.5</v>
      </c>
      <c r="G275" s="1">
        <f t="shared" si="5"/>
        <v>2</v>
      </c>
      <c r="Q275" s="4">
        <v>2</v>
      </c>
    </row>
    <row r="276" spans="1:17" x14ac:dyDescent="0.25">
      <c r="A276" s="1" t="s">
        <v>13</v>
      </c>
      <c r="B276" s="2" t="s">
        <v>7</v>
      </c>
      <c r="C276" s="3" t="s">
        <v>18</v>
      </c>
      <c r="D276" s="1">
        <v>152</v>
      </c>
      <c r="E276" s="1">
        <v>128</v>
      </c>
      <c r="F276" s="1">
        <v>18.5</v>
      </c>
      <c r="G276" s="1">
        <f t="shared" si="5"/>
        <v>2</v>
      </c>
      <c r="Q276" s="4">
        <v>2</v>
      </c>
    </row>
    <row r="277" spans="1:17" x14ac:dyDescent="0.25">
      <c r="A277" s="1" t="s">
        <v>13</v>
      </c>
      <c r="B277" s="2" t="s">
        <v>7</v>
      </c>
      <c r="C277" s="3" t="s">
        <v>18</v>
      </c>
      <c r="D277" s="1">
        <v>150.69999999999999</v>
      </c>
      <c r="E277" s="1">
        <v>128.6</v>
      </c>
      <c r="F277" s="1">
        <v>21.2</v>
      </c>
      <c r="G277" s="1">
        <f t="shared" si="5"/>
        <v>2</v>
      </c>
      <c r="Q277" s="4">
        <v>2</v>
      </c>
    </row>
    <row r="278" spans="1:17" x14ac:dyDescent="0.25">
      <c r="A278" s="1" t="s">
        <v>9</v>
      </c>
      <c r="B278" s="2" t="s">
        <v>7</v>
      </c>
      <c r="C278" s="3" t="s">
        <v>18</v>
      </c>
      <c r="D278" s="1">
        <v>150.19999999999999</v>
      </c>
      <c r="E278" s="1">
        <v>127.9</v>
      </c>
      <c r="F278" s="1">
        <v>18.600000000000001</v>
      </c>
      <c r="G278" s="1">
        <f t="shared" si="5"/>
        <v>2</v>
      </c>
      <c r="Q278" s="4">
        <v>2</v>
      </c>
    </row>
    <row r="279" spans="1:17" x14ac:dyDescent="0.25">
      <c r="A279" s="1" t="s">
        <v>9</v>
      </c>
      <c r="B279" s="2" t="s">
        <v>7</v>
      </c>
      <c r="C279" s="3" t="s">
        <v>18</v>
      </c>
      <c r="D279" s="1">
        <v>149.9</v>
      </c>
      <c r="E279" s="1">
        <v>138.19999999999999</v>
      </c>
      <c r="F279" s="1">
        <v>22</v>
      </c>
      <c r="G279" s="1">
        <f t="shared" si="5"/>
        <v>2</v>
      </c>
      <c r="Q279" s="4">
        <v>3</v>
      </c>
    </row>
    <row r="280" spans="1:17" x14ac:dyDescent="0.25">
      <c r="A280" s="1" t="s">
        <v>6</v>
      </c>
      <c r="B280" s="2" t="s">
        <v>7</v>
      </c>
      <c r="C280" s="3" t="s">
        <v>18</v>
      </c>
      <c r="D280" s="1">
        <v>149.69999999999999</v>
      </c>
      <c r="E280" s="1">
        <v>152.6</v>
      </c>
      <c r="F280" s="1">
        <v>21.9</v>
      </c>
      <c r="G280" s="1">
        <f t="shared" si="5"/>
        <v>2</v>
      </c>
      <c r="Q280" s="4">
        <v>2</v>
      </c>
    </row>
    <row r="281" spans="1:17" x14ac:dyDescent="0.25">
      <c r="A281" s="1" t="s">
        <v>6</v>
      </c>
      <c r="B281" s="2" t="s">
        <v>7</v>
      </c>
      <c r="C281" s="3" t="s">
        <v>18</v>
      </c>
      <c r="D281" s="1">
        <v>149.69999999999999</v>
      </c>
      <c r="E281" s="1">
        <v>132.69999999999999</v>
      </c>
      <c r="F281" s="1">
        <v>21.3</v>
      </c>
      <c r="G281" s="1">
        <f t="shared" si="5"/>
        <v>2</v>
      </c>
      <c r="Q281" s="4">
        <v>2</v>
      </c>
    </row>
    <row r="282" spans="1:17" x14ac:dyDescent="0.25">
      <c r="A282" s="1" t="s">
        <v>6</v>
      </c>
      <c r="B282" s="2" t="s">
        <v>7</v>
      </c>
      <c r="C282" s="3" t="s">
        <v>18</v>
      </c>
      <c r="D282" s="1">
        <v>149.5</v>
      </c>
      <c r="E282" s="1">
        <v>154.6</v>
      </c>
      <c r="F282" s="1">
        <v>22</v>
      </c>
      <c r="G282" s="1">
        <f t="shared" si="5"/>
        <v>2</v>
      </c>
      <c r="Q282" s="4">
        <v>2</v>
      </c>
    </row>
    <row r="283" spans="1:17" x14ac:dyDescent="0.25">
      <c r="A283" s="1" t="s">
        <v>12</v>
      </c>
      <c r="B283" s="2" t="s">
        <v>7</v>
      </c>
      <c r="C283" s="3" t="s">
        <v>18</v>
      </c>
      <c r="D283" s="1">
        <v>149.30000000000001</v>
      </c>
      <c r="E283" s="1">
        <v>143.6</v>
      </c>
      <c r="F283" s="1">
        <v>18.3</v>
      </c>
      <c r="G283" s="1">
        <f t="shared" si="5"/>
        <v>2</v>
      </c>
      <c r="Q283" s="4">
        <v>2</v>
      </c>
    </row>
    <row r="284" spans="1:17" x14ac:dyDescent="0.25">
      <c r="A284" s="1" t="s">
        <v>9</v>
      </c>
      <c r="B284" s="2" t="s">
        <v>7</v>
      </c>
      <c r="C284" s="3" t="s">
        <v>18</v>
      </c>
      <c r="D284" s="1">
        <v>149.30000000000001</v>
      </c>
      <c r="E284" s="1">
        <v>138.6</v>
      </c>
      <c r="F284" s="1">
        <v>21.8</v>
      </c>
      <c r="G284" s="1">
        <f t="shared" si="5"/>
        <v>2</v>
      </c>
      <c r="Q284" s="4">
        <v>2</v>
      </c>
    </row>
    <row r="285" spans="1:17" x14ac:dyDescent="0.25">
      <c r="A285" s="1" t="s">
        <v>9</v>
      </c>
      <c r="B285" s="2" t="s">
        <v>7</v>
      </c>
      <c r="C285" s="3" t="s">
        <v>18</v>
      </c>
      <c r="D285" s="1">
        <v>149.19999999999999</v>
      </c>
      <c r="E285" s="1">
        <v>115.5</v>
      </c>
      <c r="F285" s="1">
        <v>18.399999999999999</v>
      </c>
      <c r="G285" s="1">
        <f t="shared" si="5"/>
        <v>2</v>
      </c>
      <c r="Q285" s="4">
        <v>3</v>
      </c>
    </row>
    <row r="286" spans="1:17" x14ac:dyDescent="0.25">
      <c r="A286" s="1" t="s">
        <v>6</v>
      </c>
      <c r="B286" s="2" t="s">
        <v>7</v>
      </c>
      <c r="C286" s="3" t="s">
        <v>18</v>
      </c>
      <c r="D286" s="1">
        <v>149</v>
      </c>
      <c r="E286" s="1">
        <v>132.5</v>
      </c>
      <c r="F286" s="1">
        <v>20</v>
      </c>
      <c r="G286" s="1">
        <f t="shared" si="5"/>
        <v>2</v>
      </c>
      <c r="Q286" s="4">
        <v>2</v>
      </c>
    </row>
    <row r="287" spans="1:17" x14ac:dyDescent="0.25">
      <c r="A287" s="1" t="s">
        <v>13</v>
      </c>
      <c r="B287" s="2" t="s">
        <v>7</v>
      </c>
      <c r="C287" s="3" t="s">
        <v>18</v>
      </c>
      <c r="D287" s="1">
        <v>148.80000000000001</v>
      </c>
      <c r="E287" s="1">
        <v>124.5</v>
      </c>
      <c r="F287" s="1">
        <v>18.8</v>
      </c>
      <c r="G287" s="1">
        <f t="shared" si="5"/>
        <v>2</v>
      </c>
      <c r="Q287" s="4">
        <v>1</v>
      </c>
    </row>
    <row r="288" spans="1:17" x14ac:dyDescent="0.25">
      <c r="A288" s="1" t="s">
        <v>6</v>
      </c>
      <c r="B288" s="2" t="s">
        <v>7</v>
      </c>
      <c r="C288" s="3" t="s">
        <v>18</v>
      </c>
      <c r="D288" s="1">
        <v>148.30000000000001</v>
      </c>
      <c r="E288" s="1">
        <v>123.8</v>
      </c>
      <c r="F288" s="1">
        <v>22.5</v>
      </c>
      <c r="G288" s="1">
        <f t="shared" si="5"/>
        <v>2</v>
      </c>
      <c r="Q288" s="4">
        <v>1</v>
      </c>
    </row>
    <row r="289" spans="1:17" x14ac:dyDescent="0.25">
      <c r="A289" s="1" t="s">
        <v>12</v>
      </c>
      <c r="B289" s="2" t="s">
        <v>7</v>
      </c>
      <c r="C289" s="3" t="s">
        <v>18</v>
      </c>
      <c r="D289" s="1">
        <v>147</v>
      </c>
      <c r="E289" s="1">
        <v>140.30000000000001</v>
      </c>
      <c r="F289" s="1">
        <v>18.100000000000001</v>
      </c>
      <c r="G289" s="1">
        <f t="shared" si="5"/>
        <v>2</v>
      </c>
      <c r="Q289" s="4">
        <v>2</v>
      </c>
    </row>
    <row r="290" spans="1:17" x14ac:dyDescent="0.25">
      <c r="A290" s="1" t="s">
        <v>9</v>
      </c>
      <c r="B290" s="2" t="s">
        <v>7</v>
      </c>
      <c r="C290" s="3" t="s">
        <v>18</v>
      </c>
      <c r="D290" s="1">
        <v>146.5</v>
      </c>
      <c r="E290" s="1">
        <v>150.5</v>
      </c>
      <c r="F290" s="1">
        <v>20.8</v>
      </c>
      <c r="G290" s="1">
        <f t="shared" si="5"/>
        <v>2</v>
      </c>
      <c r="Q290" s="4">
        <v>2</v>
      </c>
    </row>
    <row r="291" spans="1:17" x14ac:dyDescent="0.25">
      <c r="A291" s="1" t="s">
        <v>6</v>
      </c>
      <c r="B291" s="2" t="s">
        <v>7</v>
      </c>
      <c r="C291" s="3" t="s">
        <v>18</v>
      </c>
      <c r="D291" s="1">
        <v>146.30000000000001</v>
      </c>
      <c r="E291" s="1">
        <v>118.3</v>
      </c>
      <c r="F291" s="1">
        <v>20.3</v>
      </c>
      <c r="G291" s="1">
        <f t="shared" si="5"/>
        <v>2</v>
      </c>
      <c r="Q291" s="4">
        <v>2</v>
      </c>
    </row>
    <row r="292" spans="1:17" x14ac:dyDescent="0.25">
      <c r="A292" s="1" t="s">
        <v>17</v>
      </c>
      <c r="B292" s="2" t="s">
        <v>7</v>
      </c>
      <c r="C292" s="3" t="s">
        <v>18</v>
      </c>
      <c r="D292" s="1">
        <v>144.5</v>
      </c>
      <c r="E292" s="1">
        <v>134.19999999999999</v>
      </c>
      <c r="F292" s="1">
        <v>21.8</v>
      </c>
      <c r="G292" s="1">
        <f t="shared" si="5"/>
        <v>2</v>
      </c>
      <c r="Q292" s="4">
        <v>1</v>
      </c>
    </row>
    <row r="293" spans="1:17" x14ac:dyDescent="0.25">
      <c r="A293" s="1" t="s">
        <v>13</v>
      </c>
      <c r="B293" s="2" t="s">
        <v>7</v>
      </c>
      <c r="C293" s="3" t="s">
        <v>18</v>
      </c>
      <c r="D293" s="1">
        <v>143.6</v>
      </c>
      <c r="E293" s="1">
        <v>106.9</v>
      </c>
      <c r="F293" s="1">
        <v>20.5</v>
      </c>
      <c r="G293" s="1">
        <f t="shared" si="5"/>
        <v>2</v>
      </c>
      <c r="Q293" s="4">
        <v>2</v>
      </c>
    </row>
    <row r="294" spans="1:17" x14ac:dyDescent="0.25">
      <c r="A294" s="1" t="s">
        <v>17</v>
      </c>
      <c r="B294" s="2" t="s">
        <v>7</v>
      </c>
      <c r="C294" s="3" t="s">
        <v>18</v>
      </c>
      <c r="D294" s="1">
        <v>143.30000000000001</v>
      </c>
      <c r="E294" s="1">
        <v>141.30000000000001</v>
      </c>
      <c r="F294" s="1">
        <v>20.9</v>
      </c>
      <c r="G294" s="1">
        <f t="shared" si="5"/>
        <v>2</v>
      </c>
      <c r="Q294" s="4">
        <v>2</v>
      </c>
    </row>
    <row r="295" spans="1:17" x14ac:dyDescent="0.25">
      <c r="A295" s="1" t="s">
        <v>17</v>
      </c>
      <c r="B295" s="2" t="s">
        <v>7</v>
      </c>
      <c r="C295" s="3" t="s">
        <v>18</v>
      </c>
      <c r="D295" s="1">
        <v>142.9</v>
      </c>
      <c r="E295" s="1">
        <v>140.6</v>
      </c>
      <c r="F295" s="1">
        <v>21.6</v>
      </c>
      <c r="G295" s="1">
        <f t="shared" si="5"/>
        <v>2</v>
      </c>
      <c r="Q295" s="4">
        <v>3</v>
      </c>
    </row>
    <row r="296" spans="1:17" x14ac:dyDescent="0.25">
      <c r="A296" s="1" t="s">
        <v>17</v>
      </c>
      <c r="B296" s="2" t="s">
        <v>7</v>
      </c>
      <c r="C296" s="3" t="s">
        <v>18</v>
      </c>
      <c r="D296" s="1">
        <v>139</v>
      </c>
      <c r="E296" s="1">
        <v>120.1</v>
      </c>
      <c r="F296" s="1">
        <v>22.1</v>
      </c>
      <c r="G296" s="1">
        <f t="shared" si="5"/>
        <v>2</v>
      </c>
      <c r="Q296" s="4">
        <v>1</v>
      </c>
    </row>
    <row r="297" spans="1:17" x14ac:dyDescent="0.25">
      <c r="A297" s="1" t="s">
        <v>13</v>
      </c>
      <c r="B297" s="2" t="s">
        <v>7</v>
      </c>
      <c r="C297" s="3" t="s">
        <v>18</v>
      </c>
      <c r="D297" s="1">
        <v>137.69999999999999</v>
      </c>
      <c r="E297" s="1">
        <v>123.3</v>
      </c>
      <c r="F297" s="1">
        <v>20.6</v>
      </c>
      <c r="G297" s="1">
        <f t="shared" si="5"/>
        <v>2</v>
      </c>
      <c r="Q297" s="4">
        <v>2</v>
      </c>
    </row>
    <row r="298" spans="1:17" x14ac:dyDescent="0.25">
      <c r="A298" s="1" t="s">
        <v>13</v>
      </c>
      <c r="B298" s="2" t="s">
        <v>7</v>
      </c>
      <c r="C298" s="3" t="s">
        <v>18</v>
      </c>
      <c r="D298" s="1">
        <v>137.6</v>
      </c>
      <c r="E298" s="1">
        <v>129.9</v>
      </c>
      <c r="F298" s="1">
        <v>19.3</v>
      </c>
      <c r="G298" s="1">
        <f t="shared" si="5"/>
        <v>2</v>
      </c>
      <c r="Q298" s="4">
        <v>3</v>
      </c>
    </row>
    <row r="299" spans="1:17" x14ac:dyDescent="0.25">
      <c r="A299" s="1" t="s">
        <v>13</v>
      </c>
      <c r="B299" s="2" t="s">
        <v>7</v>
      </c>
      <c r="C299" s="3" t="s">
        <v>18</v>
      </c>
      <c r="D299" s="1">
        <v>137.4</v>
      </c>
      <c r="E299" s="1">
        <v>125.3</v>
      </c>
      <c r="F299" s="1">
        <v>21.3</v>
      </c>
      <c r="G299" s="1">
        <f t="shared" si="5"/>
        <v>2</v>
      </c>
      <c r="Q299" s="4">
        <v>2</v>
      </c>
    </row>
    <row r="300" spans="1:17" x14ac:dyDescent="0.25">
      <c r="A300" s="1" t="s">
        <v>13</v>
      </c>
      <c r="B300" s="2" t="s">
        <v>7</v>
      </c>
      <c r="C300" s="3" t="s">
        <v>18</v>
      </c>
      <c r="D300" s="1">
        <v>136.69999999999999</v>
      </c>
      <c r="E300" s="1">
        <v>142.5</v>
      </c>
      <c r="F300" s="1">
        <v>19.100000000000001</v>
      </c>
      <c r="G300" s="1">
        <f t="shared" si="5"/>
        <v>2</v>
      </c>
      <c r="Q300" s="4">
        <v>2</v>
      </c>
    </row>
    <row r="301" spans="1:17" x14ac:dyDescent="0.25">
      <c r="A301" s="1" t="s">
        <v>17</v>
      </c>
      <c r="B301" s="2" t="s">
        <v>7</v>
      </c>
      <c r="C301" s="3" t="s">
        <v>18</v>
      </c>
      <c r="D301" s="1">
        <v>135.80000000000001</v>
      </c>
      <c r="E301" s="1">
        <v>119.2</v>
      </c>
      <c r="F301" s="1">
        <v>21.1</v>
      </c>
      <c r="G301" s="1">
        <f t="shared" si="5"/>
        <v>2</v>
      </c>
      <c r="Q301" s="4">
        <v>2</v>
      </c>
    </row>
    <row r="302" spans="1:17" x14ac:dyDescent="0.25">
      <c r="A302" s="1" t="s">
        <v>9</v>
      </c>
      <c r="B302" s="2" t="s">
        <v>7</v>
      </c>
      <c r="C302" s="3" t="s">
        <v>18</v>
      </c>
      <c r="D302" s="1">
        <v>135.5</v>
      </c>
      <c r="E302" s="1">
        <v>122.1</v>
      </c>
      <c r="F302" s="1">
        <v>20.399999999999999</v>
      </c>
      <c r="G302" s="1">
        <f t="shared" si="5"/>
        <v>2</v>
      </c>
      <c r="Q302" s="4">
        <v>1</v>
      </c>
    </row>
    <row r="303" spans="1:17" x14ac:dyDescent="0.25">
      <c r="A303" s="1" t="s">
        <v>9</v>
      </c>
      <c r="B303" s="2" t="s">
        <v>7</v>
      </c>
      <c r="C303" s="3" t="s">
        <v>18</v>
      </c>
      <c r="D303" s="1">
        <v>135.1</v>
      </c>
      <c r="E303" s="1">
        <v>152.6</v>
      </c>
      <c r="F303" s="1">
        <v>19.899999999999999</v>
      </c>
      <c r="G303" s="1">
        <f t="shared" si="5"/>
        <v>2</v>
      </c>
      <c r="Q303" s="4">
        <v>2</v>
      </c>
    </row>
    <row r="304" spans="1:17" x14ac:dyDescent="0.25">
      <c r="A304" s="1" t="s">
        <v>13</v>
      </c>
      <c r="B304" s="2" t="s">
        <v>7</v>
      </c>
      <c r="C304" s="3" t="s">
        <v>18</v>
      </c>
      <c r="D304" s="1">
        <v>134.5</v>
      </c>
      <c r="E304" s="1">
        <v>133.5</v>
      </c>
      <c r="F304" s="1">
        <v>23</v>
      </c>
      <c r="G304" s="1">
        <f t="shared" si="5"/>
        <v>2</v>
      </c>
      <c r="Q304" s="4">
        <v>1</v>
      </c>
    </row>
    <row r="305" spans="1:17" x14ac:dyDescent="0.25">
      <c r="A305" s="1" t="s">
        <v>12</v>
      </c>
      <c r="B305" s="2" t="s">
        <v>7</v>
      </c>
      <c r="C305" s="3" t="s">
        <v>18</v>
      </c>
      <c r="D305" s="1">
        <v>133.9</v>
      </c>
      <c r="E305" s="1">
        <v>151.6</v>
      </c>
      <c r="F305" s="1">
        <v>21</v>
      </c>
      <c r="G305" s="1">
        <f t="shared" si="5"/>
        <v>2</v>
      </c>
      <c r="Q305" s="4">
        <v>2</v>
      </c>
    </row>
    <row r="306" spans="1:17" x14ac:dyDescent="0.25">
      <c r="A306" s="1" t="s">
        <v>9</v>
      </c>
      <c r="B306" s="2" t="s">
        <v>7</v>
      </c>
      <c r="C306" s="3" t="s">
        <v>18</v>
      </c>
      <c r="D306" s="1">
        <v>133.69999999999999</v>
      </c>
      <c r="E306" s="1">
        <v>122.6</v>
      </c>
      <c r="F306" s="1">
        <v>20.6</v>
      </c>
      <c r="G306" s="1">
        <f t="shared" si="5"/>
        <v>2</v>
      </c>
      <c r="Q306" s="4">
        <v>2</v>
      </c>
    </row>
    <row r="307" spans="1:17" x14ac:dyDescent="0.25">
      <c r="A307" s="1" t="s">
        <v>13</v>
      </c>
      <c r="B307" s="2" t="s">
        <v>7</v>
      </c>
      <c r="C307" s="3" t="s">
        <v>18</v>
      </c>
      <c r="D307" s="1">
        <v>133.69999999999999</v>
      </c>
      <c r="E307" s="1">
        <v>117.2</v>
      </c>
      <c r="F307" s="1">
        <v>20.8</v>
      </c>
      <c r="G307" s="1">
        <f t="shared" si="5"/>
        <v>2</v>
      </c>
      <c r="Q307" s="4">
        <v>2</v>
      </c>
    </row>
    <row r="308" spans="1:17" x14ac:dyDescent="0.25">
      <c r="A308" s="1" t="s">
        <v>9</v>
      </c>
      <c r="B308" s="2" t="s">
        <v>7</v>
      </c>
      <c r="C308" s="3" t="s">
        <v>18</v>
      </c>
      <c r="D308" s="1">
        <v>132.5</v>
      </c>
      <c r="E308" s="1">
        <v>130.19999999999999</v>
      </c>
      <c r="F308" s="1">
        <v>18.7</v>
      </c>
      <c r="G308" s="1">
        <f t="shared" si="5"/>
        <v>2</v>
      </c>
      <c r="Q308" s="4">
        <v>2</v>
      </c>
    </row>
    <row r="309" spans="1:17" x14ac:dyDescent="0.25">
      <c r="A309" s="1" t="s">
        <v>13</v>
      </c>
      <c r="B309" s="2" t="s">
        <v>7</v>
      </c>
      <c r="C309" s="3" t="s">
        <v>18</v>
      </c>
      <c r="D309" s="1">
        <v>131.19999999999999</v>
      </c>
      <c r="E309" s="1">
        <v>124.8</v>
      </c>
      <c r="F309" s="1">
        <v>20.2</v>
      </c>
      <c r="G309" s="1">
        <f t="shared" si="5"/>
        <v>2</v>
      </c>
      <c r="Q309" s="4">
        <v>1</v>
      </c>
    </row>
    <row r="310" spans="1:17" x14ac:dyDescent="0.25">
      <c r="A310" s="1" t="s">
        <v>9</v>
      </c>
      <c r="B310" s="2" t="s">
        <v>7</v>
      </c>
      <c r="C310" s="3" t="s">
        <v>18</v>
      </c>
      <c r="D310" s="1">
        <v>127.9</v>
      </c>
      <c r="E310" s="1">
        <v>115.9</v>
      </c>
      <c r="F310" s="1">
        <v>21.1</v>
      </c>
      <c r="G310" s="1">
        <f t="shared" si="5"/>
        <v>2</v>
      </c>
      <c r="Q310" s="4">
        <v>2</v>
      </c>
    </row>
    <row r="311" spans="1:17" x14ac:dyDescent="0.25">
      <c r="A311" s="1" t="s">
        <v>13</v>
      </c>
      <c r="B311" s="2" t="s">
        <v>7</v>
      </c>
      <c r="C311" s="3" t="s">
        <v>18</v>
      </c>
      <c r="D311" s="1">
        <v>122.5</v>
      </c>
      <c r="E311" s="1">
        <v>129.1</v>
      </c>
      <c r="F311" s="1">
        <v>21.1</v>
      </c>
      <c r="G311" s="1">
        <f t="shared" si="5"/>
        <v>2</v>
      </c>
      <c r="Q311" s="4">
        <v>1</v>
      </c>
    </row>
    <row r="312" spans="1:17" x14ac:dyDescent="0.25">
      <c r="A312" s="1" t="s">
        <v>9</v>
      </c>
      <c r="B312" s="2" t="s">
        <v>15</v>
      </c>
      <c r="C312" s="3" t="s">
        <v>18</v>
      </c>
      <c r="D312" s="1">
        <v>168.3</v>
      </c>
      <c r="E312" s="1">
        <v>122.8</v>
      </c>
      <c r="F312" s="1">
        <v>18.3</v>
      </c>
      <c r="G312" s="1">
        <f t="shared" si="5"/>
        <v>2</v>
      </c>
      <c r="Q312" s="4">
        <v>2</v>
      </c>
    </row>
    <row r="313" spans="1:17" x14ac:dyDescent="0.25">
      <c r="A313" s="1" t="s">
        <v>9</v>
      </c>
      <c r="B313" s="2" t="s">
        <v>15</v>
      </c>
      <c r="C313" s="3" t="s">
        <v>18</v>
      </c>
      <c r="D313" s="1">
        <v>165.8</v>
      </c>
      <c r="E313" s="1">
        <v>123.3</v>
      </c>
      <c r="F313" s="1">
        <v>21.8</v>
      </c>
      <c r="G313" s="1">
        <f t="shared" si="5"/>
        <v>2</v>
      </c>
      <c r="Q313" s="4">
        <v>1</v>
      </c>
    </row>
    <row r="314" spans="1:17" x14ac:dyDescent="0.25">
      <c r="A314" s="1" t="s">
        <v>6</v>
      </c>
      <c r="B314" s="2" t="s">
        <v>15</v>
      </c>
      <c r="C314" s="3" t="s">
        <v>18</v>
      </c>
      <c r="D314" s="1">
        <v>165.2</v>
      </c>
      <c r="E314" s="1">
        <v>129.5</v>
      </c>
      <c r="F314" s="1">
        <v>21.3</v>
      </c>
      <c r="G314" s="1">
        <f t="shared" si="5"/>
        <v>2</v>
      </c>
      <c r="Q314" s="4">
        <v>2</v>
      </c>
    </row>
    <row r="315" spans="1:17" x14ac:dyDescent="0.25">
      <c r="A315" s="1" t="s">
        <v>12</v>
      </c>
      <c r="B315" s="2" t="s">
        <v>15</v>
      </c>
      <c r="C315" s="3" t="s">
        <v>18</v>
      </c>
      <c r="D315" s="1">
        <v>164.3</v>
      </c>
      <c r="E315" s="1">
        <v>130.4</v>
      </c>
      <c r="F315" s="1">
        <v>22.6</v>
      </c>
      <c r="G315" s="1">
        <f t="shared" si="5"/>
        <v>2</v>
      </c>
      <c r="Q315" s="4">
        <v>2</v>
      </c>
    </row>
    <row r="316" spans="1:17" x14ac:dyDescent="0.25">
      <c r="A316" s="1" t="s">
        <v>12</v>
      </c>
      <c r="B316" s="2" t="s">
        <v>15</v>
      </c>
      <c r="C316" s="3" t="s">
        <v>18</v>
      </c>
      <c r="D316" s="1">
        <v>164</v>
      </c>
      <c r="E316" s="1">
        <v>129.69999999999999</v>
      </c>
      <c r="F316" s="1">
        <v>19.399999999999999</v>
      </c>
      <c r="G316" s="1">
        <f t="shared" si="5"/>
        <v>2</v>
      </c>
      <c r="Q316" s="4">
        <v>2</v>
      </c>
    </row>
    <row r="317" spans="1:17" x14ac:dyDescent="0.25">
      <c r="A317" s="1" t="s">
        <v>6</v>
      </c>
      <c r="B317" s="2" t="s">
        <v>15</v>
      </c>
      <c r="C317" s="3" t="s">
        <v>18</v>
      </c>
      <c r="D317" s="1">
        <v>162.9</v>
      </c>
      <c r="E317" s="1">
        <v>122.5</v>
      </c>
      <c r="F317" s="1">
        <v>21</v>
      </c>
      <c r="G317" s="1">
        <f t="shared" si="5"/>
        <v>2</v>
      </c>
      <c r="Q317" s="4">
        <v>2</v>
      </c>
    </row>
    <row r="318" spans="1:17" x14ac:dyDescent="0.25">
      <c r="A318" s="1" t="s">
        <v>12</v>
      </c>
      <c r="B318" s="2" t="s">
        <v>15</v>
      </c>
      <c r="C318" s="3" t="s">
        <v>18</v>
      </c>
      <c r="D318" s="1">
        <v>162.69999999999999</v>
      </c>
      <c r="E318" s="1">
        <v>114.5</v>
      </c>
      <c r="F318" s="1">
        <v>22.1</v>
      </c>
      <c r="G318" s="1">
        <f t="shared" si="5"/>
        <v>2</v>
      </c>
      <c r="Q318" s="4">
        <v>2</v>
      </c>
    </row>
    <row r="319" spans="1:17" x14ac:dyDescent="0.25">
      <c r="A319" s="1" t="s">
        <v>9</v>
      </c>
      <c r="B319" s="2" t="s">
        <v>15</v>
      </c>
      <c r="C319" s="3" t="s">
        <v>18</v>
      </c>
      <c r="D319" s="1">
        <v>162.6</v>
      </c>
      <c r="E319" s="1">
        <v>141.19999999999999</v>
      </c>
      <c r="F319" s="1">
        <v>20.6</v>
      </c>
      <c r="G319" s="1">
        <f t="shared" si="5"/>
        <v>2</v>
      </c>
      <c r="Q319" s="4">
        <v>2</v>
      </c>
    </row>
    <row r="320" spans="1:17" x14ac:dyDescent="0.25">
      <c r="A320" s="1" t="s">
        <v>13</v>
      </c>
      <c r="B320" s="2" t="s">
        <v>15</v>
      </c>
      <c r="C320" s="3" t="s">
        <v>18</v>
      </c>
      <c r="D320" s="1">
        <v>161.80000000000001</v>
      </c>
      <c r="E320" s="1">
        <v>115.9</v>
      </c>
      <c r="F320" s="1">
        <v>21</v>
      </c>
      <c r="G320" s="1">
        <f t="shared" si="5"/>
        <v>2</v>
      </c>
      <c r="Q320" s="4">
        <v>2</v>
      </c>
    </row>
    <row r="321" spans="1:17" x14ac:dyDescent="0.25">
      <c r="A321" s="1" t="s">
        <v>13</v>
      </c>
      <c r="B321" s="2" t="s">
        <v>15</v>
      </c>
      <c r="C321" s="3" t="s">
        <v>18</v>
      </c>
      <c r="D321" s="1">
        <v>161.30000000000001</v>
      </c>
      <c r="E321" s="1">
        <v>140.6</v>
      </c>
      <c r="F321" s="1">
        <v>20.9</v>
      </c>
      <c r="G321" s="1">
        <f t="shared" si="5"/>
        <v>2</v>
      </c>
      <c r="Q321" s="4">
        <v>1</v>
      </c>
    </row>
    <row r="322" spans="1:17" x14ac:dyDescent="0.25">
      <c r="A322" s="1" t="s">
        <v>12</v>
      </c>
      <c r="B322" s="2" t="s">
        <v>15</v>
      </c>
      <c r="C322" s="3" t="s">
        <v>18</v>
      </c>
      <c r="D322" s="1">
        <v>161.30000000000001</v>
      </c>
      <c r="E322" s="1">
        <v>130.4</v>
      </c>
      <c r="F322" s="1">
        <v>20.8</v>
      </c>
      <c r="G322" s="1">
        <f t="shared" ref="G322:G385" si="6">IF(C322="alto",1,IF(C322="medio",2,3))</f>
        <v>2</v>
      </c>
      <c r="Q322" s="4">
        <v>3</v>
      </c>
    </row>
    <row r="323" spans="1:17" x14ac:dyDescent="0.25">
      <c r="A323" s="1" t="s">
        <v>6</v>
      </c>
      <c r="B323" s="2" t="s">
        <v>15</v>
      </c>
      <c r="C323" s="3" t="s">
        <v>18</v>
      </c>
      <c r="D323" s="1">
        <v>161.1</v>
      </c>
      <c r="E323" s="1">
        <v>116.5</v>
      </c>
      <c r="F323" s="1">
        <v>21.2</v>
      </c>
      <c r="G323" s="1">
        <f t="shared" si="6"/>
        <v>2</v>
      </c>
      <c r="Q323" s="4">
        <v>2</v>
      </c>
    </row>
    <row r="324" spans="1:17" x14ac:dyDescent="0.25">
      <c r="A324" s="1" t="s">
        <v>9</v>
      </c>
      <c r="B324" s="2" t="s">
        <v>15</v>
      </c>
      <c r="C324" s="3" t="s">
        <v>18</v>
      </c>
      <c r="D324" s="1">
        <v>161</v>
      </c>
      <c r="E324" s="1">
        <v>139.69999999999999</v>
      </c>
      <c r="F324" s="1">
        <v>19</v>
      </c>
      <c r="G324" s="1">
        <f t="shared" si="6"/>
        <v>2</v>
      </c>
      <c r="Q324" s="4">
        <v>2</v>
      </c>
    </row>
    <row r="325" spans="1:17" x14ac:dyDescent="0.25">
      <c r="A325" s="1" t="s">
        <v>12</v>
      </c>
      <c r="B325" s="2" t="s">
        <v>15</v>
      </c>
      <c r="C325" s="3" t="s">
        <v>18</v>
      </c>
      <c r="D325" s="1">
        <v>160.80000000000001</v>
      </c>
      <c r="E325" s="1">
        <v>136.9</v>
      </c>
      <c r="F325" s="1">
        <v>18.2</v>
      </c>
      <c r="G325" s="1">
        <f t="shared" si="6"/>
        <v>2</v>
      </c>
      <c r="Q325" s="4">
        <v>3</v>
      </c>
    </row>
    <row r="326" spans="1:17" x14ac:dyDescent="0.25">
      <c r="A326" s="1" t="s">
        <v>12</v>
      </c>
      <c r="B326" s="2" t="s">
        <v>15</v>
      </c>
      <c r="C326" s="3" t="s">
        <v>18</v>
      </c>
      <c r="D326" s="1">
        <v>160.69999999999999</v>
      </c>
      <c r="E326" s="1">
        <v>130.5</v>
      </c>
      <c r="F326" s="1">
        <v>22.3</v>
      </c>
      <c r="G326" s="1">
        <f t="shared" si="6"/>
        <v>2</v>
      </c>
      <c r="Q326" s="4">
        <v>3</v>
      </c>
    </row>
    <row r="327" spans="1:17" x14ac:dyDescent="0.25">
      <c r="A327" s="1" t="s">
        <v>6</v>
      </c>
      <c r="B327" s="2" t="s">
        <v>15</v>
      </c>
      <c r="C327" s="3" t="s">
        <v>18</v>
      </c>
      <c r="D327" s="1">
        <v>160.19999999999999</v>
      </c>
      <c r="E327" s="1">
        <v>130.6</v>
      </c>
      <c r="F327" s="1">
        <v>19.2</v>
      </c>
      <c r="G327" s="1">
        <f t="shared" si="6"/>
        <v>2</v>
      </c>
      <c r="Q327" s="4">
        <v>2</v>
      </c>
    </row>
    <row r="328" spans="1:17" x14ac:dyDescent="0.25">
      <c r="A328" s="1" t="s">
        <v>9</v>
      </c>
      <c r="B328" s="2" t="s">
        <v>15</v>
      </c>
      <c r="C328" s="3" t="s">
        <v>18</v>
      </c>
      <c r="D328" s="1">
        <v>159.6</v>
      </c>
      <c r="E328" s="1">
        <v>119</v>
      </c>
      <c r="F328" s="1">
        <v>22.1</v>
      </c>
      <c r="G328" s="1">
        <f t="shared" si="6"/>
        <v>2</v>
      </c>
      <c r="Q328" s="4">
        <v>2</v>
      </c>
    </row>
    <row r="329" spans="1:17" x14ac:dyDescent="0.25">
      <c r="A329" s="1" t="s">
        <v>6</v>
      </c>
      <c r="B329" s="2" t="s">
        <v>15</v>
      </c>
      <c r="C329" s="3" t="s">
        <v>18</v>
      </c>
      <c r="D329" s="1">
        <v>159.5</v>
      </c>
      <c r="E329" s="1">
        <v>138.1</v>
      </c>
      <c r="F329" s="1">
        <v>19.899999999999999</v>
      </c>
      <c r="G329" s="1">
        <f t="shared" si="6"/>
        <v>2</v>
      </c>
      <c r="Q329" s="4">
        <v>2</v>
      </c>
    </row>
    <row r="330" spans="1:17" x14ac:dyDescent="0.25">
      <c r="A330" s="1" t="s">
        <v>9</v>
      </c>
      <c r="B330" s="2" t="s">
        <v>15</v>
      </c>
      <c r="C330" s="3" t="s">
        <v>18</v>
      </c>
      <c r="D330" s="1">
        <v>159.5</v>
      </c>
      <c r="E330" s="1">
        <v>136.1</v>
      </c>
      <c r="F330" s="1">
        <v>22.1</v>
      </c>
      <c r="G330" s="1">
        <f t="shared" si="6"/>
        <v>2</v>
      </c>
      <c r="Q330" s="4">
        <v>2</v>
      </c>
    </row>
    <row r="331" spans="1:17" x14ac:dyDescent="0.25">
      <c r="A331" s="1" t="s">
        <v>13</v>
      </c>
      <c r="B331" s="2" t="s">
        <v>15</v>
      </c>
      <c r="C331" s="3" t="s">
        <v>18</v>
      </c>
      <c r="D331" s="1">
        <v>159.4</v>
      </c>
      <c r="E331" s="1">
        <v>126.9</v>
      </c>
      <c r="F331" s="1">
        <v>19.399999999999999</v>
      </c>
      <c r="G331" s="1">
        <f t="shared" si="6"/>
        <v>2</v>
      </c>
      <c r="Q331" s="4">
        <v>2</v>
      </c>
    </row>
    <row r="332" spans="1:17" x14ac:dyDescent="0.25">
      <c r="A332" s="1" t="s">
        <v>17</v>
      </c>
      <c r="B332" s="2" t="s">
        <v>15</v>
      </c>
      <c r="C332" s="3" t="s">
        <v>18</v>
      </c>
      <c r="D332" s="1">
        <v>159.4</v>
      </c>
      <c r="E332" s="1">
        <v>126.8</v>
      </c>
      <c r="F332" s="1">
        <v>21.2</v>
      </c>
      <c r="G332" s="1">
        <f t="shared" si="6"/>
        <v>2</v>
      </c>
      <c r="Q332" s="4">
        <v>2</v>
      </c>
    </row>
    <row r="333" spans="1:17" x14ac:dyDescent="0.25">
      <c r="A333" s="1" t="s">
        <v>9</v>
      </c>
      <c r="B333" s="2" t="s">
        <v>15</v>
      </c>
      <c r="C333" s="3" t="s">
        <v>18</v>
      </c>
      <c r="D333" s="1">
        <v>159.19999999999999</v>
      </c>
      <c r="E333" s="1">
        <v>129</v>
      </c>
      <c r="F333" s="1">
        <v>20.7</v>
      </c>
      <c r="G333" s="1">
        <f t="shared" si="6"/>
        <v>2</v>
      </c>
      <c r="Q333" s="4">
        <v>1</v>
      </c>
    </row>
    <row r="334" spans="1:17" x14ac:dyDescent="0.25">
      <c r="A334" s="1" t="s">
        <v>9</v>
      </c>
      <c r="B334" s="2" t="s">
        <v>15</v>
      </c>
      <c r="C334" s="3" t="s">
        <v>18</v>
      </c>
      <c r="D334" s="1">
        <v>159.1</v>
      </c>
      <c r="E334" s="1">
        <v>130.1</v>
      </c>
      <c r="F334" s="1">
        <v>19.7</v>
      </c>
      <c r="G334" s="1">
        <f t="shared" si="6"/>
        <v>2</v>
      </c>
      <c r="Q334" s="4">
        <v>1</v>
      </c>
    </row>
    <row r="335" spans="1:17" x14ac:dyDescent="0.25">
      <c r="A335" s="1" t="s">
        <v>12</v>
      </c>
      <c r="B335" s="2" t="s">
        <v>15</v>
      </c>
      <c r="C335" s="3" t="s">
        <v>18</v>
      </c>
      <c r="D335" s="1">
        <v>159</v>
      </c>
      <c r="E335" s="1">
        <v>137.6</v>
      </c>
      <c r="F335" s="1">
        <v>22.1</v>
      </c>
      <c r="G335" s="1">
        <f t="shared" si="6"/>
        <v>2</v>
      </c>
      <c r="Q335" s="4">
        <v>2</v>
      </c>
    </row>
    <row r="336" spans="1:17" x14ac:dyDescent="0.25">
      <c r="A336" s="1" t="s">
        <v>9</v>
      </c>
      <c r="B336" s="2" t="s">
        <v>15</v>
      </c>
      <c r="C336" s="3" t="s">
        <v>18</v>
      </c>
      <c r="D336" s="1">
        <v>158.30000000000001</v>
      </c>
      <c r="E336" s="1">
        <v>125.6</v>
      </c>
      <c r="F336" s="1">
        <v>19.5</v>
      </c>
      <c r="G336" s="1">
        <f t="shared" si="6"/>
        <v>2</v>
      </c>
      <c r="Q336" s="4">
        <v>2</v>
      </c>
    </row>
    <row r="337" spans="1:17" x14ac:dyDescent="0.25">
      <c r="A337" s="1" t="s">
        <v>12</v>
      </c>
      <c r="B337" s="2" t="s">
        <v>15</v>
      </c>
      <c r="C337" s="3" t="s">
        <v>18</v>
      </c>
      <c r="D337" s="1">
        <v>158.1</v>
      </c>
      <c r="E337" s="1">
        <v>112.3</v>
      </c>
      <c r="F337" s="1">
        <v>19.600000000000001</v>
      </c>
      <c r="G337" s="1">
        <f t="shared" si="6"/>
        <v>2</v>
      </c>
      <c r="Q337" s="4">
        <v>2</v>
      </c>
    </row>
    <row r="338" spans="1:17" x14ac:dyDescent="0.25">
      <c r="A338" s="1" t="s">
        <v>12</v>
      </c>
      <c r="B338" s="2" t="s">
        <v>15</v>
      </c>
      <c r="C338" s="3" t="s">
        <v>18</v>
      </c>
      <c r="D338" s="1">
        <v>157.80000000000001</v>
      </c>
      <c r="E338" s="1">
        <v>129</v>
      </c>
      <c r="F338" s="1">
        <v>19.899999999999999</v>
      </c>
      <c r="G338" s="1">
        <f t="shared" si="6"/>
        <v>2</v>
      </c>
      <c r="Q338" s="4">
        <v>2</v>
      </c>
    </row>
    <row r="339" spans="1:17" x14ac:dyDescent="0.25">
      <c r="A339" s="1" t="s">
        <v>13</v>
      </c>
      <c r="B339" s="2" t="s">
        <v>15</v>
      </c>
      <c r="C339" s="3" t="s">
        <v>18</v>
      </c>
      <c r="D339" s="1">
        <v>157.69999999999999</v>
      </c>
      <c r="E339" s="1">
        <v>117.7</v>
      </c>
      <c r="F339" s="1">
        <v>19.2</v>
      </c>
      <c r="G339" s="1">
        <f t="shared" si="6"/>
        <v>2</v>
      </c>
      <c r="Q339" s="4">
        <v>2</v>
      </c>
    </row>
    <row r="340" spans="1:17" x14ac:dyDescent="0.25">
      <c r="A340" s="1" t="s">
        <v>9</v>
      </c>
      <c r="B340" s="2" t="s">
        <v>15</v>
      </c>
      <c r="C340" s="3" t="s">
        <v>18</v>
      </c>
      <c r="D340" s="1">
        <v>157.19999999999999</v>
      </c>
      <c r="E340" s="1">
        <v>118.4</v>
      </c>
      <c r="F340" s="1">
        <v>19.600000000000001</v>
      </c>
      <c r="G340" s="1">
        <f t="shared" si="6"/>
        <v>2</v>
      </c>
      <c r="Q340" s="4">
        <v>3</v>
      </c>
    </row>
    <row r="341" spans="1:17" x14ac:dyDescent="0.25">
      <c r="A341" s="1" t="s">
        <v>12</v>
      </c>
      <c r="B341" s="2" t="s">
        <v>15</v>
      </c>
      <c r="C341" s="3" t="s">
        <v>18</v>
      </c>
      <c r="D341" s="1">
        <v>156.6</v>
      </c>
      <c r="E341" s="1">
        <v>122</v>
      </c>
      <c r="F341" s="1">
        <v>19.8</v>
      </c>
      <c r="G341" s="1">
        <f t="shared" si="6"/>
        <v>2</v>
      </c>
      <c r="Q341" s="4">
        <v>1</v>
      </c>
    </row>
    <row r="342" spans="1:17" x14ac:dyDescent="0.25">
      <c r="A342" s="1" t="s">
        <v>12</v>
      </c>
      <c r="B342" s="2" t="s">
        <v>15</v>
      </c>
      <c r="C342" s="3" t="s">
        <v>18</v>
      </c>
      <c r="D342" s="1">
        <v>156.30000000000001</v>
      </c>
      <c r="E342" s="1">
        <v>139.30000000000001</v>
      </c>
      <c r="F342" s="1">
        <v>20.100000000000001</v>
      </c>
      <c r="G342" s="1">
        <f t="shared" si="6"/>
        <v>2</v>
      </c>
      <c r="Q342" s="4">
        <v>2</v>
      </c>
    </row>
    <row r="343" spans="1:17" x14ac:dyDescent="0.25">
      <c r="A343" s="1" t="s">
        <v>13</v>
      </c>
      <c r="B343" s="2" t="s">
        <v>15</v>
      </c>
      <c r="C343" s="3" t="s">
        <v>18</v>
      </c>
      <c r="D343" s="1">
        <v>155.69999999999999</v>
      </c>
      <c r="E343" s="1">
        <v>128.1</v>
      </c>
      <c r="F343" s="1">
        <v>21.6</v>
      </c>
      <c r="G343" s="1">
        <f t="shared" si="6"/>
        <v>2</v>
      </c>
      <c r="Q343" s="4">
        <v>2</v>
      </c>
    </row>
    <row r="344" spans="1:17" x14ac:dyDescent="0.25">
      <c r="A344" s="1" t="s">
        <v>6</v>
      </c>
      <c r="B344" s="2" t="s">
        <v>15</v>
      </c>
      <c r="C344" s="3" t="s">
        <v>18</v>
      </c>
      <c r="D344" s="1">
        <v>155.5</v>
      </c>
      <c r="E344" s="1">
        <v>121.4</v>
      </c>
      <c r="F344" s="1">
        <v>19.100000000000001</v>
      </c>
      <c r="G344" s="1">
        <f t="shared" si="6"/>
        <v>2</v>
      </c>
      <c r="Q344" s="4">
        <v>2</v>
      </c>
    </row>
    <row r="345" spans="1:17" x14ac:dyDescent="0.25">
      <c r="A345" s="1" t="s">
        <v>13</v>
      </c>
      <c r="B345" s="2" t="s">
        <v>15</v>
      </c>
      <c r="C345" s="3" t="s">
        <v>18</v>
      </c>
      <c r="D345" s="1">
        <v>155.19999999999999</v>
      </c>
      <c r="E345" s="1">
        <v>144.30000000000001</v>
      </c>
      <c r="F345" s="1">
        <v>21.2</v>
      </c>
      <c r="G345" s="1">
        <f t="shared" si="6"/>
        <v>2</v>
      </c>
      <c r="Q345" s="4">
        <v>1</v>
      </c>
    </row>
    <row r="346" spans="1:17" x14ac:dyDescent="0.25">
      <c r="A346" s="1" t="s">
        <v>9</v>
      </c>
      <c r="B346" s="2" t="s">
        <v>15</v>
      </c>
      <c r="C346" s="3" t="s">
        <v>18</v>
      </c>
      <c r="D346" s="1">
        <v>155.1</v>
      </c>
      <c r="E346" s="1">
        <v>135.5</v>
      </c>
      <c r="F346" s="1">
        <v>18.7</v>
      </c>
      <c r="G346" s="1">
        <f t="shared" si="6"/>
        <v>2</v>
      </c>
      <c r="Q346" s="4">
        <v>3</v>
      </c>
    </row>
    <row r="347" spans="1:17" x14ac:dyDescent="0.25">
      <c r="A347" s="1" t="s">
        <v>13</v>
      </c>
      <c r="B347" s="2" t="s">
        <v>15</v>
      </c>
      <c r="C347" s="3" t="s">
        <v>18</v>
      </c>
      <c r="D347" s="1">
        <v>155.1</v>
      </c>
      <c r="E347" s="1">
        <v>131.30000000000001</v>
      </c>
      <c r="F347" s="1">
        <v>22.5</v>
      </c>
      <c r="G347" s="1">
        <f t="shared" si="6"/>
        <v>2</v>
      </c>
      <c r="Q347" s="4">
        <v>3</v>
      </c>
    </row>
    <row r="348" spans="1:17" x14ac:dyDescent="0.25">
      <c r="A348" s="1" t="s">
        <v>17</v>
      </c>
      <c r="B348" s="2" t="s">
        <v>15</v>
      </c>
      <c r="C348" s="3" t="s">
        <v>18</v>
      </c>
      <c r="D348" s="1">
        <v>155</v>
      </c>
      <c r="E348" s="1">
        <v>121.9</v>
      </c>
      <c r="F348" s="1">
        <v>22</v>
      </c>
      <c r="G348" s="1">
        <f t="shared" si="6"/>
        <v>2</v>
      </c>
      <c r="Q348" s="4">
        <v>1</v>
      </c>
    </row>
    <row r="349" spans="1:17" x14ac:dyDescent="0.25">
      <c r="A349" s="1" t="s">
        <v>9</v>
      </c>
      <c r="B349" s="2" t="s">
        <v>15</v>
      </c>
      <c r="C349" s="3" t="s">
        <v>18</v>
      </c>
      <c r="D349" s="1">
        <v>154.80000000000001</v>
      </c>
      <c r="E349" s="1">
        <v>111.2</v>
      </c>
      <c r="F349" s="1">
        <v>18.100000000000001</v>
      </c>
      <c r="G349" s="1">
        <f t="shared" si="6"/>
        <v>2</v>
      </c>
      <c r="Q349" s="4">
        <v>3</v>
      </c>
    </row>
    <row r="350" spans="1:17" x14ac:dyDescent="0.25">
      <c r="A350" s="1" t="s">
        <v>9</v>
      </c>
      <c r="B350" s="2" t="s">
        <v>15</v>
      </c>
      <c r="C350" s="3" t="s">
        <v>18</v>
      </c>
      <c r="D350" s="1">
        <v>154.5</v>
      </c>
      <c r="E350" s="1">
        <v>110.2</v>
      </c>
      <c r="F350" s="1">
        <v>19</v>
      </c>
      <c r="G350" s="1">
        <f t="shared" si="6"/>
        <v>2</v>
      </c>
      <c r="Q350" s="4">
        <v>1</v>
      </c>
    </row>
    <row r="351" spans="1:17" x14ac:dyDescent="0.25">
      <c r="A351" s="1" t="s">
        <v>12</v>
      </c>
      <c r="B351" s="2" t="s">
        <v>15</v>
      </c>
      <c r="C351" s="3" t="s">
        <v>18</v>
      </c>
      <c r="D351" s="1">
        <v>153.9</v>
      </c>
      <c r="E351" s="1">
        <v>115.7</v>
      </c>
      <c r="F351" s="1">
        <v>22</v>
      </c>
      <c r="G351" s="1">
        <f t="shared" si="6"/>
        <v>2</v>
      </c>
      <c r="Q351" s="4">
        <v>2</v>
      </c>
    </row>
    <row r="352" spans="1:17" x14ac:dyDescent="0.25">
      <c r="A352" s="1" t="s">
        <v>12</v>
      </c>
      <c r="B352" s="2" t="s">
        <v>15</v>
      </c>
      <c r="C352" s="3" t="s">
        <v>18</v>
      </c>
      <c r="D352" s="1">
        <v>153.80000000000001</v>
      </c>
      <c r="E352" s="1">
        <v>125.2</v>
      </c>
      <c r="F352" s="1">
        <v>20.7</v>
      </c>
      <c r="G352" s="1">
        <f t="shared" si="6"/>
        <v>2</v>
      </c>
      <c r="Q352" s="4">
        <v>2</v>
      </c>
    </row>
    <row r="353" spans="1:17" x14ac:dyDescent="0.25">
      <c r="A353" s="1" t="s">
        <v>12</v>
      </c>
      <c r="B353" s="2" t="s">
        <v>15</v>
      </c>
      <c r="C353" s="3" t="s">
        <v>18</v>
      </c>
      <c r="D353" s="1">
        <v>153.69999999999999</v>
      </c>
      <c r="E353" s="1">
        <v>122.8</v>
      </c>
      <c r="F353" s="1">
        <v>22.2</v>
      </c>
      <c r="G353" s="1">
        <f t="shared" si="6"/>
        <v>2</v>
      </c>
      <c r="Q353" s="4">
        <v>3</v>
      </c>
    </row>
    <row r="354" spans="1:17" x14ac:dyDescent="0.25">
      <c r="A354" s="1" t="s">
        <v>17</v>
      </c>
      <c r="B354" s="2" t="s">
        <v>15</v>
      </c>
      <c r="C354" s="3" t="s">
        <v>18</v>
      </c>
      <c r="D354" s="1">
        <v>151.9</v>
      </c>
      <c r="E354" s="1">
        <v>134.69999999999999</v>
      </c>
      <c r="F354" s="1">
        <v>21.4</v>
      </c>
      <c r="G354" s="1">
        <f t="shared" si="6"/>
        <v>2</v>
      </c>
      <c r="Q354" s="4">
        <v>2</v>
      </c>
    </row>
    <row r="355" spans="1:17" x14ac:dyDescent="0.25">
      <c r="A355" s="1" t="s">
        <v>13</v>
      </c>
      <c r="B355" s="2" t="s">
        <v>15</v>
      </c>
      <c r="C355" s="3" t="s">
        <v>18</v>
      </c>
      <c r="D355" s="1">
        <v>151.5</v>
      </c>
      <c r="E355" s="1">
        <v>122</v>
      </c>
      <c r="F355" s="1">
        <v>22.9</v>
      </c>
      <c r="G355" s="1">
        <f t="shared" si="6"/>
        <v>2</v>
      </c>
      <c r="Q355" s="4">
        <v>2</v>
      </c>
    </row>
    <row r="356" spans="1:17" x14ac:dyDescent="0.25">
      <c r="A356" s="1" t="s">
        <v>9</v>
      </c>
      <c r="B356" s="2" t="s">
        <v>15</v>
      </c>
      <c r="C356" s="3" t="s">
        <v>18</v>
      </c>
      <c r="D356" s="1">
        <v>151.19999999999999</v>
      </c>
      <c r="E356" s="1">
        <v>120.2</v>
      </c>
      <c r="F356" s="1">
        <v>21.9</v>
      </c>
      <c r="G356" s="1">
        <f t="shared" si="6"/>
        <v>2</v>
      </c>
      <c r="Q356" s="4">
        <v>3</v>
      </c>
    </row>
    <row r="357" spans="1:17" x14ac:dyDescent="0.25">
      <c r="A357" s="1" t="s">
        <v>9</v>
      </c>
      <c r="B357" s="2" t="s">
        <v>15</v>
      </c>
      <c r="C357" s="3" t="s">
        <v>18</v>
      </c>
      <c r="D357" s="1">
        <v>151</v>
      </c>
      <c r="E357" s="1">
        <v>116</v>
      </c>
      <c r="F357" s="1">
        <v>21.9</v>
      </c>
      <c r="G357" s="1">
        <f t="shared" si="6"/>
        <v>2</v>
      </c>
      <c r="Q357" s="4">
        <v>2</v>
      </c>
    </row>
    <row r="358" spans="1:17" x14ac:dyDescent="0.25">
      <c r="A358" s="1" t="s">
        <v>9</v>
      </c>
      <c r="B358" s="2" t="s">
        <v>15</v>
      </c>
      <c r="C358" s="3" t="s">
        <v>18</v>
      </c>
      <c r="D358" s="1">
        <v>150.80000000000001</v>
      </c>
      <c r="E358" s="1">
        <v>146.1</v>
      </c>
      <c r="F358" s="1">
        <v>18.3</v>
      </c>
      <c r="G358" s="1">
        <f t="shared" si="6"/>
        <v>2</v>
      </c>
      <c r="Q358" s="4">
        <v>2</v>
      </c>
    </row>
    <row r="359" spans="1:17" x14ac:dyDescent="0.25">
      <c r="A359" s="1" t="s">
        <v>9</v>
      </c>
      <c r="B359" s="2" t="s">
        <v>15</v>
      </c>
      <c r="C359" s="3" t="s">
        <v>18</v>
      </c>
      <c r="D359" s="1">
        <v>150.1</v>
      </c>
      <c r="E359" s="1">
        <v>141.6</v>
      </c>
      <c r="F359" s="1">
        <v>18.2</v>
      </c>
      <c r="G359" s="1">
        <f t="shared" si="6"/>
        <v>2</v>
      </c>
      <c r="Q359" s="4">
        <v>2</v>
      </c>
    </row>
    <row r="360" spans="1:17" x14ac:dyDescent="0.25">
      <c r="A360" s="1" t="s">
        <v>6</v>
      </c>
      <c r="B360" s="2" t="s">
        <v>15</v>
      </c>
      <c r="C360" s="3" t="s">
        <v>18</v>
      </c>
      <c r="D360" s="1">
        <v>149.80000000000001</v>
      </c>
      <c r="E360" s="1">
        <v>129.69999999999999</v>
      </c>
      <c r="F360" s="1">
        <v>19.8</v>
      </c>
      <c r="G360" s="1">
        <f t="shared" si="6"/>
        <v>2</v>
      </c>
      <c r="Q360" s="4">
        <v>2</v>
      </c>
    </row>
    <row r="361" spans="1:17" x14ac:dyDescent="0.25">
      <c r="A361" s="1" t="s">
        <v>9</v>
      </c>
      <c r="B361" s="2" t="s">
        <v>15</v>
      </c>
      <c r="C361" s="3" t="s">
        <v>18</v>
      </c>
      <c r="D361" s="1">
        <v>149.69999999999999</v>
      </c>
      <c r="E361" s="1">
        <v>134.1</v>
      </c>
      <c r="F361" s="1">
        <v>21.7</v>
      </c>
      <c r="G361" s="1">
        <f t="shared" si="6"/>
        <v>2</v>
      </c>
      <c r="Q361" s="4">
        <v>2</v>
      </c>
    </row>
    <row r="362" spans="1:17" x14ac:dyDescent="0.25">
      <c r="A362" s="1" t="s">
        <v>12</v>
      </c>
      <c r="B362" s="2" t="s">
        <v>15</v>
      </c>
      <c r="C362" s="3" t="s">
        <v>18</v>
      </c>
      <c r="D362" s="1">
        <v>149.4</v>
      </c>
      <c r="E362" s="1">
        <v>116.5</v>
      </c>
      <c r="F362" s="1">
        <v>22.2</v>
      </c>
      <c r="G362" s="1">
        <f t="shared" si="6"/>
        <v>2</v>
      </c>
      <c r="Q362" s="4">
        <v>3</v>
      </c>
    </row>
    <row r="363" spans="1:17" x14ac:dyDescent="0.25">
      <c r="A363" s="1" t="s">
        <v>12</v>
      </c>
      <c r="B363" s="2" t="s">
        <v>15</v>
      </c>
      <c r="C363" s="3" t="s">
        <v>18</v>
      </c>
      <c r="D363" s="1">
        <v>148.9</v>
      </c>
      <c r="E363" s="1">
        <v>108.8</v>
      </c>
      <c r="F363" s="1">
        <v>19.8</v>
      </c>
      <c r="G363" s="1">
        <f t="shared" si="6"/>
        <v>2</v>
      </c>
      <c r="Q363" s="4">
        <v>2</v>
      </c>
    </row>
    <row r="364" spans="1:17" x14ac:dyDescent="0.25">
      <c r="A364" s="1" t="s">
        <v>9</v>
      </c>
      <c r="B364" s="2" t="s">
        <v>15</v>
      </c>
      <c r="C364" s="3" t="s">
        <v>18</v>
      </c>
      <c r="D364" s="1">
        <v>148.80000000000001</v>
      </c>
      <c r="E364" s="1">
        <v>139.69999999999999</v>
      </c>
      <c r="F364" s="1">
        <v>18.600000000000001</v>
      </c>
      <c r="G364" s="1">
        <f t="shared" si="6"/>
        <v>2</v>
      </c>
      <c r="Q364" s="4">
        <v>3</v>
      </c>
    </row>
    <row r="365" spans="1:17" x14ac:dyDescent="0.25">
      <c r="A365" s="1" t="s">
        <v>12</v>
      </c>
      <c r="B365" s="2" t="s">
        <v>15</v>
      </c>
      <c r="C365" s="3" t="s">
        <v>18</v>
      </c>
      <c r="D365" s="1">
        <v>148.6</v>
      </c>
      <c r="E365" s="1">
        <v>118.5</v>
      </c>
      <c r="F365" s="1">
        <v>19.2</v>
      </c>
      <c r="G365" s="1">
        <f t="shared" si="6"/>
        <v>2</v>
      </c>
      <c r="Q365" s="4">
        <v>1</v>
      </c>
    </row>
    <row r="366" spans="1:17" x14ac:dyDescent="0.25">
      <c r="A366" s="1" t="s">
        <v>12</v>
      </c>
      <c r="B366" s="2" t="s">
        <v>15</v>
      </c>
      <c r="C366" s="3" t="s">
        <v>18</v>
      </c>
      <c r="D366" s="1">
        <v>148.5</v>
      </c>
      <c r="E366" s="1">
        <v>137.19999999999999</v>
      </c>
      <c r="F366" s="1">
        <v>20.8</v>
      </c>
      <c r="G366" s="1">
        <f t="shared" si="6"/>
        <v>2</v>
      </c>
      <c r="Q366" s="4">
        <v>2</v>
      </c>
    </row>
    <row r="367" spans="1:17" x14ac:dyDescent="0.25">
      <c r="A367" s="1" t="s">
        <v>13</v>
      </c>
      <c r="B367" s="2" t="s">
        <v>15</v>
      </c>
      <c r="C367" s="3" t="s">
        <v>18</v>
      </c>
      <c r="D367" s="1">
        <v>148.5</v>
      </c>
      <c r="E367" s="1">
        <v>125.3</v>
      </c>
      <c r="F367" s="1">
        <v>20.100000000000001</v>
      </c>
      <c r="G367" s="1">
        <f t="shared" si="6"/>
        <v>2</v>
      </c>
      <c r="Q367" s="4">
        <v>2</v>
      </c>
    </row>
    <row r="368" spans="1:17" x14ac:dyDescent="0.25">
      <c r="A368" s="1" t="s">
        <v>9</v>
      </c>
      <c r="B368" s="2" t="s">
        <v>15</v>
      </c>
      <c r="C368" s="3" t="s">
        <v>18</v>
      </c>
      <c r="D368" s="1">
        <v>148.30000000000001</v>
      </c>
      <c r="E368" s="1">
        <v>118.1</v>
      </c>
      <c r="F368" s="1">
        <v>21.1</v>
      </c>
      <c r="G368" s="1">
        <f t="shared" si="6"/>
        <v>2</v>
      </c>
      <c r="Q368" s="4">
        <v>2</v>
      </c>
    </row>
    <row r="369" spans="1:17" x14ac:dyDescent="0.25">
      <c r="A369" s="1" t="s">
        <v>13</v>
      </c>
      <c r="B369" s="2" t="s">
        <v>15</v>
      </c>
      <c r="C369" s="3" t="s">
        <v>18</v>
      </c>
      <c r="D369" s="1">
        <v>148</v>
      </c>
      <c r="E369" s="1">
        <v>131.4</v>
      </c>
      <c r="F369" s="1">
        <v>19.3</v>
      </c>
      <c r="G369" s="1">
        <f t="shared" si="6"/>
        <v>2</v>
      </c>
      <c r="Q369" s="4">
        <v>2</v>
      </c>
    </row>
    <row r="370" spans="1:17" x14ac:dyDescent="0.25">
      <c r="A370" s="1" t="s">
        <v>6</v>
      </c>
      <c r="B370" s="2" t="s">
        <v>15</v>
      </c>
      <c r="C370" s="3" t="s">
        <v>18</v>
      </c>
      <c r="D370" s="1">
        <v>148</v>
      </c>
      <c r="E370" s="1">
        <v>130.9</v>
      </c>
      <c r="F370" s="1">
        <v>18.399999999999999</v>
      </c>
      <c r="G370" s="1">
        <f t="shared" si="6"/>
        <v>2</v>
      </c>
      <c r="Q370" s="4">
        <v>2</v>
      </c>
    </row>
    <row r="371" spans="1:17" x14ac:dyDescent="0.25">
      <c r="A371" s="1" t="s">
        <v>9</v>
      </c>
      <c r="B371" s="2" t="s">
        <v>15</v>
      </c>
      <c r="C371" s="3" t="s">
        <v>18</v>
      </c>
      <c r="D371" s="1">
        <v>147.4</v>
      </c>
      <c r="E371" s="1">
        <v>133.4</v>
      </c>
      <c r="F371" s="1">
        <v>19.399999999999999</v>
      </c>
      <c r="G371" s="1">
        <f t="shared" si="6"/>
        <v>2</v>
      </c>
      <c r="Q371" s="4">
        <v>2</v>
      </c>
    </row>
    <row r="372" spans="1:17" x14ac:dyDescent="0.25">
      <c r="A372" s="1" t="s">
        <v>9</v>
      </c>
      <c r="B372" s="2" t="s">
        <v>15</v>
      </c>
      <c r="C372" s="3" t="s">
        <v>18</v>
      </c>
      <c r="D372" s="1">
        <v>146.6</v>
      </c>
      <c r="E372" s="1">
        <v>133.1</v>
      </c>
      <c r="F372" s="1">
        <v>22.5</v>
      </c>
      <c r="G372" s="1">
        <f t="shared" si="6"/>
        <v>2</v>
      </c>
      <c r="Q372" s="4">
        <v>2</v>
      </c>
    </row>
    <row r="373" spans="1:17" x14ac:dyDescent="0.25">
      <c r="A373" s="1" t="s">
        <v>9</v>
      </c>
      <c r="B373" s="2" t="s">
        <v>15</v>
      </c>
      <c r="C373" s="3" t="s">
        <v>18</v>
      </c>
      <c r="D373" s="1">
        <v>146.6</v>
      </c>
      <c r="E373" s="1">
        <v>123.2</v>
      </c>
      <c r="F373" s="1">
        <v>22</v>
      </c>
      <c r="G373" s="1">
        <f t="shared" si="6"/>
        <v>2</v>
      </c>
      <c r="Q373" s="4">
        <v>2</v>
      </c>
    </row>
    <row r="374" spans="1:17" x14ac:dyDescent="0.25">
      <c r="A374" s="1" t="s">
        <v>9</v>
      </c>
      <c r="B374" s="2" t="s">
        <v>15</v>
      </c>
      <c r="C374" s="3" t="s">
        <v>18</v>
      </c>
      <c r="D374" s="1">
        <v>144.80000000000001</v>
      </c>
      <c r="E374" s="1">
        <v>129</v>
      </c>
      <c r="F374" s="1">
        <v>21.5</v>
      </c>
      <c r="G374" s="1">
        <f t="shared" si="6"/>
        <v>2</v>
      </c>
      <c r="Q374" s="4">
        <v>2</v>
      </c>
    </row>
    <row r="375" spans="1:17" x14ac:dyDescent="0.25">
      <c r="A375" s="1" t="s">
        <v>9</v>
      </c>
      <c r="B375" s="2" t="s">
        <v>15</v>
      </c>
      <c r="C375" s="3" t="s">
        <v>18</v>
      </c>
      <c r="D375" s="1">
        <v>144.30000000000001</v>
      </c>
      <c r="E375" s="1">
        <v>125.3</v>
      </c>
      <c r="F375" s="1">
        <v>18.8</v>
      </c>
      <c r="G375" s="1">
        <f t="shared" si="6"/>
        <v>2</v>
      </c>
      <c r="Q375" s="4">
        <v>2</v>
      </c>
    </row>
    <row r="376" spans="1:17" x14ac:dyDescent="0.25">
      <c r="A376" s="1" t="s">
        <v>6</v>
      </c>
      <c r="B376" s="2" t="s">
        <v>15</v>
      </c>
      <c r="C376" s="3" t="s">
        <v>18</v>
      </c>
      <c r="D376" s="1">
        <v>143.80000000000001</v>
      </c>
      <c r="E376" s="1">
        <v>144.4</v>
      </c>
      <c r="F376" s="1">
        <v>19.2</v>
      </c>
      <c r="G376" s="1">
        <f t="shared" si="6"/>
        <v>2</v>
      </c>
      <c r="Q376" s="4">
        <v>1</v>
      </c>
    </row>
    <row r="377" spans="1:17" x14ac:dyDescent="0.25">
      <c r="A377" s="1" t="s">
        <v>17</v>
      </c>
      <c r="B377" s="2" t="s">
        <v>15</v>
      </c>
      <c r="C377" s="3" t="s">
        <v>18</v>
      </c>
      <c r="D377" s="1">
        <v>143.69999999999999</v>
      </c>
      <c r="E377" s="1">
        <v>132.9</v>
      </c>
      <c r="F377" s="1">
        <v>18.8</v>
      </c>
      <c r="G377" s="1">
        <f t="shared" si="6"/>
        <v>2</v>
      </c>
      <c r="Q377" s="4">
        <v>2</v>
      </c>
    </row>
    <row r="378" spans="1:17" x14ac:dyDescent="0.25">
      <c r="A378" s="1" t="s">
        <v>9</v>
      </c>
      <c r="B378" s="2" t="s">
        <v>15</v>
      </c>
      <c r="C378" s="3" t="s">
        <v>18</v>
      </c>
      <c r="D378" s="1">
        <v>143.4</v>
      </c>
      <c r="E378" s="1">
        <v>136.80000000000001</v>
      </c>
      <c r="F378" s="1">
        <v>19.600000000000001</v>
      </c>
      <c r="G378" s="1">
        <f t="shared" si="6"/>
        <v>2</v>
      </c>
      <c r="Q378" s="4">
        <v>2</v>
      </c>
    </row>
    <row r="379" spans="1:17" x14ac:dyDescent="0.25">
      <c r="A379" s="1" t="s">
        <v>12</v>
      </c>
      <c r="B379" s="2" t="s">
        <v>15</v>
      </c>
      <c r="C379" s="3" t="s">
        <v>18</v>
      </c>
      <c r="D379" s="1">
        <v>142.80000000000001</v>
      </c>
      <c r="E379" s="1">
        <v>156.5</v>
      </c>
      <c r="F379" s="1">
        <v>22.2</v>
      </c>
      <c r="G379" s="1">
        <f t="shared" si="6"/>
        <v>2</v>
      </c>
      <c r="Q379" s="4">
        <v>2</v>
      </c>
    </row>
    <row r="380" spans="1:17" x14ac:dyDescent="0.25">
      <c r="A380" s="1" t="s">
        <v>9</v>
      </c>
      <c r="B380" s="2" t="s">
        <v>15</v>
      </c>
      <c r="C380" s="3" t="s">
        <v>18</v>
      </c>
      <c r="D380" s="1">
        <v>141.30000000000001</v>
      </c>
      <c r="E380" s="1">
        <v>134.19999999999999</v>
      </c>
      <c r="F380" s="1">
        <v>21.8</v>
      </c>
      <c r="G380" s="1">
        <f t="shared" si="6"/>
        <v>2</v>
      </c>
      <c r="Q380" s="4">
        <v>2</v>
      </c>
    </row>
    <row r="381" spans="1:17" x14ac:dyDescent="0.25">
      <c r="A381" s="1" t="s">
        <v>12</v>
      </c>
      <c r="B381" s="2" t="s">
        <v>15</v>
      </c>
      <c r="C381" s="3" t="s">
        <v>18</v>
      </c>
      <c r="D381" s="1">
        <v>141.19999999999999</v>
      </c>
      <c r="E381" s="1">
        <v>143.1</v>
      </c>
      <c r="F381" s="1">
        <v>18.8</v>
      </c>
      <c r="G381" s="1">
        <f t="shared" si="6"/>
        <v>2</v>
      </c>
      <c r="Q381" s="4">
        <v>1</v>
      </c>
    </row>
    <row r="382" spans="1:17" x14ac:dyDescent="0.25">
      <c r="A382" s="1" t="s">
        <v>9</v>
      </c>
      <c r="B382" s="2" t="s">
        <v>15</v>
      </c>
      <c r="C382" s="3" t="s">
        <v>18</v>
      </c>
      <c r="D382" s="1">
        <v>140.5</v>
      </c>
      <c r="E382" s="1">
        <v>125</v>
      </c>
      <c r="F382" s="1">
        <v>19.899999999999999</v>
      </c>
      <c r="G382" s="1">
        <f t="shared" si="6"/>
        <v>2</v>
      </c>
      <c r="Q382" s="4">
        <v>2</v>
      </c>
    </row>
    <row r="383" spans="1:17" x14ac:dyDescent="0.25">
      <c r="A383" s="1" t="s">
        <v>12</v>
      </c>
      <c r="B383" s="2" t="s">
        <v>15</v>
      </c>
      <c r="C383" s="3" t="s">
        <v>18</v>
      </c>
      <c r="D383" s="1">
        <v>139.9</v>
      </c>
      <c r="E383" s="1">
        <v>132.1</v>
      </c>
      <c r="F383" s="1">
        <v>22.9</v>
      </c>
      <c r="G383" s="1">
        <f t="shared" si="6"/>
        <v>2</v>
      </c>
      <c r="Q383" s="4">
        <v>2</v>
      </c>
    </row>
    <row r="384" spans="1:17" x14ac:dyDescent="0.25">
      <c r="A384" s="1" t="s">
        <v>17</v>
      </c>
      <c r="B384" s="2" t="s">
        <v>15</v>
      </c>
      <c r="C384" s="3" t="s">
        <v>18</v>
      </c>
      <c r="D384" s="1">
        <v>139.5</v>
      </c>
      <c r="E384" s="1">
        <v>128.80000000000001</v>
      </c>
      <c r="F384" s="1">
        <v>18.899999999999999</v>
      </c>
      <c r="G384" s="1">
        <f t="shared" si="6"/>
        <v>2</v>
      </c>
      <c r="Q384" s="4">
        <v>1</v>
      </c>
    </row>
    <row r="385" spans="1:17" x14ac:dyDescent="0.25">
      <c r="A385" s="1" t="s">
        <v>13</v>
      </c>
      <c r="B385" s="2" t="s">
        <v>15</v>
      </c>
      <c r="C385" s="3" t="s">
        <v>18</v>
      </c>
      <c r="D385" s="1">
        <v>137.1</v>
      </c>
      <c r="E385" s="1">
        <v>134.4</v>
      </c>
      <c r="F385" s="1">
        <v>19.600000000000001</v>
      </c>
      <c r="G385" s="1">
        <f t="shared" si="6"/>
        <v>2</v>
      </c>
      <c r="Q385" s="4">
        <v>2</v>
      </c>
    </row>
    <row r="386" spans="1:17" x14ac:dyDescent="0.25">
      <c r="A386" s="1" t="s">
        <v>12</v>
      </c>
      <c r="B386" s="2" t="s">
        <v>15</v>
      </c>
      <c r="C386" s="3" t="s">
        <v>18</v>
      </c>
      <c r="D386" s="1">
        <v>135.69999999999999</v>
      </c>
      <c r="E386" s="1">
        <v>137.30000000000001</v>
      </c>
      <c r="F386" s="1">
        <v>18.600000000000001</v>
      </c>
      <c r="G386" s="1">
        <f t="shared" ref="G386:G391" si="7">IF(C386="alto",1,IF(C386="medio",2,3))</f>
        <v>2</v>
      </c>
      <c r="Q386" s="4">
        <v>1</v>
      </c>
    </row>
    <row r="387" spans="1:17" x14ac:dyDescent="0.25">
      <c r="A387" s="1" t="s">
        <v>12</v>
      </c>
      <c r="B387" s="2" t="s">
        <v>15</v>
      </c>
      <c r="C387" s="3" t="s">
        <v>18</v>
      </c>
      <c r="D387" s="1">
        <v>135.5</v>
      </c>
      <c r="E387" s="1">
        <v>119</v>
      </c>
      <c r="F387" s="1">
        <v>19.5</v>
      </c>
      <c r="G387" s="1">
        <f t="shared" si="7"/>
        <v>2</v>
      </c>
      <c r="Q387" s="4">
        <v>1</v>
      </c>
    </row>
    <row r="388" spans="1:17" x14ac:dyDescent="0.25">
      <c r="A388" s="1" t="s">
        <v>9</v>
      </c>
      <c r="B388" s="2" t="s">
        <v>15</v>
      </c>
      <c r="C388" s="3" t="s">
        <v>18</v>
      </c>
      <c r="D388" s="1">
        <v>135</v>
      </c>
      <c r="E388" s="1">
        <v>137.9</v>
      </c>
      <c r="F388" s="1">
        <v>20.5</v>
      </c>
      <c r="G388" s="1">
        <f t="shared" si="7"/>
        <v>2</v>
      </c>
      <c r="Q388" s="4">
        <v>2</v>
      </c>
    </row>
    <row r="389" spans="1:17" x14ac:dyDescent="0.25">
      <c r="A389" s="1" t="s">
        <v>12</v>
      </c>
      <c r="B389" s="2" t="s">
        <v>15</v>
      </c>
      <c r="C389" s="3" t="s">
        <v>18</v>
      </c>
      <c r="D389" s="1">
        <v>134.6</v>
      </c>
      <c r="E389" s="1">
        <v>127</v>
      </c>
      <c r="F389" s="1">
        <v>20.7</v>
      </c>
      <c r="G389" s="1">
        <f t="shared" si="7"/>
        <v>2</v>
      </c>
      <c r="Q389" s="4">
        <v>2</v>
      </c>
    </row>
    <row r="390" spans="1:17" x14ac:dyDescent="0.25">
      <c r="A390" s="1" t="s">
        <v>12</v>
      </c>
      <c r="B390" s="2" t="s">
        <v>15</v>
      </c>
      <c r="C390" s="3" t="s">
        <v>18</v>
      </c>
      <c r="D390" s="1">
        <v>132</v>
      </c>
      <c r="E390" s="1">
        <v>121.7</v>
      </c>
      <c r="F390" s="1">
        <v>19.600000000000001</v>
      </c>
      <c r="G390" s="1">
        <f t="shared" si="7"/>
        <v>2</v>
      </c>
      <c r="Q390" s="4">
        <v>2</v>
      </c>
    </row>
    <row r="391" spans="1:17" x14ac:dyDescent="0.25">
      <c r="A391" s="1" t="s">
        <v>12</v>
      </c>
      <c r="B391" s="2" t="s">
        <v>15</v>
      </c>
      <c r="C391" s="3" t="s">
        <v>18</v>
      </c>
      <c r="D391" s="1">
        <v>127.9</v>
      </c>
      <c r="E391" s="1">
        <v>135.5</v>
      </c>
      <c r="F391" s="1">
        <v>20.100000000000001</v>
      </c>
      <c r="G391" s="1">
        <f t="shared" si="7"/>
        <v>2</v>
      </c>
      <c r="Q391" s="4">
        <v>1</v>
      </c>
    </row>
    <row r="392" spans="1:17" x14ac:dyDescent="0.25">
      <c r="Q392" s="4">
        <v>2</v>
      </c>
    </row>
    <row r="393" spans="1:17" x14ac:dyDescent="0.25">
      <c r="Q393" s="4">
        <v>1</v>
      </c>
    </row>
    <row r="394" spans="1:17" x14ac:dyDescent="0.25">
      <c r="Q394" s="4">
        <v>1</v>
      </c>
    </row>
    <row r="395" spans="1:17" x14ac:dyDescent="0.25">
      <c r="Q395" s="4">
        <v>2</v>
      </c>
    </row>
    <row r="396" spans="1:17" x14ac:dyDescent="0.25">
      <c r="Q396" s="4">
        <v>2</v>
      </c>
    </row>
    <row r="397" spans="1:17" x14ac:dyDescent="0.25">
      <c r="Q397" s="4">
        <v>3</v>
      </c>
    </row>
    <row r="398" spans="1:17" x14ac:dyDescent="0.25">
      <c r="Q398" s="4">
        <v>2</v>
      </c>
    </row>
    <row r="399" spans="1:17" x14ac:dyDescent="0.25">
      <c r="Q399" s="4">
        <v>3</v>
      </c>
    </row>
    <row r="400" spans="1:17" x14ac:dyDescent="0.25">
      <c r="Q400" s="4">
        <v>3</v>
      </c>
    </row>
    <row r="401" spans="17:17" x14ac:dyDescent="0.25">
      <c r="Q401" s="4">
        <v>2</v>
      </c>
    </row>
    <row r="402" spans="17:17" x14ac:dyDescent="0.25">
      <c r="Q402" s="4">
        <v>3</v>
      </c>
    </row>
    <row r="403" spans="17:17" x14ac:dyDescent="0.25">
      <c r="Q403" s="4">
        <v>2</v>
      </c>
    </row>
    <row r="404" spans="17:17" x14ac:dyDescent="0.25">
      <c r="Q404" s="4">
        <v>2</v>
      </c>
    </row>
    <row r="405" spans="17:17" x14ac:dyDescent="0.25">
      <c r="Q405" s="4">
        <v>1</v>
      </c>
    </row>
    <row r="406" spans="17:17" x14ac:dyDescent="0.25">
      <c r="Q406" s="4">
        <v>3</v>
      </c>
    </row>
    <row r="407" spans="17:17" x14ac:dyDescent="0.25">
      <c r="Q407" s="4">
        <v>1</v>
      </c>
    </row>
    <row r="408" spans="17:17" x14ac:dyDescent="0.25">
      <c r="Q408" s="4">
        <v>2</v>
      </c>
    </row>
    <row r="409" spans="17:17" x14ac:dyDescent="0.25">
      <c r="Q409" s="4">
        <v>2</v>
      </c>
    </row>
    <row r="410" spans="17:17" x14ac:dyDescent="0.25">
      <c r="Q410" s="4">
        <v>3</v>
      </c>
    </row>
    <row r="411" spans="17:17" x14ac:dyDescent="0.25">
      <c r="Q411" s="4">
        <v>2</v>
      </c>
    </row>
    <row r="412" spans="17:17" x14ac:dyDescent="0.25">
      <c r="Q412" s="4">
        <v>1</v>
      </c>
    </row>
    <row r="413" spans="17:17" x14ac:dyDescent="0.25">
      <c r="Q413" s="4">
        <v>3</v>
      </c>
    </row>
    <row r="414" spans="17:17" x14ac:dyDescent="0.25">
      <c r="Q414" s="4">
        <v>2</v>
      </c>
    </row>
    <row r="415" spans="17:17" x14ac:dyDescent="0.25">
      <c r="Q415" s="4">
        <v>1</v>
      </c>
    </row>
    <row r="416" spans="17:17" x14ac:dyDescent="0.25">
      <c r="Q416" s="4">
        <v>1</v>
      </c>
    </row>
    <row r="417" spans="17:17" x14ac:dyDescent="0.25">
      <c r="Q417" s="4">
        <v>3</v>
      </c>
    </row>
    <row r="418" spans="17:17" x14ac:dyDescent="0.25">
      <c r="Q418" s="4">
        <v>2</v>
      </c>
    </row>
    <row r="419" spans="17:17" x14ac:dyDescent="0.25">
      <c r="Q419" s="4">
        <v>2</v>
      </c>
    </row>
    <row r="420" spans="17:17" x14ac:dyDescent="0.25">
      <c r="Q420" s="4">
        <v>1</v>
      </c>
    </row>
    <row r="421" spans="17:17" x14ac:dyDescent="0.25">
      <c r="Q421" s="4">
        <v>2</v>
      </c>
    </row>
    <row r="422" spans="17:17" x14ac:dyDescent="0.25">
      <c r="Q422" s="4">
        <v>2</v>
      </c>
    </row>
    <row r="423" spans="17:17" x14ac:dyDescent="0.25">
      <c r="Q423" s="4">
        <v>2</v>
      </c>
    </row>
    <row r="424" spans="17:17" x14ac:dyDescent="0.25">
      <c r="Q424" s="4">
        <v>2</v>
      </c>
    </row>
    <row r="425" spans="17:17" x14ac:dyDescent="0.25">
      <c r="Q425" s="4">
        <v>3</v>
      </c>
    </row>
    <row r="426" spans="17:17" x14ac:dyDescent="0.25">
      <c r="Q426" s="4">
        <v>1</v>
      </c>
    </row>
    <row r="427" spans="17:17" x14ac:dyDescent="0.25">
      <c r="Q427" s="4">
        <v>2</v>
      </c>
    </row>
    <row r="428" spans="17:17" x14ac:dyDescent="0.25">
      <c r="Q428" s="4">
        <v>2</v>
      </c>
    </row>
    <row r="429" spans="17:17" x14ac:dyDescent="0.25">
      <c r="Q429" s="4">
        <v>3</v>
      </c>
    </row>
    <row r="430" spans="17:17" x14ac:dyDescent="0.25">
      <c r="Q430" s="4">
        <v>3</v>
      </c>
    </row>
    <row r="431" spans="17:17" x14ac:dyDescent="0.25">
      <c r="Q431" s="4">
        <v>2</v>
      </c>
    </row>
    <row r="432" spans="17:17" x14ac:dyDescent="0.25">
      <c r="Q432" s="4">
        <v>2</v>
      </c>
    </row>
    <row r="433" spans="17:17" x14ac:dyDescent="0.25">
      <c r="Q433" s="4">
        <v>3</v>
      </c>
    </row>
    <row r="434" spans="17:17" x14ac:dyDescent="0.25">
      <c r="Q434" s="4">
        <v>1</v>
      </c>
    </row>
    <row r="435" spans="17:17" x14ac:dyDescent="0.25">
      <c r="Q435" s="4">
        <v>2</v>
      </c>
    </row>
    <row r="436" spans="17:17" x14ac:dyDescent="0.25">
      <c r="Q436" s="4">
        <v>2</v>
      </c>
    </row>
    <row r="437" spans="17:17" x14ac:dyDescent="0.25">
      <c r="Q437" s="4">
        <v>2</v>
      </c>
    </row>
    <row r="438" spans="17:17" x14ac:dyDescent="0.25">
      <c r="Q438" s="4">
        <v>2</v>
      </c>
    </row>
    <row r="439" spans="17:17" x14ac:dyDescent="0.25">
      <c r="Q439" s="4">
        <v>2</v>
      </c>
    </row>
    <row r="440" spans="17:17" x14ac:dyDescent="0.25">
      <c r="Q440" s="4">
        <v>2</v>
      </c>
    </row>
    <row r="441" spans="17:17" x14ac:dyDescent="0.25">
      <c r="Q441" s="4">
        <v>2</v>
      </c>
    </row>
    <row r="442" spans="17:17" x14ac:dyDescent="0.25">
      <c r="Q442" s="4">
        <v>1</v>
      </c>
    </row>
    <row r="443" spans="17:17" x14ac:dyDescent="0.25">
      <c r="Q443" s="4">
        <v>2</v>
      </c>
    </row>
    <row r="444" spans="17:17" x14ac:dyDescent="0.25">
      <c r="Q444" s="4">
        <v>1</v>
      </c>
    </row>
    <row r="445" spans="17:17" x14ac:dyDescent="0.25">
      <c r="Q445" s="4">
        <v>1</v>
      </c>
    </row>
    <row r="446" spans="17:17" x14ac:dyDescent="0.25">
      <c r="Q446" s="4">
        <v>3</v>
      </c>
    </row>
    <row r="447" spans="17:17" x14ac:dyDescent="0.25">
      <c r="Q447" s="4">
        <v>2</v>
      </c>
    </row>
    <row r="448" spans="17:17" x14ac:dyDescent="0.25">
      <c r="Q448" s="4">
        <v>2</v>
      </c>
    </row>
    <row r="449" spans="17:17" x14ac:dyDescent="0.25">
      <c r="Q449" s="4">
        <v>2</v>
      </c>
    </row>
    <row r="450" spans="17:17" x14ac:dyDescent="0.25">
      <c r="Q450" s="4">
        <v>2</v>
      </c>
    </row>
    <row r="451" spans="17:17" x14ac:dyDescent="0.25">
      <c r="Q451" s="4">
        <v>2</v>
      </c>
    </row>
    <row r="452" spans="17:17" x14ac:dyDescent="0.25">
      <c r="Q452" s="4">
        <v>3</v>
      </c>
    </row>
    <row r="453" spans="17:17" x14ac:dyDescent="0.25">
      <c r="Q453" s="4">
        <v>1</v>
      </c>
    </row>
    <row r="454" spans="17:17" x14ac:dyDescent="0.25">
      <c r="Q454" s="4">
        <v>2</v>
      </c>
    </row>
    <row r="455" spans="17:17" x14ac:dyDescent="0.25">
      <c r="Q455" s="4">
        <v>1</v>
      </c>
    </row>
    <row r="456" spans="17:17" x14ac:dyDescent="0.25">
      <c r="Q456" s="4">
        <v>2</v>
      </c>
    </row>
    <row r="457" spans="17:17" x14ac:dyDescent="0.25">
      <c r="Q457" s="4">
        <v>2</v>
      </c>
    </row>
    <row r="458" spans="17:17" x14ac:dyDescent="0.25">
      <c r="Q458" s="4">
        <v>2</v>
      </c>
    </row>
    <row r="459" spans="17:17" x14ac:dyDescent="0.25">
      <c r="Q459" s="4">
        <v>2</v>
      </c>
    </row>
    <row r="460" spans="17:17" x14ac:dyDescent="0.25">
      <c r="Q460" s="4">
        <v>2</v>
      </c>
    </row>
    <row r="461" spans="17:17" x14ac:dyDescent="0.25">
      <c r="Q461" s="4">
        <v>1</v>
      </c>
    </row>
    <row r="462" spans="17:17" x14ac:dyDescent="0.25">
      <c r="Q462" s="4">
        <v>2</v>
      </c>
    </row>
    <row r="463" spans="17:17" x14ac:dyDescent="0.25">
      <c r="Q463" s="4">
        <v>2</v>
      </c>
    </row>
    <row r="464" spans="17:17" x14ac:dyDescent="0.25">
      <c r="Q464" s="4">
        <v>1</v>
      </c>
    </row>
    <row r="465" spans="17:17" x14ac:dyDescent="0.25">
      <c r="Q465" s="4">
        <v>2</v>
      </c>
    </row>
    <row r="466" spans="17:17" x14ac:dyDescent="0.25">
      <c r="Q466" s="4">
        <v>2</v>
      </c>
    </row>
    <row r="467" spans="17:17" x14ac:dyDescent="0.25">
      <c r="Q467" s="4">
        <v>3</v>
      </c>
    </row>
    <row r="468" spans="17:17" x14ac:dyDescent="0.25">
      <c r="Q468" s="4">
        <v>1</v>
      </c>
    </row>
    <row r="469" spans="17:17" x14ac:dyDescent="0.25">
      <c r="Q469" s="4">
        <v>3</v>
      </c>
    </row>
    <row r="470" spans="17:17" x14ac:dyDescent="0.25">
      <c r="Q470" s="4">
        <v>2</v>
      </c>
    </row>
    <row r="471" spans="17:17" x14ac:dyDescent="0.25">
      <c r="Q471" s="4">
        <v>3</v>
      </c>
    </row>
    <row r="472" spans="17:17" x14ac:dyDescent="0.25">
      <c r="Q472" s="4">
        <v>2</v>
      </c>
    </row>
    <row r="473" spans="17:17" x14ac:dyDescent="0.25">
      <c r="Q473" s="4">
        <v>2</v>
      </c>
    </row>
    <row r="474" spans="17:17" x14ac:dyDescent="0.25">
      <c r="Q474" s="4">
        <v>2</v>
      </c>
    </row>
    <row r="475" spans="17:17" x14ac:dyDescent="0.25">
      <c r="Q475" s="4">
        <v>1</v>
      </c>
    </row>
    <row r="476" spans="17:17" x14ac:dyDescent="0.25">
      <c r="Q476" s="4">
        <v>3</v>
      </c>
    </row>
    <row r="477" spans="17:17" x14ac:dyDescent="0.25">
      <c r="Q477" s="4">
        <v>2</v>
      </c>
    </row>
    <row r="478" spans="17:17" x14ac:dyDescent="0.25">
      <c r="Q478" s="4">
        <v>2</v>
      </c>
    </row>
    <row r="479" spans="17:17" x14ac:dyDescent="0.25">
      <c r="Q479" s="4">
        <v>2</v>
      </c>
    </row>
    <row r="480" spans="17:17" x14ac:dyDescent="0.25">
      <c r="Q480" s="4">
        <v>2</v>
      </c>
    </row>
    <row r="481" spans="17:17" x14ac:dyDescent="0.25">
      <c r="Q481" s="4">
        <v>3</v>
      </c>
    </row>
    <row r="482" spans="17:17" x14ac:dyDescent="0.25">
      <c r="Q482" s="4">
        <v>2</v>
      </c>
    </row>
    <row r="483" spans="17:17" x14ac:dyDescent="0.25">
      <c r="Q483" s="4">
        <v>2</v>
      </c>
    </row>
    <row r="484" spans="17:17" x14ac:dyDescent="0.25">
      <c r="Q484" s="4">
        <v>1</v>
      </c>
    </row>
    <row r="485" spans="17:17" x14ac:dyDescent="0.25">
      <c r="Q485" s="4">
        <v>3</v>
      </c>
    </row>
    <row r="486" spans="17:17" x14ac:dyDescent="0.25">
      <c r="Q486" s="4">
        <v>2</v>
      </c>
    </row>
    <row r="487" spans="17:17" x14ac:dyDescent="0.25">
      <c r="Q487" s="4">
        <v>3</v>
      </c>
    </row>
    <row r="488" spans="17:17" x14ac:dyDescent="0.25">
      <c r="Q488" s="4">
        <v>2</v>
      </c>
    </row>
    <row r="489" spans="17:17" x14ac:dyDescent="0.25">
      <c r="Q489" s="4">
        <v>2</v>
      </c>
    </row>
    <row r="490" spans="17:17" x14ac:dyDescent="0.25">
      <c r="Q490" s="4">
        <v>2</v>
      </c>
    </row>
    <row r="491" spans="17:17" x14ac:dyDescent="0.25">
      <c r="Q491" s="4">
        <v>2</v>
      </c>
    </row>
    <row r="492" spans="17:17" x14ac:dyDescent="0.25">
      <c r="Q492" s="4">
        <v>1</v>
      </c>
    </row>
    <row r="493" spans="17:17" x14ac:dyDescent="0.25">
      <c r="Q493" s="4">
        <v>2</v>
      </c>
    </row>
    <row r="494" spans="17:17" x14ac:dyDescent="0.25">
      <c r="Q494" s="4">
        <v>2</v>
      </c>
    </row>
    <row r="495" spans="17:17" x14ac:dyDescent="0.25">
      <c r="Q495" s="4">
        <v>2</v>
      </c>
    </row>
    <row r="496" spans="17:17" x14ac:dyDescent="0.25">
      <c r="Q496" s="4">
        <v>2</v>
      </c>
    </row>
    <row r="497" spans="17:17" x14ac:dyDescent="0.25">
      <c r="Q497" s="4">
        <v>1</v>
      </c>
    </row>
    <row r="498" spans="17:17" x14ac:dyDescent="0.25">
      <c r="Q498" s="4">
        <v>3</v>
      </c>
    </row>
    <row r="499" spans="17:17" x14ac:dyDescent="0.25">
      <c r="Q499" s="4">
        <v>1</v>
      </c>
    </row>
    <row r="500" spans="17:17" x14ac:dyDescent="0.25">
      <c r="Q500" s="4">
        <v>3</v>
      </c>
    </row>
    <row r="501" spans="17:17" x14ac:dyDescent="0.25">
      <c r="Q501" s="4">
        <v>2</v>
      </c>
    </row>
    <row r="502" spans="17:17" x14ac:dyDescent="0.25">
      <c r="Q502" s="4">
        <v>2</v>
      </c>
    </row>
    <row r="503" spans="17:17" x14ac:dyDescent="0.25">
      <c r="Q503" s="4">
        <v>3</v>
      </c>
    </row>
    <row r="504" spans="17:17" x14ac:dyDescent="0.25">
      <c r="Q504" s="4">
        <v>3</v>
      </c>
    </row>
    <row r="505" spans="17:17" x14ac:dyDescent="0.25">
      <c r="Q505" s="4">
        <v>2</v>
      </c>
    </row>
    <row r="506" spans="17:17" x14ac:dyDescent="0.25">
      <c r="Q506" s="4">
        <v>2</v>
      </c>
    </row>
    <row r="507" spans="17:17" x14ac:dyDescent="0.25">
      <c r="Q507" s="4">
        <v>3</v>
      </c>
    </row>
    <row r="508" spans="17:17" x14ac:dyDescent="0.25">
      <c r="Q508" s="4">
        <v>1</v>
      </c>
    </row>
    <row r="509" spans="17:17" x14ac:dyDescent="0.25">
      <c r="Q509" s="4">
        <v>2</v>
      </c>
    </row>
    <row r="510" spans="17:17" x14ac:dyDescent="0.25">
      <c r="Q510" s="4">
        <v>2</v>
      </c>
    </row>
    <row r="511" spans="17:17" x14ac:dyDescent="0.25">
      <c r="Q511" s="4">
        <v>1</v>
      </c>
    </row>
    <row r="512" spans="17:17" x14ac:dyDescent="0.25">
      <c r="Q512" s="4">
        <v>3</v>
      </c>
    </row>
    <row r="513" spans="17:17" x14ac:dyDescent="0.25">
      <c r="Q513" s="4">
        <v>1</v>
      </c>
    </row>
    <row r="514" spans="17:17" x14ac:dyDescent="0.25">
      <c r="Q514" s="4">
        <v>2</v>
      </c>
    </row>
    <row r="515" spans="17:17" x14ac:dyDescent="0.25">
      <c r="Q515" s="4">
        <v>2</v>
      </c>
    </row>
    <row r="516" spans="17:17" x14ac:dyDescent="0.25">
      <c r="Q516" s="4">
        <v>2</v>
      </c>
    </row>
    <row r="517" spans="17:17" x14ac:dyDescent="0.25">
      <c r="Q517" s="4">
        <v>3</v>
      </c>
    </row>
    <row r="518" spans="17:17" x14ac:dyDescent="0.25">
      <c r="Q518" s="4">
        <v>3</v>
      </c>
    </row>
    <row r="519" spans="17:17" x14ac:dyDescent="0.25">
      <c r="Q519" s="4">
        <v>2</v>
      </c>
    </row>
    <row r="520" spans="17:17" x14ac:dyDescent="0.25">
      <c r="Q520" s="4">
        <v>3</v>
      </c>
    </row>
    <row r="521" spans="17:17" x14ac:dyDescent="0.25">
      <c r="Q521" s="4">
        <v>3</v>
      </c>
    </row>
    <row r="522" spans="17:17" x14ac:dyDescent="0.25">
      <c r="Q522" s="4">
        <v>2</v>
      </c>
    </row>
    <row r="523" spans="17:17" x14ac:dyDescent="0.25">
      <c r="Q523" s="4">
        <v>2</v>
      </c>
    </row>
    <row r="524" spans="17:17" x14ac:dyDescent="0.25">
      <c r="Q524" s="4">
        <v>3</v>
      </c>
    </row>
    <row r="525" spans="17:17" x14ac:dyDescent="0.25">
      <c r="Q525" s="4">
        <v>2</v>
      </c>
    </row>
    <row r="526" spans="17:17" x14ac:dyDescent="0.25">
      <c r="Q526" s="4">
        <v>1</v>
      </c>
    </row>
    <row r="527" spans="17:17" x14ac:dyDescent="0.25">
      <c r="Q527" s="4">
        <v>1</v>
      </c>
    </row>
    <row r="528" spans="17:17" x14ac:dyDescent="0.25">
      <c r="Q528" s="4">
        <v>1</v>
      </c>
    </row>
    <row r="529" spans="17:17" x14ac:dyDescent="0.25">
      <c r="Q529" s="4">
        <v>2</v>
      </c>
    </row>
    <row r="530" spans="17:17" x14ac:dyDescent="0.25">
      <c r="Q530" s="4">
        <v>3</v>
      </c>
    </row>
    <row r="531" spans="17:17" x14ac:dyDescent="0.25">
      <c r="Q531" s="4">
        <v>2</v>
      </c>
    </row>
    <row r="532" spans="17:17" x14ac:dyDescent="0.25">
      <c r="Q532" s="4">
        <v>2</v>
      </c>
    </row>
    <row r="533" spans="17:17" x14ac:dyDescent="0.25">
      <c r="Q533" s="4">
        <v>2</v>
      </c>
    </row>
    <row r="534" spans="17:17" x14ac:dyDescent="0.25">
      <c r="Q534" s="4">
        <v>3</v>
      </c>
    </row>
    <row r="535" spans="17:17" x14ac:dyDescent="0.25">
      <c r="Q535" s="4">
        <v>1</v>
      </c>
    </row>
    <row r="536" spans="17:17" x14ac:dyDescent="0.25">
      <c r="Q536" s="4">
        <v>3</v>
      </c>
    </row>
    <row r="537" spans="17:17" x14ac:dyDescent="0.25">
      <c r="Q537" s="4">
        <v>2</v>
      </c>
    </row>
    <row r="538" spans="17:17" x14ac:dyDescent="0.25">
      <c r="Q538" s="4">
        <v>2</v>
      </c>
    </row>
    <row r="539" spans="17:17" x14ac:dyDescent="0.25">
      <c r="Q539" s="4">
        <v>1</v>
      </c>
    </row>
    <row r="540" spans="17:17" x14ac:dyDescent="0.25">
      <c r="Q540" s="4">
        <v>1</v>
      </c>
    </row>
    <row r="541" spans="17:17" x14ac:dyDescent="0.25">
      <c r="Q541" s="4">
        <v>1</v>
      </c>
    </row>
    <row r="542" spans="17:17" x14ac:dyDescent="0.25">
      <c r="Q542" s="4">
        <v>2</v>
      </c>
    </row>
    <row r="543" spans="17:17" x14ac:dyDescent="0.25">
      <c r="Q543" s="4">
        <v>2</v>
      </c>
    </row>
    <row r="544" spans="17:17" x14ac:dyDescent="0.25">
      <c r="Q544" s="4">
        <v>3</v>
      </c>
    </row>
    <row r="545" spans="17:17" x14ac:dyDescent="0.25">
      <c r="Q545" s="4">
        <v>2</v>
      </c>
    </row>
    <row r="546" spans="17:17" x14ac:dyDescent="0.25">
      <c r="Q546" s="4">
        <v>2</v>
      </c>
    </row>
    <row r="547" spans="17:17" x14ac:dyDescent="0.25">
      <c r="Q547" s="4">
        <v>3</v>
      </c>
    </row>
    <row r="548" spans="17:17" x14ac:dyDescent="0.25">
      <c r="Q548" s="4">
        <v>1</v>
      </c>
    </row>
    <row r="549" spans="17:17" x14ac:dyDescent="0.25">
      <c r="Q549" s="4">
        <v>2</v>
      </c>
    </row>
    <row r="550" spans="17:17" x14ac:dyDescent="0.25">
      <c r="Q550" s="4">
        <v>2</v>
      </c>
    </row>
    <row r="551" spans="17:17" x14ac:dyDescent="0.25">
      <c r="Q551" s="4">
        <v>2</v>
      </c>
    </row>
    <row r="552" spans="17:17" x14ac:dyDescent="0.25">
      <c r="Q552" s="4">
        <v>3</v>
      </c>
    </row>
    <row r="553" spans="17:17" x14ac:dyDescent="0.25">
      <c r="Q553" s="4">
        <v>2</v>
      </c>
    </row>
    <row r="554" spans="17:17" x14ac:dyDescent="0.25">
      <c r="Q554" s="4">
        <v>1</v>
      </c>
    </row>
    <row r="555" spans="17:17" x14ac:dyDescent="0.25">
      <c r="Q555" s="4">
        <v>2</v>
      </c>
    </row>
    <row r="556" spans="17:17" x14ac:dyDescent="0.25">
      <c r="Q556" s="4">
        <v>2</v>
      </c>
    </row>
    <row r="557" spans="17:17" x14ac:dyDescent="0.25">
      <c r="Q557" s="4">
        <v>3</v>
      </c>
    </row>
    <row r="558" spans="17:17" x14ac:dyDescent="0.25">
      <c r="Q558" s="4">
        <v>2</v>
      </c>
    </row>
    <row r="559" spans="17:17" x14ac:dyDescent="0.25">
      <c r="Q559" s="4">
        <v>2</v>
      </c>
    </row>
    <row r="560" spans="17:17" x14ac:dyDescent="0.25">
      <c r="Q560" s="4">
        <v>3</v>
      </c>
    </row>
    <row r="561" spans="17:17" x14ac:dyDescent="0.25">
      <c r="Q561" s="4">
        <v>3</v>
      </c>
    </row>
    <row r="562" spans="17:17" x14ac:dyDescent="0.25">
      <c r="Q562" s="4">
        <v>2</v>
      </c>
    </row>
    <row r="563" spans="17:17" x14ac:dyDescent="0.25">
      <c r="Q563" s="4">
        <v>3</v>
      </c>
    </row>
    <row r="564" spans="17:17" x14ac:dyDescent="0.25">
      <c r="Q564" s="4">
        <v>2</v>
      </c>
    </row>
    <row r="565" spans="17:17" x14ac:dyDescent="0.25">
      <c r="Q565" s="4">
        <v>3</v>
      </c>
    </row>
    <row r="566" spans="17:17" x14ac:dyDescent="0.25">
      <c r="Q566" s="4">
        <v>3</v>
      </c>
    </row>
    <row r="567" spans="17:17" x14ac:dyDescent="0.25">
      <c r="Q567" s="4">
        <v>2</v>
      </c>
    </row>
    <row r="568" spans="17:17" x14ac:dyDescent="0.25">
      <c r="Q568" s="4">
        <v>2</v>
      </c>
    </row>
    <row r="569" spans="17:17" x14ac:dyDescent="0.25">
      <c r="Q569" s="4">
        <v>2</v>
      </c>
    </row>
    <row r="570" spans="17:17" x14ac:dyDescent="0.25">
      <c r="Q570" s="4">
        <v>2</v>
      </c>
    </row>
    <row r="571" spans="17:17" x14ac:dyDescent="0.25">
      <c r="Q571" s="4">
        <v>3</v>
      </c>
    </row>
    <row r="572" spans="17:17" x14ac:dyDescent="0.25">
      <c r="Q572" s="4">
        <v>3</v>
      </c>
    </row>
    <row r="573" spans="17:17" x14ac:dyDescent="0.25">
      <c r="Q573" s="4">
        <v>1</v>
      </c>
    </row>
    <row r="574" spans="17:17" x14ac:dyDescent="0.25">
      <c r="Q574" s="4">
        <v>2</v>
      </c>
    </row>
    <row r="575" spans="17:17" x14ac:dyDescent="0.25">
      <c r="Q575" s="4">
        <v>2</v>
      </c>
    </row>
    <row r="576" spans="17:17" x14ac:dyDescent="0.25">
      <c r="Q576" s="4">
        <v>3</v>
      </c>
    </row>
    <row r="577" spans="17:17" x14ac:dyDescent="0.25">
      <c r="Q577" s="4">
        <v>2</v>
      </c>
    </row>
    <row r="578" spans="17:17" x14ac:dyDescent="0.25">
      <c r="Q578" s="4">
        <v>3</v>
      </c>
    </row>
    <row r="579" spans="17:17" x14ac:dyDescent="0.25">
      <c r="Q579" s="4">
        <v>2</v>
      </c>
    </row>
    <row r="580" spans="17:17" x14ac:dyDescent="0.25">
      <c r="Q580" s="4">
        <v>2</v>
      </c>
    </row>
    <row r="581" spans="17:17" x14ac:dyDescent="0.25">
      <c r="Q581" s="4">
        <v>3</v>
      </c>
    </row>
    <row r="582" spans="17:17" x14ac:dyDescent="0.25">
      <c r="Q582" s="4">
        <v>2</v>
      </c>
    </row>
    <row r="583" spans="17:17" x14ac:dyDescent="0.25">
      <c r="Q583" s="4">
        <v>2</v>
      </c>
    </row>
    <row r="584" spans="17:17" x14ac:dyDescent="0.25">
      <c r="Q584" s="4">
        <v>2</v>
      </c>
    </row>
    <row r="585" spans="17:17" x14ac:dyDescent="0.25">
      <c r="Q585" s="4">
        <v>1</v>
      </c>
    </row>
    <row r="586" spans="17:17" x14ac:dyDescent="0.25">
      <c r="Q586" s="4">
        <v>3</v>
      </c>
    </row>
    <row r="587" spans="17:17" x14ac:dyDescent="0.25">
      <c r="Q587" s="4">
        <v>2</v>
      </c>
    </row>
    <row r="588" spans="17:17" x14ac:dyDescent="0.25">
      <c r="Q588" s="4">
        <v>3</v>
      </c>
    </row>
    <row r="589" spans="17:17" x14ac:dyDescent="0.25">
      <c r="Q589" s="4">
        <v>1</v>
      </c>
    </row>
    <row r="590" spans="17:17" x14ac:dyDescent="0.25">
      <c r="Q590" s="4">
        <v>2</v>
      </c>
    </row>
    <row r="591" spans="17:17" x14ac:dyDescent="0.25">
      <c r="Q591" s="4">
        <v>2</v>
      </c>
    </row>
    <row r="592" spans="17:17" x14ac:dyDescent="0.25">
      <c r="Q592" s="4">
        <v>2</v>
      </c>
    </row>
    <row r="593" spans="17:17" x14ac:dyDescent="0.25">
      <c r="Q593" s="4">
        <v>2</v>
      </c>
    </row>
    <row r="594" spans="17:17" x14ac:dyDescent="0.25">
      <c r="Q594" s="4">
        <v>3</v>
      </c>
    </row>
    <row r="595" spans="17:17" x14ac:dyDescent="0.25">
      <c r="Q595" s="4">
        <v>2</v>
      </c>
    </row>
    <row r="596" spans="17:17" x14ac:dyDescent="0.25">
      <c r="Q596" s="4">
        <v>2</v>
      </c>
    </row>
    <row r="597" spans="17:17" x14ac:dyDescent="0.25">
      <c r="Q597" s="4">
        <v>2</v>
      </c>
    </row>
    <row r="598" spans="17:17" x14ac:dyDescent="0.25">
      <c r="Q598" s="4">
        <v>1</v>
      </c>
    </row>
    <row r="599" spans="17:17" x14ac:dyDescent="0.25">
      <c r="Q599" s="4">
        <v>2</v>
      </c>
    </row>
    <row r="600" spans="17:17" x14ac:dyDescent="0.25">
      <c r="Q600" s="4">
        <v>2</v>
      </c>
    </row>
    <row r="601" spans="17:17" x14ac:dyDescent="0.25">
      <c r="Q601" s="4">
        <v>2</v>
      </c>
    </row>
    <row r="602" spans="17:17" x14ac:dyDescent="0.25">
      <c r="Q602" s="4">
        <v>3</v>
      </c>
    </row>
    <row r="603" spans="17:17" x14ac:dyDescent="0.25">
      <c r="Q603" s="4">
        <v>2</v>
      </c>
    </row>
    <row r="604" spans="17:17" x14ac:dyDescent="0.25">
      <c r="Q604" s="4">
        <v>2</v>
      </c>
    </row>
    <row r="605" spans="17:17" x14ac:dyDescent="0.25">
      <c r="Q605" s="4">
        <v>2</v>
      </c>
    </row>
    <row r="606" spans="17:17" x14ac:dyDescent="0.25">
      <c r="Q606" s="4">
        <v>2</v>
      </c>
    </row>
    <row r="607" spans="17:17" x14ac:dyDescent="0.25">
      <c r="Q607" s="4">
        <v>2</v>
      </c>
    </row>
    <row r="608" spans="17:17" x14ac:dyDescent="0.25">
      <c r="Q608" s="4">
        <v>2</v>
      </c>
    </row>
    <row r="609" spans="17:17" x14ac:dyDescent="0.25">
      <c r="Q609" s="4">
        <v>1</v>
      </c>
    </row>
    <row r="610" spans="17:17" x14ac:dyDescent="0.25">
      <c r="Q610" s="4">
        <v>2</v>
      </c>
    </row>
    <row r="611" spans="17:17" x14ac:dyDescent="0.25">
      <c r="Q611" s="4">
        <v>3</v>
      </c>
    </row>
    <row r="612" spans="17:17" x14ac:dyDescent="0.25">
      <c r="Q612" s="4">
        <v>2</v>
      </c>
    </row>
    <row r="613" spans="17:17" x14ac:dyDescent="0.25">
      <c r="Q613" s="4">
        <v>1</v>
      </c>
    </row>
    <row r="614" spans="17:17" x14ac:dyDescent="0.25">
      <c r="Q614" s="4">
        <v>1</v>
      </c>
    </row>
    <row r="615" spans="17:17" x14ac:dyDescent="0.25">
      <c r="Q615" s="4">
        <v>2</v>
      </c>
    </row>
    <row r="616" spans="17:17" x14ac:dyDescent="0.25">
      <c r="Q616" s="4">
        <v>1</v>
      </c>
    </row>
    <row r="617" spans="17:17" x14ac:dyDescent="0.25">
      <c r="Q617" s="4">
        <v>3</v>
      </c>
    </row>
    <row r="618" spans="17:17" x14ac:dyDescent="0.25">
      <c r="Q618" s="4">
        <v>2</v>
      </c>
    </row>
    <row r="619" spans="17:17" x14ac:dyDescent="0.25">
      <c r="Q619" s="4">
        <v>2</v>
      </c>
    </row>
    <row r="620" spans="17:17" x14ac:dyDescent="0.25">
      <c r="Q620" s="4">
        <v>3</v>
      </c>
    </row>
    <row r="621" spans="17:17" x14ac:dyDescent="0.25">
      <c r="Q621" s="4">
        <v>1</v>
      </c>
    </row>
    <row r="622" spans="17:17" x14ac:dyDescent="0.25">
      <c r="Q622" s="4">
        <v>2</v>
      </c>
    </row>
    <row r="623" spans="17:17" x14ac:dyDescent="0.25">
      <c r="Q623" s="4">
        <v>1</v>
      </c>
    </row>
    <row r="624" spans="17:17" x14ac:dyDescent="0.25">
      <c r="Q624" s="4">
        <v>3</v>
      </c>
    </row>
    <row r="625" spans="17:17" x14ac:dyDescent="0.25">
      <c r="Q625" s="4">
        <v>2</v>
      </c>
    </row>
    <row r="626" spans="17:17" x14ac:dyDescent="0.25">
      <c r="Q626" s="4">
        <v>1</v>
      </c>
    </row>
    <row r="627" spans="17:17" x14ac:dyDescent="0.25">
      <c r="Q627" s="4">
        <v>2</v>
      </c>
    </row>
    <row r="628" spans="17:17" x14ac:dyDescent="0.25">
      <c r="Q628" s="4">
        <v>3</v>
      </c>
    </row>
    <row r="629" spans="17:17" x14ac:dyDescent="0.25">
      <c r="Q629" s="4">
        <v>2</v>
      </c>
    </row>
    <row r="630" spans="17:17" x14ac:dyDescent="0.25">
      <c r="Q630" s="4">
        <v>2</v>
      </c>
    </row>
    <row r="631" spans="17:17" x14ac:dyDescent="0.25">
      <c r="Q631" s="4">
        <v>2</v>
      </c>
    </row>
    <row r="632" spans="17:17" x14ac:dyDescent="0.25">
      <c r="Q632" s="4">
        <v>2</v>
      </c>
    </row>
    <row r="633" spans="17:17" x14ac:dyDescent="0.25">
      <c r="Q633" s="4">
        <v>2</v>
      </c>
    </row>
    <row r="634" spans="17:17" x14ac:dyDescent="0.25">
      <c r="Q634" s="4">
        <v>1</v>
      </c>
    </row>
    <row r="635" spans="17:17" x14ac:dyDescent="0.25">
      <c r="Q635" s="4">
        <v>2</v>
      </c>
    </row>
    <row r="636" spans="17:17" x14ac:dyDescent="0.25">
      <c r="Q636" s="4">
        <v>2</v>
      </c>
    </row>
    <row r="637" spans="17:17" x14ac:dyDescent="0.25">
      <c r="Q637" s="4">
        <v>2</v>
      </c>
    </row>
    <row r="638" spans="17:17" x14ac:dyDescent="0.25">
      <c r="Q638" s="4">
        <v>2</v>
      </c>
    </row>
    <row r="639" spans="17:17" x14ac:dyDescent="0.25">
      <c r="Q639" s="4">
        <v>2</v>
      </c>
    </row>
    <row r="640" spans="17:17" x14ac:dyDescent="0.25">
      <c r="Q640" s="4">
        <v>2</v>
      </c>
    </row>
    <row r="641" spans="17:17" x14ac:dyDescent="0.25">
      <c r="Q641" s="4">
        <v>3</v>
      </c>
    </row>
    <row r="642" spans="17:17" x14ac:dyDescent="0.25">
      <c r="Q642" s="4">
        <v>1</v>
      </c>
    </row>
    <row r="643" spans="17:17" x14ac:dyDescent="0.25">
      <c r="Q643" s="4">
        <v>2</v>
      </c>
    </row>
    <row r="644" spans="17:17" x14ac:dyDescent="0.25">
      <c r="Q644" s="4">
        <v>2</v>
      </c>
    </row>
    <row r="645" spans="17:17" x14ac:dyDescent="0.25">
      <c r="Q645" s="4">
        <v>2</v>
      </c>
    </row>
    <row r="646" spans="17:17" x14ac:dyDescent="0.25">
      <c r="Q646" s="4">
        <v>2</v>
      </c>
    </row>
    <row r="647" spans="17:17" x14ac:dyDescent="0.25">
      <c r="Q647" s="4">
        <v>2</v>
      </c>
    </row>
    <row r="648" spans="17:17" x14ac:dyDescent="0.25">
      <c r="Q648" s="4">
        <v>2</v>
      </c>
    </row>
    <row r="649" spans="17:17" x14ac:dyDescent="0.25">
      <c r="Q649" s="4">
        <v>1</v>
      </c>
    </row>
    <row r="650" spans="17:17" x14ac:dyDescent="0.25">
      <c r="Q650" s="4">
        <v>3</v>
      </c>
    </row>
    <row r="651" spans="17:17" x14ac:dyDescent="0.25">
      <c r="Q651" s="4">
        <v>2</v>
      </c>
    </row>
    <row r="652" spans="17:17" x14ac:dyDescent="0.25">
      <c r="Q652" s="4">
        <v>1</v>
      </c>
    </row>
    <row r="653" spans="17:17" x14ac:dyDescent="0.25">
      <c r="Q653" s="4">
        <v>2</v>
      </c>
    </row>
    <row r="654" spans="17:17" x14ac:dyDescent="0.25">
      <c r="Q654" s="4">
        <v>1</v>
      </c>
    </row>
    <row r="655" spans="17:17" x14ac:dyDescent="0.25">
      <c r="Q655" s="4">
        <v>1</v>
      </c>
    </row>
    <row r="656" spans="17:17" x14ac:dyDescent="0.25">
      <c r="Q656" s="4">
        <v>2</v>
      </c>
    </row>
    <row r="657" spans="17:17" x14ac:dyDescent="0.25">
      <c r="Q657" s="4">
        <v>3</v>
      </c>
    </row>
    <row r="658" spans="17:17" x14ac:dyDescent="0.25">
      <c r="Q658" s="4">
        <v>2</v>
      </c>
    </row>
    <row r="659" spans="17:17" x14ac:dyDescent="0.25">
      <c r="Q659" s="4">
        <v>2</v>
      </c>
    </row>
    <row r="660" spans="17:17" x14ac:dyDescent="0.25">
      <c r="Q660" s="4">
        <v>3</v>
      </c>
    </row>
    <row r="661" spans="17:17" x14ac:dyDescent="0.25">
      <c r="Q661" s="4">
        <v>1</v>
      </c>
    </row>
    <row r="662" spans="17:17" x14ac:dyDescent="0.25">
      <c r="Q662" s="4">
        <v>2</v>
      </c>
    </row>
    <row r="663" spans="17:17" x14ac:dyDescent="0.25">
      <c r="Q663" s="4">
        <v>2</v>
      </c>
    </row>
    <row r="664" spans="17:17" x14ac:dyDescent="0.25">
      <c r="Q664" s="4">
        <v>2</v>
      </c>
    </row>
    <row r="665" spans="17:17" x14ac:dyDescent="0.25">
      <c r="Q665" s="4">
        <v>3</v>
      </c>
    </row>
    <row r="666" spans="17:17" x14ac:dyDescent="0.25">
      <c r="Q666" s="4">
        <v>1</v>
      </c>
    </row>
    <row r="667" spans="17:17" x14ac:dyDescent="0.25">
      <c r="Q667" s="4">
        <v>2</v>
      </c>
    </row>
    <row r="668" spans="17:17" x14ac:dyDescent="0.25">
      <c r="Q668" s="4">
        <v>2</v>
      </c>
    </row>
    <row r="669" spans="17:17" x14ac:dyDescent="0.25">
      <c r="Q669" s="4">
        <v>2</v>
      </c>
    </row>
    <row r="670" spans="17:17" x14ac:dyDescent="0.25">
      <c r="Q670" s="4">
        <v>2</v>
      </c>
    </row>
    <row r="671" spans="17:17" x14ac:dyDescent="0.25">
      <c r="Q671" s="4">
        <v>1</v>
      </c>
    </row>
    <row r="672" spans="17:17" x14ac:dyDescent="0.25">
      <c r="Q672" s="4">
        <v>1</v>
      </c>
    </row>
    <row r="673" spans="17:17" x14ac:dyDescent="0.25">
      <c r="Q673" s="4">
        <v>2</v>
      </c>
    </row>
    <row r="674" spans="17:17" x14ac:dyDescent="0.25">
      <c r="Q674" s="4">
        <v>2</v>
      </c>
    </row>
    <row r="675" spans="17:17" x14ac:dyDescent="0.25">
      <c r="Q675" s="4">
        <v>2</v>
      </c>
    </row>
    <row r="676" spans="17:17" x14ac:dyDescent="0.25">
      <c r="Q676" s="4">
        <v>1</v>
      </c>
    </row>
    <row r="677" spans="17:17" x14ac:dyDescent="0.25">
      <c r="Q677" s="4">
        <v>1</v>
      </c>
    </row>
    <row r="678" spans="17:17" x14ac:dyDescent="0.25">
      <c r="Q678" s="4">
        <v>3</v>
      </c>
    </row>
    <row r="679" spans="17:17" x14ac:dyDescent="0.25">
      <c r="Q679" s="4">
        <v>2</v>
      </c>
    </row>
    <row r="680" spans="17:17" x14ac:dyDescent="0.25">
      <c r="Q680" s="4">
        <v>2</v>
      </c>
    </row>
    <row r="681" spans="17:17" x14ac:dyDescent="0.25">
      <c r="Q681" s="4">
        <v>2</v>
      </c>
    </row>
    <row r="682" spans="17:17" x14ac:dyDescent="0.25">
      <c r="Q682" s="4">
        <v>1</v>
      </c>
    </row>
    <row r="683" spans="17:17" x14ac:dyDescent="0.25">
      <c r="Q683" s="4">
        <v>3</v>
      </c>
    </row>
    <row r="684" spans="17:17" x14ac:dyDescent="0.25">
      <c r="Q684" s="4">
        <v>2</v>
      </c>
    </row>
    <row r="685" spans="17:17" x14ac:dyDescent="0.25">
      <c r="Q685" s="4">
        <v>2</v>
      </c>
    </row>
    <row r="686" spans="17:17" x14ac:dyDescent="0.25">
      <c r="Q686" s="4">
        <v>2</v>
      </c>
    </row>
    <row r="687" spans="17:17" x14ac:dyDescent="0.25">
      <c r="Q687" s="4">
        <v>2</v>
      </c>
    </row>
    <row r="688" spans="17:17" x14ac:dyDescent="0.25">
      <c r="Q688" s="4">
        <v>2</v>
      </c>
    </row>
    <row r="689" spans="17:17" x14ac:dyDescent="0.25">
      <c r="Q689" s="4">
        <v>2</v>
      </c>
    </row>
    <row r="690" spans="17:17" x14ac:dyDescent="0.25">
      <c r="Q690" s="4">
        <v>2</v>
      </c>
    </row>
    <row r="691" spans="17:17" x14ac:dyDescent="0.25">
      <c r="Q691" s="4">
        <v>3</v>
      </c>
    </row>
    <row r="692" spans="17:17" x14ac:dyDescent="0.25">
      <c r="Q692" s="4">
        <v>3</v>
      </c>
    </row>
    <row r="693" spans="17:17" x14ac:dyDescent="0.25">
      <c r="Q693" s="4">
        <v>1</v>
      </c>
    </row>
    <row r="694" spans="17:17" x14ac:dyDescent="0.25">
      <c r="Q694" s="4">
        <v>3</v>
      </c>
    </row>
    <row r="695" spans="17:17" x14ac:dyDescent="0.25">
      <c r="Q695" s="4">
        <v>1</v>
      </c>
    </row>
    <row r="696" spans="17:17" x14ac:dyDescent="0.25">
      <c r="Q696" s="4">
        <v>2</v>
      </c>
    </row>
    <row r="697" spans="17:17" x14ac:dyDescent="0.25">
      <c r="Q697" s="4">
        <v>1</v>
      </c>
    </row>
    <row r="698" spans="17:17" x14ac:dyDescent="0.25">
      <c r="Q698" s="4">
        <v>1</v>
      </c>
    </row>
    <row r="699" spans="17:17" x14ac:dyDescent="0.25">
      <c r="Q699" s="4">
        <v>3</v>
      </c>
    </row>
    <row r="700" spans="17:17" x14ac:dyDescent="0.25">
      <c r="Q700" s="4">
        <v>3</v>
      </c>
    </row>
    <row r="701" spans="17:17" x14ac:dyDescent="0.25">
      <c r="Q701" s="4">
        <v>2</v>
      </c>
    </row>
    <row r="702" spans="17:17" x14ac:dyDescent="0.25">
      <c r="Q702" s="4">
        <v>1</v>
      </c>
    </row>
    <row r="703" spans="17:17" x14ac:dyDescent="0.25">
      <c r="Q703" s="4">
        <v>2</v>
      </c>
    </row>
    <row r="704" spans="17:17" x14ac:dyDescent="0.25">
      <c r="Q704" s="4">
        <v>2</v>
      </c>
    </row>
    <row r="705" spans="17:17" x14ac:dyDescent="0.25">
      <c r="Q705" s="4">
        <v>2</v>
      </c>
    </row>
    <row r="706" spans="17:17" x14ac:dyDescent="0.25">
      <c r="Q706" s="4">
        <v>3</v>
      </c>
    </row>
    <row r="707" spans="17:17" x14ac:dyDescent="0.25">
      <c r="Q707" s="4">
        <v>3</v>
      </c>
    </row>
    <row r="708" spans="17:17" x14ac:dyDescent="0.25">
      <c r="Q708" s="4">
        <v>3</v>
      </c>
    </row>
    <row r="709" spans="17:17" x14ac:dyDescent="0.25">
      <c r="Q709" s="4">
        <v>2</v>
      </c>
    </row>
    <row r="710" spans="17:17" x14ac:dyDescent="0.25">
      <c r="Q710" s="4">
        <v>2</v>
      </c>
    </row>
    <row r="711" spans="17:17" x14ac:dyDescent="0.25">
      <c r="Q711" s="4">
        <v>2</v>
      </c>
    </row>
    <row r="712" spans="17:17" x14ac:dyDescent="0.25">
      <c r="Q712" s="4">
        <v>3</v>
      </c>
    </row>
    <row r="713" spans="17:17" x14ac:dyDescent="0.25">
      <c r="Q713" s="4">
        <v>2</v>
      </c>
    </row>
    <row r="714" spans="17:17" x14ac:dyDescent="0.25">
      <c r="Q714" s="4">
        <v>2</v>
      </c>
    </row>
    <row r="715" spans="17:17" x14ac:dyDescent="0.25">
      <c r="Q715" s="4">
        <v>2</v>
      </c>
    </row>
    <row r="716" spans="17:17" x14ac:dyDescent="0.25">
      <c r="Q716" s="4">
        <v>1</v>
      </c>
    </row>
    <row r="717" spans="17:17" x14ac:dyDescent="0.25">
      <c r="Q717" s="4">
        <v>1</v>
      </c>
    </row>
    <row r="718" spans="17:17" x14ac:dyDescent="0.25">
      <c r="Q718" s="4">
        <v>2</v>
      </c>
    </row>
    <row r="719" spans="17:17" x14ac:dyDescent="0.25">
      <c r="Q719" s="4">
        <v>3</v>
      </c>
    </row>
    <row r="720" spans="17:17" x14ac:dyDescent="0.25">
      <c r="Q720" s="4">
        <v>3</v>
      </c>
    </row>
    <row r="721" spans="17:17" x14ac:dyDescent="0.25">
      <c r="Q721" s="4">
        <v>2</v>
      </c>
    </row>
    <row r="722" spans="17:17" x14ac:dyDescent="0.25">
      <c r="Q722" s="4">
        <v>1</v>
      </c>
    </row>
    <row r="723" spans="17:17" x14ac:dyDescent="0.25">
      <c r="Q723" s="4">
        <v>1</v>
      </c>
    </row>
    <row r="724" spans="17:17" x14ac:dyDescent="0.25">
      <c r="Q724" s="4">
        <v>1</v>
      </c>
    </row>
    <row r="725" spans="17:17" x14ac:dyDescent="0.25">
      <c r="Q725" s="4">
        <v>2</v>
      </c>
    </row>
    <row r="726" spans="17:17" x14ac:dyDescent="0.25">
      <c r="Q726" s="4">
        <v>2</v>
      </c>
    </row>
    <row r="727" spans="17:17" x14ac:dyDescent="0.25">
      <c r="Q727" s="4">
        <v>2</v>
      </c>
    </row>
    <row r="728" spans="17:17" x14ac:dyDescent="0.25">
      <c r="Q728" s="4">
        <v>2</v>
      </c>
    </row>
    <row r="729" spans="17:17" x14ac:dyDescent="0.25">
      <c r="Q729" s="4">
        <v>2</v>
      </c>
    </row>
    <row r="730" spans="17:17" x14ac:dyDescent="0.25">
      <c r="Q730" s="4">
        <v>2</v>
      </c>
    </row>
    <row r="731" spans="17:17" x14ac:dyDescent="0.25">
      <c r="Q731" s="4">
        <v>2</v>
      </c>
    </row>
    <row r="732" spans="17:17" x14ac:dyDescent="0.25">
      <c r="Q732" s="4">
        <v>1</v>
      </c>
    </row>
    <row r="733" spans="17:17" x14ac:dyDescent="0.25">
      <c r="Q733" s="4">
        <v>2</v>
      </c>
    </row>
    <row r="734" spans="17:17" x14ac:dyDescent="0.25">
      <c r="Q734" s="4">
        <v>2</v>
      </c>
    </row>
    <row r="735" spans="17:17" x14ac:dyDescent="0.25">
      <c r="Q735" s="4">
        <v>2</v>
      </c>
    </row>
    <row r="736" spans="17:17" x14ac:dyDescent="0.25">
      <c r="Q736" s="4">
        <v>1</v>
      </c>
    </row>
    <row r="737" spans="17:17" x14ac:dyDescent="0.25">
      <c r="Q737" s="4">
        <v>1</v>
      </c>
    </row>
    <row r="738" spans="17:17" x14ac:dyDescent="0.25">
      <c r="Q738" s="4">
        <v>2</v>
      </c>
    </row>
    <row r="739" spans="17:17" x14ac:dyDescent="0.25">
      <c r="Q739" s="4">
        <v>2</v>
      </c>
    </row>
    <row r="740" spans="17:17" x14ac:dyDescent="0.25">
      <c r="Q740" s="4">
        <v>3</v>
      </c>
    </row>
    <row r="741" spans="17:17" x14ac:dyDescent="0.25">
      <c r="Q741" s="4">
        <v>1</v>
      </c>
    </row>
    <row r="742" spans="17:17" x14ac:dyDescent="0.25">
      <c r="Q742" s="4">
        <v>2</v>
      </c>
    </row>
    <row r="743" spans="17:17" x14ac:dyDescent="0.25">
      <c r="Q743" s="4">
        <v>2</v>
      </c>
    </row>
    <row r="744" spans="17:17" x14ac:dyDescent="0.25">
      <c r="Q744" s="4">
        <v>2</v>
      </c>
    </row>
    <row r="745" spans="17:17" x14ac:dyDescent="0.25">
      <c r="Q745" s="4">
        <v>2</v>
      </c>
    </row>
    <row r="746" spans="17:17" x14ac:dyDescent="0.25">
      <c r="Q746" s="4">
        <v>3</v>
      </c>
    </row>
    <row r="747" spans="17:17" x14ac:dyDescent="0.25">
      <c r="Q747" s="4">
        <v>2</v>
      </c>
    </row>
    <row r="748" spans="17:17" x14ac:dyDescent="0.25">
      <c r="Q748" s="4">
        <v>2</v>
      </c>
    </row>
    <row r="749" spans="17:17" x14ac:dyDescent="0.25">
      <c r="Q749" s="4">
        <v>2</v>
      </c>
    </row>
    <row r="750" spans="17:17" x14ac:dyDescent="0.25">
      <c r="Q750" s="4">
        <v>3</v>
      </c>
    </row>
    <row r="751" spans="17:17" x14ac:dyDescent="0.25">
      <c r="Q751" s="4">
        <v>1</v>
      </c>
    </row>
    <row r="752" spans="17:17" x14ac:dyDescent="0.25">
      <c r="Q752" s="4">
        <v>2</v>
      </c>
    </row>
    <row r="753" spans="17:17" x14ac:dyDescent="0.25">
      <c r="Q753" s="4">
        <v>2</v>
      </c>
    </row>
    <row r="754" spans="17:17" x14ac:dyDescent="0.25">
      <c r="Q754" s="4">
        <v>1</v>
      </c>
    </row>
    <row r="755" spans="17:17" x14ac:dyDescent="0.25">
      <c r="Q755" s="4">
        <v>1</v>
      </c>
    </row>
    <row r="756" spans="17:17" x14ac:dyDescent="0.25">
      <c r="Q756" s="4">
        <v>2</v>
      </c>
    </row>
    <row r="757" spans="17:17" x14ac:dyDescent="0.25">
      <c r="Q757" s="4">
        <v>2</v>
      </c>
    </row>
    <row r="758" spans="17:17" x14ac:dyDescent="0.25">
      <c r="Q758" s="4">
        <v>2</v>
      </c>
    </row>
    <row r="759" spans="17:17" x14ac:dyDescent="0.25">
      <c r="Q759" s="4">
        <v>2</v>
      </c>
    </row>
    <row r="760" spans="17:17" x14ac:dyDescent="0.25">
      <c r="Q760" s="4">
        <v>2</v>
      </c>
    </row>
    <row r="761" spans="17:17" x14ac:dyDescent="0.25">
      <c r="Q761" s="4">
        <v>1</v>
      </c>
    </row>
    <row r="762" spans="17:17" x14ac:dyDescent="0.25">
      <c r="Q762" s="4">
        <v>2</v>
      </c>
    </row>
    <row r="763" spans="17:17" x14ac:dyDescent="0.25">
      <c r="Q763" s="4">
        <v>3</v>
      </c>
    </row>
    <row r="764" spans="17:17" x14ac:dyDescent="0.25">
      <c r="Q764" s="4">
        <v>2</v>
      </c>
    </row>
    <row r="765" spans="17:17" x14ac:dyDescent="0.25">
      <c r="Q765" s="4">
        <v>1</v>
      </c>
    </row>
    <row r="766" spans="17:17" x14ac:dyDescent="0.25">
      <c r="Q766" s="4">
        <v>2</v>
      </c>
    </row>
    <row r="767" spans="17:17" x14ac:dyDescent="0.25">
      <c r="Q767" s="4">
        <v>2</v>
      </c>
    </row>
    <row r="768" spans="17:17" x14ac:dyDescent="0.25">
      <c r="Q768" s="4">
        <v>1</v>
      </c>
    </row>
    <row r="769" spans="17:17" x14ac:dyDescent="0.25">
      <c r="Q769" s="4">
        <v>1</v>
      </c>
    </row>
    <row r="770" spans="17:17" x14ac:dyDescent="0.25">
      <c r="Q770" s="4">
        <v>2</v>
      </c>
    </row>
    <row r="771" spans="17:17" x14ac:dyDescent="0.25">
      <c r="Q771" s="4">
        <v>2</v>
      </c>
    </row>
    <row r="772" spans="17:17" x14ac:dyDescent="0.25">
      <c r="Q772" s="4">
        <v>2</v>
      </c>
    </row>
    <row r="773" spans="17:17" x14ac:dyDescent="0.25">
      <c r="Q773" s="4">
        <v>2</v>
      </c>
    </row>
    <row r="774" spans="17:17" x14ac:dyDescent="0.25">
      <c r="Q774" s="4">
        <v>1</v>
      </c>
    </row>
    <row r="775" spans="17:17" x14ac:dyDescent="0.25">
      <c r="Q775" s="4">
        <v>2</v>
      </c>
    </row>
    <row r="776" spans="17:17" x14ac:dyDescent="0.25">
      <c r="Q776" s="4">
        <v>3</v>
      </c>
    </row>
    <row r="777" spans="17:17" x14ac:dyDescent="0.25">
      <c r="Q777" s="4">
        <v>2</v>
      </c>
    </row>
    <row r="778" spans="17:17" x14ac:dyDescent="0.25">
      <c r="Q778" s="4">
        <v>2</v>
      </c>
    </row>
    <row r="779" spans="17:17" x14ac:dyDescent="0.25">
      <c r="Q779" s="4">
        <v>2</v>
      </c>
    </row>
    <row r="780" spans="17:17" x14ac:dyDescent="0.25">
      <c r="Q780" s="4">
        <v>3</v>
      </c>
    </row>
    <row r="781" spans="17:17" x14ac:dyDescent="0.25">
      <c r="Q781" s="4">
        <v>3</v>
      </c>
    </row>
    <row r="782" spans="17:17" x14ac:dyDescent="0.25">
      <c r="Q782" s="4">
        <v>2</v>
      </c>
    </row>
    <row r="783" spans="17:17" x14ac:dyDescent="0.25">
      <c r="Q783" s="4">
        <v>2</v>
      </c>
    </row>
    <row r="784" spans="17:17" x14ac:dyDescent="0.25">
      <c r="Q784" s="4">
        <v>2</v>
      </c>
    </row>
    <row r="785" spans="17:17" x14ac:dyDescent="0.25">
      <c r="Q785" s="4">
        <v>2</v>
      </c>
    </row>
    <row r="786" spans="17:17" x14ac:dyDescent="0.25">
      <c r="Q786" s="4">
        <v>3</v>
      </c>
    </row>
    <row r="787" spans="17:17" x14ac:dyDescent="0.25">
      <c r="Q787" s="4">
        <v>2</v>
      </c>
    </row>
    <row r="788" spans="17:17" x14ac:dyDescent="0.25">
      <c r="Q788" s="4">
        <v>2</v>
      </c>
    </row>
    <row r="789" spans="17:17" x14ac:dyDescent="0.25">
      <c r="Q789" s="4">
        <v>3</v>
      </c>
    </row>
    <row r="790" spans="17:17" x14ac:dyDescent="0.25">
      <c r="Q790" s="4">
        <v>1</v>
      </c>
    </row>
    <row r="791" spans="17:17" x14ac:dyDescent="0.25">
      <c r="Q791" s="4">
        <v>2</v>
      </c>
    </row>
    <row r="792" spans="17:17" x14ac:dyDescent="0.25">
      <c r="Q792" s="4">
        <v>1</v>
      </c>
    </row>
    <row r="793" spans="17:17" x14ac:dyDescent="0.25">
      <c r="Q793" s="4">
        <v>2</v>
      </c>
    </row>
    <row r="794" spans="17:17" x14ac:dyDescent="0.25">
      <c r="Q794" s="4">
        <v>2</v>
      </c>
    </row>
    <row r="795" spans="17:17" x14ac:dyDescent="0.25">
      <c r="Q795" s="4">
        <v>2</v>
      </c>
    </row>
    <row r="796" spans="17:17" x14ac:dyDescent="0.25">
      <c r="Q796" s="4">
        <v>3</v>
      </c>
    </row>
    <row r="797" spans="17:17" x14ac:dyDescent="0.25">
      <c r="Q797" s="4">
        <v>2</v>
      </c>
    </row>
    <row r="798" spans="17:17" x14ac:dyDescent="0.25">
      <c r="Q798" s="4">
        <v>1</v>
      </c>
    </row>
    <row r="799" spans="17:17" x14ac:dyDescent="0.25">
      <c r="Q799" s="4">
        <v>1</v>
      </c>
    </row>
    <row r="800" spans="17:17" x14ac:dyDescent="0.25">
      <c r="Q800" s="4">
        <v>2</v>
      </c>
    </row>
    <row r="801" spans="17:17" x14ac:dyDescent="0.25">
      <c r="Q801" s="4">
        <v>1</v>
      </c>
    </row>
    <row r="802" spans="17:17" x14ac:dyDescent="0.25">
      <c r="Q802" s="4">
        <v>1</v>
      </c>
    </row>
    <row r="803" spans="17:17" x14ac:dyDescent="0.25">
      <c r="Q803" s="4">
        <v>3</v>
      </c>
    </row>
    <row r="804" spans="17:17" x14ac:dyDescent="0.25">
      <c r="Q804" s="4">
        <v>1</v>
      </c>
    </row>
    <row r="805" spans="17:17" x14ac:dyDescent="0.25">
      <c r="Q805" s="4">
        <v>2</v>
      </c>
    </row>
    <row r="806" spans="17:17" x14ac:dyDescent="0.25">
      <c r="Q806" s="4">
        <v>3</v>
      </c>
    </row>
    <row r="807" spans="17:17" x14ac:dyDescent="0.25">
      <c r="Q807" s="4">
        <v>2</v>
      </c>
    </row>
    <row r="808" spans="17:17" x14ac:dyDescent="0.25">
      <c r="Q808" s="4">
        <v>2</v>
      </c>
    </row>
    <row r="809" spans="17:17" x14ac:dyDescent="0.25">
      <c r="Q809" s="4">
        <v>2</v>
      </c>
    </row>
    <row r="810" spans="17:17" x14ac:dyDescent="0.25">
      <c r="Q810" s="4">
        <v>1</v>
      </c>
    </row>
    <row r="811" spans="17:17" x14ac:dyDescent="0.25">
      <c r="Q811" s="4">
        <v>1</v>
      </c>
    </row>
    <row r="812" spans="17:17" x14ac:dyDescent="0.25">
      <c r="Q812" s="4">
        <v>2</v>
      </c>
    </row>
    <row r="813" spans="17:17" x14ac:dyDescent="0.25">
      <c r="Q813" s="4">
        <v>2</v>
      </c>
    </row>
    <row r="814" spans="17:17" x14ac:dyDescent="0.25">
      <c r="Q814" s="4">
        <v>3</v>
      </c>
    </row>
    <row r="815" spans="17:17" x14ac:dyDescent="0.25">
      <c r="Q815" s="4">
        <v>2</v>
      </c>
    </row>
    <row r="816" spans="17:17" x14ac:dyDescent="0.25">
      <c r="Q816" s="4">
        <v>2</v>
      </c>
    </row>
    <row r="817" spans="17:17" x14ac:dyDescent="0.25">
      <c r="Q817" s="4">
        <v>2</v>
      </c>
    </row>
    <row r="818" spans="17:17" x14ac:dyDescent="0.25">
      <c r="Q818" s="4">
        <v>1</v>
      </c>
    </row>
    <row r="819" spans="17:17" x14ac:dyDescent="0.25">
      <c r="Q819" s="4">
        <v>2</v>
      </c>
    </row>
    <row r="820" spans="17:17" x14ac:dyDescent="0.25">
      <c r="Q820" s="4">
        <v>2</v>
      </c>
    </row>
    <row r="821" spans="17:17" x14ac:dyDescent="0.25">
      <c r="Q821" s="4">
        <v>2</v>
      </c>
    </row>
    <row r="822" spans="17:17" x14ac:dyDescent="0.25">
      <c r="Q822" s="4">
        <v>2</v>
      </c>
    </row>
    <row r="823" spans="17:17" x14ac:dyDescent="0.25">
      <c r="Q823" s="4">
        <v>2</v>
      </c>
    </row>
    <row r="824" spans="17:17" x14ac:dyDescent="0.25">
      <c r="Q824" s="4">
        <v>3</v>
      </c>
    </row>
    <row r="825" spans="17:17" x14ac:dyDescent="0.25">
      <c r="Q825" s="4">
        <v>2</v>
      </c>
    </row>
    <row r="826" spans="17:17" x14ac:dyDescent="0.25">
      <c r="Q826" s="4">
        <v>2</v>
      </c>
    </row>
    <row r="827" spans="17:17" x14ac:dyDescent="0.25">
      <c r="Q827" s="4">
        <v>3</v>
      </c>
    </row>
    <row r="828" spans="17:17" x14ac:dyDescent="0.25">
      <c r="Q828" s="4">
        <v>1</v>
      </c>
    </row>
    <row r="829" spans="17:17" x14ac:dyDescent="0.25">
      <c r="Q829" s="4">
        <v>1</v>
      </c>
    </row>
    <row r="830" spans="17:17" x14ac:dyDescent="0.25">
      <c r="Q830" s="4">
        <v>3</v>
      </c>
    </row>
    <row r="831" spans="17:17" x14ac:dyDescent="0.25">
      <c r="Q831" s="4">
        <v>1</v>
      </c>
    </row>
    <row r="832" spans="17:17" x14ac:dyDescent="0.25">
      <c r="Q832" s="4">
        <v>2</v>
      </c>
    </row>
    <row r="833" spans="17:17" x14ac:dyDescent="0.25">
      <c r="Q833" s="4">
        <v>2</v>
      </c>
    </row>
    <row r="834" spans="17:17" x14ac:dyDescent="0.25">
      <c r="Q834" s="4">
        <v>2</v>
      </c>
    </row>
    <row r="835" spans="17:17" x14ac:dyDescent="0.25">
      <c r="Q835" s="4">
        <v>2</v>
      </c>
    </row>
    <row r="836" spans="17:17" x14ac:dyDescent="0.25">
      <c r="Q836" s="4">
        <v>2</v>
      </c>
    </row>
    <row r="837" spans="17:17" x14ac:dyDescent="0.25">
      <c r="Q837" s="4">
        <v>2</v>
      </c>
    </row>
    <row r="838" spans="17:17" x14ac:dyDescent="0.25">
      <c r="Q838" s="4">
        <v>3</v>
      </c>
    </row>
    <row r="839" spans="17:17" x14ac:dyDescent="0.25">
      <c r="Q839" s="4">
        <v>2</v>
      </c>
    </row>
    <row r="840" spans="17:17" x14ac:dyDescent="0.25">
      <c r="Q840" s="4">
        <v>3</v>
      </c>
    </row>
    <row r="841" spans="17:17" x14ac:dyDescent="0.25">
      <c r="Q841" s="4">
        <v>1</v>
      </c>
    </row>
    <row r="842" spans="17:17" x14ac:dyDescent="0.25">
      <c r="Q842" s="4">
        <v>2</v>
      </c>
    </row>
    <row r="843" spans="17:17" x14ac:dyDescent="0.25">
      <c r="Q843" s="4">
        <v>2</v>
      </c>
    </row>
    <row r="844" spans="17:17" x14ac:dyDescent="0.25">
      <c r="Q844" s="4">
        <v>3</v>
      </c>
    </row>
    <row r="845" spans="17:17" x14ac:dyDescent="0.25">
      <c r="Q845" s="4">
        <v>1</v>
      </c>
    </row>
    <row r="846" spans="17:17" x14ac:dyDescent="0.25">
      <c r="Q846" s="4">
        <v>3</v>
      </c>
    </row>
    <row r="847" spans="17:17" x14ac:dyDescent="0.25">
      <c r="Q847" s="4">
        <v>3</v>
      </c>
    </row>
    <row r="848" spans="17:17" x14ac:dyDescent="0.25">
      <c r="Q848" s="4">
        <v>1</v>
      </c>
    </row>
    <row r="849" spans="17:17" x14ac:dyDescent="0.25">
      <c r="Q849" s="4">
        <v>2</v>
      </c>
    </row>
    <row r="850" spans="17:17" x14ac:dyDescent="0.25">
      <c r="Q850" s="4">
        <v>2</v>
      </c>
    </row>
    <row r="851" spans="17:17" x14ac:dyDescent="0.25">
      <c r="Q851" s="4">
        <v>2</v>
      </c>
    </row>
    <row r="852" spans="17:17" x14ac:dyDescent="0.25">
      <c r="Q852" s="4">
        <v>3</v>
      </c>
    </row>
    <row r="853" spans="17:17" x14ac:dyDescent="0.25">
      <c r="Q853" s="4">
        <v>2</v>
      </c>
    </row>
    <row r="854" spans="17:17" x14ac:dyDescent="0.25">
      <c r="Q854" s="4">
        <v>3</v>
      </c>
    </row>
    <row r="855" spans="17:17" x14ac:dyDescent="0.25">
      <c r="Q855" s="4">
        <v>2</v>
      </c>
    </row>
    <row r="856" spans="17:17" x14ac:dyDescent="0.25">
      <c r="Q856" s="4">
        <v>3</v>
      </c>
    </row>
    <row r="857" spans="17:17" x14ac:dyDescent="0.25">
      <c r="Q857" s="4">
        <v>3</v>
      </c>
    </row>
    <row r="858" spans="17:17" x14ac:dyDescent="0.25">
      <c r="Q858" s="4">
        <v>2</v>
      </c>
    </row>
    <row r="859" spans="17:17" x14ac:dyDescent="0.25">
      <c r="Q859" s="4">
        <v>1</v>
      </c>
    </row>
    <row r="860" spans="17:17" x14ac:dyDescent="0.25">
      <c r="Q860" s="4">
        <v>2</v>
      </c>
    </row>
    <row r="861" spans="17:17" x14ac:dyDescent="0.25">
      <c r="Q861" s="4">
        <v>1</v>
      </c>
    </row>
    <row r="862" spans="17:17" x14ac:dyDescent="0.25">
      <c r="Q862" s="4">
        <v>2</v>
      </c>
    </row>
    <row r="863" spans="17:17" x14ac:dyDescent="0.25">
      <c r="Q863" s="4">
        <v>2</v>
      </c>
    </row>
    <row r="864" spans="17:17" x14ac:dyDescent="0.25">
      <c r="Q864" s="4">
        <v>2</v>
      </c>
    </row>
    <row r="865" spans="17:17" x14ac:dyDescent="0.25">
      <c r="Q865" s="4">
        <v>2</v>
      </c>
    </row>
    <row r="866" spans="17:17" x14ac:dyDescent="0.25">
      <c r="Q866" s="4">
        <v>2</v>
      </c>
    </row>
    <row r="867" spans="17:17" x14ac:dyDescent="0.25">
      <c r="Q867" s="4">
        <v>1</v>
      </c>
    </row>
    <row r="868" spans="17:17" x14ac:dyDescent="0.25">
      <c r="Q868" s="4">
        <v>3</v>
      </c>
    </row>
    <row r="869" spans="17:17" x14ac:dyDescent="0.25">
      <c r="Q869" s="4">
        <v>2</v>
      </c>
    </row>
    <row r="870" spans="17:17" x14ac:dyDescent="0.25">
      <c r="Q870" s="4">
        <v>2</v>
      </c>
    </row>
    <row r="871" spans="17:17" x14ac:dyDescent="0.25">
      <c r="Q871" s="4">
        <v>2</v>
      </c>
    </row>
    <row r="872" spans="17:17" x14ac:dyDescent="0.25">
      <c r="Q872" s="4">
        <v>2</v>
      </c>
    </row>
    <row r="873" spans="17:17" x14ac:dyDescent="0.25">
      <c r="Q873" s="4">
        <v>2</v>
      </c>
    </row>
    <row r="874" spans="17:17" x14ac:dyDescent="0.25">
      <c r="Q874" s="4">
        <v>2</v>
      </c>
    </row>
    <row r="875" spans="17:17" x14ac:dyDescent="0.25">
      <c r="Q875" s="4">
        <v>2</v>
      </c>
    </row>
    <row r="876" spans="17:17" x14ac:dyDescent="0.25">
      <c r="Q876" s="4">
        <v>2</v>
      </c>
    </row>
    <row r="877" spans="17:17" x14ac:dyDescent="0.25">
      <c r="Q877" s="4">
        <v>2</v>
      </c>
    </row>
    <row r="878" spans="17:17" x14ac:dyDescent="0.25">
      <c r="Q878" s="4">
        <v>2</v>
      </c>
    </row>
    <row r="879" spans="17:17" x14ac:dyDescent="0.25">
      <c r="Q879" s="4">
        <v>1</v>
      </c>
    </row>
    <row r="880" spans="17:17" x14ac:dyDescent="0.25">
      <c r="Q880" s="4">
        <v>3</v>
      </c>
    </row>
    <row r="881" spans="17:17" x14ac:dyDescent="0.25">
      <c r="Q881" s="4">
        <v>2</v>
      </c>
    </row>
    <row r="882" spans="17:17" x14ac:dyDescent="0.25">
      <c r="Q882" s="4">
        <v>2</v>
      </c>
    </row>
    <row r="883" spans="17:17" x14ac:dyDescent="0.25">
      <c r="Q883" s="4">
        <v>2</v>
      </c>
    </row>
    <row r="884" spans="17:17" x14ac:dyDescent="0.25">
      <c r="Q884" s="4">
        <v>2</v>
      </c>
    </row>
    <row r="885" spans="17:17" x14ac:dyDescent="0.25">
      <c r="Q885" s="4">
        <v>2</v>
      </c>
    </row>
    <row r="886" spans="17:17" x14ac:dyDescent="0.25">
      <c r="Q886" s="4">
        <v>3</v>
      </c>
    </row>
    <row r="887" spans="17:17" x14ac:dyDescent="0.25">
      <c r="Q887" s="4">
        <v>1</v>
      </c>
    </row>
    <row r="888" spans="17:17" x14ac:dyDescent="0.25">
      <c r="Q888" s="4">
        <v>2</v>
      </c>
    </row>
    <row r="889" spans="17:17" x14ac:dyDescent="0.25">
      <c r="Q889" s="4">
        <v>2</v>
      </c>
    </row>
    <row r="890" spans="17:17" x14ac:dyDescent="0.25">
      <c r="Q890" s="4">
        <v>2</v>
      </c>
    </row>
    <row r="891" spans="17:17" x14ac:dyDescent="0.25">
      <c r="Q891" s="4">
        <v>2</v>
      </c>
    </row>
    <row r="892" spans="17:17" x14ac:dyDescent="0.25">
      <c r="Q892" s="4">
        <v>1</v>
      </c>
    </row>
    <row r="893" spans="17:17" x14ac:dyDescent="0.25">
      <c r="Q893" s="4">
        <v>2</v>
      </c>
    </row>
    <row r="894" spans="17:17" x14ac:dyDescent="0.25">
      <c r="Q894" s="4">
        <v>1</v>
      </c>
    </row>
    <row r="895" spans="17:17" x14ac:dyDescent="0.25">
      <c r="Q895" s="4">
        <v>2</v>
      </c>
    </row>
    <row r="896" spans="17:17" x14ac:dyDescent="0.25">
      <c r="Q896" s="4">
        <v>3</v>
      </c>
    </row>
    <row r="897" spans="17:17" x14ac:dyDescent="0.25">
      <c r="Q897" s="4">
        <v>2</v>
      </c>
    </row>
    <row r="898" spans="17:17" x14ac:dyDescent="0.25">
      <c r="Q898" s="4">
        <v>1</v>
      </c>
    </row>
    <row r="899" spans="17:17" x14ac:dyDescent="0.25">
      <c r="Q899" s="4">
        <v>2</v>
      </c>
    </row>
    <row r="900" spans="17:17" x14ac:dyDescent="0.25">
      <c r="Q900" s="4">
        <v>2</v>
      </c>
    </row>
    <row r="901" spans="17:17" x14ac:dyDescent="0.25">
      <c r="Q901" s="4">
        <v>2</v>
      </c>
    </row>
    <row r="902" spans="17:17" x14ac:dyDescent="0.25">
      <c r="Q902" s="4">
        <v>2</v>
      </c>
    </row>
    <row r="903" spans="17:17" x14ac:dyDescent="0.25">
      <c r="Q903" s="4">
        <v>2</v>
      </c>
    </row>
    <row r="904" spans="17:17" x14ac:dyDescent="0.25">
      <c r="Q904" s="4">
        <v>1</v>
      </c>
    </row>
    <row r="905" spans="17:17" x14ac:dyDescent="0.25">
      <c r="Q905" s="4">
        <v>3</v>
      </c>
    </row>
    <row r="906" spans="17:17" x14ac:dyDescent="0.25">
      <c r="Q906" s="4">
        <v>3</v>
      </c>
    </row>
    <row r="907" spans="17:17" x14ac:dyDescent="0.25">
      <c r="Q907" s="4">
        <v>2</v>
      </c>
    </row>
    <row r="908" spans="17:17" x14ac:dyDescent="0.25">
      <c r="Q908" s="4">
        <v>3</v>
      </c>
    </row>
    <row r="909" spans="17:17" x14ac:dyDescent="0.25">
      <c r="Q909" s="4">
        <v>3</v>
      </c>
    </row>
    <row r="910" spans="17:17" x14ac:dyDescent="0.25">
      <c r="Q910" s="4">
        <v>2</v>
      </c>
    </row>
    <row r="911" spans="17:17" x14ac:dyDescent="0.25">
      <c r="Q911" s="4">
        <v>2</v>
      </c>
    </row>
    <row r="912" spans="17:17" x14ac:dyDescent="0.25">
      <c r="Q912" s="4">
        <v>2</v>
      </c>
    </row>
    <row r="913" spans="17:17" x14ac:dyDescent="0.25">
      <c r="Q913" s="4">
        <v>2</v>
      </c>
    </row>
    <row r="914" spans="17:17" x14ac:dyDescent="0.25">
      <c r="Q914" s="4">
        <v>1</v>
      </c>
    </row>
    <row r="915" spans="17:17" x14ac:dyDescent="0.25">
      <c r="Q915" s="4">
        <v>2</v>
      </c>
    </row>
    <row r="916" spans="17:17" x14ac:dyDescent="0.25">
      <c r="Q916" s="4">
        <v>1</v>
      </c>
    </row>
    <row r="917" spans="17:17" x14ac:dyDescent="0.25">
      <c r="Q917" s="4">
        <v>2</v>
      </c>
    </row>
    <row r="918" spans="17:17" x14ac:dyDescent="0.25">
      <c r="Q918" s="4">
        <v>2</v>
      </c>
    </row>
    <row r="919" spans="17:17" x14ac:dyDescent="0.25">
      <c r="Q919" s="4">
        <v>1</v>
      </c>
    </row>
    <row r="920" spans="17:17" x14ac:dyDescent="0.25">
      <c r="Q920" s="4">
        <v>2</v>
      </c>
    </row>
    <row r="921" spans="17:17" x14ac:dyDescent="0.25">
      <c r="Q921" s="4">
        <v>2</v>
      </c>
    </row>
    <row r="922" spans="17:17" x14ac:dyDescent="0.25">
      <c r="Q922" s="4">
        <v>2</v>
      </c>
    </row>
    <row r="923" spans="17:17" x14ac:dyDescent="0.25">
      <c r="Q923" s="4">
        <v>1</v>
      </c>
    </row>
    <row r="924" spans="17:17" x14ac:dyDescent="0.25">
      <c r="Q924" s="4">
        <v>2</v>
      </c>
    </row>
    <row r="925" spans="17:17" x14ac:dyDescent="0.25">
      <c r="Q925" s="4">
        <v>2</v>
      </c>
    </row>
    <row r="926" spans="17:17" x14ac:dyDescent="0.25">
      <c r="Q926" s="4">
        <v>2</v>
      </c>
    </row>
    <row r="927" spans="17:17" x14ac:dyDescent="0.25">
      <c r="Q927" s="4">
        <v>2</v>
      </c>
    </row>
    <row r="928" spans="17:17" x14ac:dyDescent="0.25">
      <c r="Q928" s="4">
        <v>2</v>
      </c>
    </row>
    <row r="929" spans="17:17" x14ac:dyDescent="0.25">
      <c r="Q929" s="4">
        <v>1</v>
      </c>
    </row>
    <row r="930" spans="17:17" x14ac:dyDescent="0.25">
      <c r="Q930" s="4">
        <v>1</v>
      </c>
    </row>
    <row r="931" spans="17:17" x14ac:dyDescent="0.25">
      <c r="Q931" s="4">
        <v>2</v>
      </c>
    </row>
    <row r="932" spans="17:17" x14ac:dyDescent="0.25">
      <c r="Q932" s="4">
        <v>1</v>
      </c>
    </row>
    <row r="933" spans="17:17" x14ac:dyDescent="0.25">
      <c r="Q933" s="4">
        <v>1</v>
      </c>
    </row>
    <row r="934" spans="17:17" x14ac:dyDescent="0.25">
      <c r="Q934" s="4">
        <v>2</v>
      </c>
    </row>
    <row r="935" spans="17:17" x14ac:dyDescent="0.25">
      <c r="Q935" s="4">
        <v>2</v>
      </c>
    </row>
    <row r="936" spans="17:17" x14ac:dyDescent="0.25">
      <c r="Q936" s="4">
        <v>2</v>
      </c>
    </row>
    <row r="937" spans="17:17" x14ac:dyDescent="0.25">
      <c r="Q937" s="4">
        <v>2</v>
      </c>
    </row>
    <row r="938" spans="17:17" x14ac:dyDescent="0.25">
      <c r="Q938" s="4">
        <v>2</v>
      </c>
    </row>
    <row r="939" spans="17:17" x14ac:dyDescent="0.25">
      <c r="Q939" s="4">
        <v>2</v>
      </c>
    </row>
    <row r="940" spans="17:17" x14ac:dyDescent="0.25">
      <c r="Q940" s="4">
        <v>2</v>
      </c>
    </row>
    <row r="941" spans="17:17" x14ac:dyDescent="0.25">
      <c r="Q941" s="4">
        <v>2</v>
      </c>
    </row>
    <row r="942" spans="17:17" x14ac:dyDescent="0.25">
      <c r="Q942" s="4">
        <v>2</v>
      </c>
    </row>
    <row r="943" spans="17:17" x14ac:dyDescent="0.25">
      <c r="Q943" s="4">
        <v>2</v>
      </c>
    </row>
    <row r="944" spans="17:17" x14ac:dyDescent="0.25">
      <c r="Q944" s="4">
        <v>2</v>
      </c>
    </row>
    <row r="945" spans="17:17" x14ac:dyDescent="0.25">
      <c r="Q945" s="4">
        <v>2</v>
      </c>
    </row>
    <row r="946" spans="17:17" x14ac:dyDescent="0.25">
      <c r="Q946" s="4">
        <v>1</v>
      </c>
    </row>
    <row r="947" spans="17:17" x14ac:dyDescent="0.25">
      <c r="Q947" s="4">
        <v>3</v>
      </c>
    </row>
    <row r="948" spans="17:17" x14ac:dyDescent="0.25">
      <c r="Q948" s="4">
        <v>3</v>
      </c>
    </row>
    <row r="949" spans="17:17" x14ac:dyDescent="0.25">
      <c r="Q949" s="4">
        <v>3</v>
      </c>
    </row>
    <row r="950" spans="17:17" x14ac:dyDescent="0.25">
      <c r="Q950" s="4">
        <v>2</v>
      </c>
    </row>
    <row r="951" spans="17:17" x14ac:dyDescent="0.25">
      <c r="Q951" s="4">
        <v>2</v>
      </c>
    </row>
    <row r="952" spans="17:17" x14ac:dyDescent="0.25">
      <c r="Q952" s="4">
        <v>2</v>
      </c>
    </row>
    <row r="953" spans="17:17" x14ac:dyDescent="0.25">
      <c r="Q953" s="4">
        <v>2</v>
      </c>
    </row>
    <row r="954" spans="17:17" x14ac:dyDescent="0.25">
      <c r="Q954" s="4">
        <v>2</v>
      </c>
    </row>
    <row r="955" spans="17:17" x14ac:dyDescent="0.25">
      <c r="Q955" s="4">
        <v>2</v>
      </c>
    </row>
    <row r="956" spans="17:17" x14ac:dyDescent="0.25">
      <c r="Q956" s="4">
        <v>3</v>
      </c>
    </row>
    <row r="957" spans="17:17" x14ac:dyDescent="0.25">
      <c r="Q957" s="4">
        <v>3</v>
      </c>
    </row>
    <row r="958" spans="17:17" x14ac:dyDescent="0.25">
      <c r="Q958" s="4">
        <v>3</v>
      </c>
    </row>
    <row r="959" spans="17:17" x14ac:dyDescent="0.25">
      <c r="Q959" s="4">
        <v>1</v>
      </c>
    </row>
    <row r="960" spans="17:17" x14ac:dyDescent="0.25">
      <c r="Q960" s="4">
        <v>2</v>
      </c>
    </row>
    <row r="961" spans="17:17" x14ac:dyDescent="0.25">
      <c r="Q961" s="4">
        <v>2</v>
      </c>
    </row>
    <row r="962" spans="17:17" x14ac:dyDescent="0.25">
      <c r="Q962" s="4">
        <v>1</v>
      </c>
    </row>
    <row r="963" spans="17:17" x14ac:dyDescent="0.25">
      <c r="Q963" s="4">
        <v>2</v>
      </c>
    </row>
    <row r="964" spans="17:17" x14ac:dyDescent="0.25">
      <c r="Q964" s="4">
        <v>2</v>
      </c>
    </row>
    <row r="965" spans="17:17" x14ac:dyDescent="0.25">
      <c r="Q965" s="4">
        <v>2</v>
      </c>
    </row>
    <row r="966" spans="17:17" x14ac:dyDescent="0.25">
      <c r="Q966" s="4">
        <v>2</v>
      </c>
    </row>
    <row r="967" spans="17:17" x14ac:dyDescent="0.25">
      <c r="Q967" s="4">
        <v>3</v>
      </c>
    </row>
    <row r="968" spans="17:17" x14ac:dyDescent="0.25">
      <c r="Q968" s="4">
        <v>2</v>
      </c>
    </row>
    <row r="969" spans="17:17" x14ac:dyDescent="0.25">
      <c r="Q969" s="4">
        <v>1</v>
      </c>
    </row>
    <row r="970" spans="17:17" x14ac:dyDescent="0.25">
      <c r="Q970" s="4">
        <v>3</v>
      </c>
    </row>
    <row r="971" spans="17:17" x14ac:dyDescent="0.25">
      <c r="Q971" s="4">
        <v>2</v>
      </c>
    </row>
    <row r="972" spans="17:17" x14ac:dyDescent="0.25">
      <c r="Q972" s="4">
        <v>2</v>
      </c>
    </row>
    <row r="973" spans="17:17" x14ac:dyDescent="0.25">
      <c r="Q973" s="4">
        <v>1</v>
      </c>
    </row>
    <row r="974" spans="17:17" x14ac:dyDescent="0.25">
      <c r="Q974" s="4">
        <v>2</v>
      </c>
    </row>
    <row r="975" spans="17:17" x14ac:dyDescent="0.25">
      <c r="Q975" s="4">
        <v>1</v>
      </c>
    </row>
    <row r="976" spans="17:17" x14ac:dyDescent="0.25">
      <c r="Q976" s="4">
        <v>2</v>
      </c>
    </row>
    <row r="977" spans="17:17" x14ac:dyDescent="0.25">
      <c r="Q977" s="4">
        <v>1</v>
      </c>
    </row>
    <row r="978" spans="17:17" x14ac:dyDescent="0.25">
      <c r="Q978" s="4">
        <v>2</v>
      </c>
    </row>
    <row r="979" spans="17:17" x14ac:dyDescent="0.25">
      <c r="Q979" s="4">
        <v>2</v>
      </c>
    </row>
    <row r="980" spans="17:17" x14ac:dyDescent="0.25">
      <c r="Q980" s="4">
        <v>2</v>
      </c>
    </row>
    <row r="981" spans="17:17" x14ac:dyDescent="0.25">
      <c r="Q981" s="4">
        <v>2</v>
      </c>
    </row>
    <row r="982" spans="17:17" x14ac:dyDescent="0.25">
      <c r="Q982" s="4">
        <v>3</v>
      </c>
    </row>
    <row r="983" spans="17:17" x14ac:dyDescent="0.25">
      <c r="Q983" s="4">
        <v>3</v>
      </c>
    </row>
    <row r="984" spans="17:17" x14ac:dyDescent="0.25">
      <c r="Q984" s="4">
        <v>2</v>
      </c>
    </row>
    <row r="985" spans="17:17" x14ac:dyDescent="0.25">
      <c r="Q985" s="4">
        <v>2</v>
      </c>
    </row>
    <row r="986" spans="17:17" x14ac:dyDescent="0.25">
      <c r="Q986" s="4">
        <v>2</v>
      </c>
    </row>
    <row r="987" spans="17:17" x14ac:dyDescent="0.25">
      <c r="Q987" s="4">
        <v>2</v>
      </c>
    </row>
    <row r="988" spans="17:17" x14ac:dyDescent="0.25">
      <c r="Q988" s="4">
        <v>2</v>
      </c>
    </row>
    <row r="989" spans="17:17" x14ac:dyDescent="0.25">
      <c r="Q989" s="4">
        <v>2</v>
      </c>
    </row>
    <row r="990" spans="17:17" x14ac:dyDescent="0.25">
      <c r="Q990" s="4">
        <v>2</v>
      </c>
    </row>
    <row r="991" spans="17:17" x14ac:dyDescent="0.25">
      <c r="Q991" s="4">
        <v>3</v>
      </c>
    </row>
    <row r="992" spans="17:17" x14ac:dyDescent="0.25">
      <c r="Q992" s="4">
        <v>1</v>
      </c>
    </row>
    <row r="993" spans="17:17" x14ac:dyDescent="0.25">
      <c r="Q993" s="4">
        <v>2</v>
      </c>
    </row>
    <row r="994" spans="17:17" x14ac:dyDescent="0.25">
      <c r="Q994" s="4">
        <v>2</v>
      </c>
    </row>
    <row r="995" spans="17:17" x14ac:dyDescent="0.25">
      <c r="Q995" s="4">
        <v>3</v>
      </c>
    </row>
    <row r="996" spans="17:17" x14ac:dyDescent="0.25">
      <c r="Q996" s="4">
        <v>2</v>
      </c>
    </row>
    <row r="997" spans="17:17" x14ac:dyDescent="0.25">
      <c r="Q997" s="4">
        <v>1</v>
      </c>
    </row>
    <row r="998" spans="17:17" x14ac:dyDescent="0.25">
      <c r="Q998" s="4">
        <v>1</v>
      </c>
    </row>
    <row r="999" spans="17:17" x14ac:dyDescent="0.25">
      <c r="Q999" s="4">
        <v>2</v>
      </c>
    </row>
    <row r="1000" spans="17:17" x14ac:dyDescent="0.25">
      <c r="Q1000" s="4">
        <v>2</v>
      </c>
    </row>
    <row r="1001" spans="17:17" x14ac:dyDescent="0.25">
      <c r="Q1001" s="4">
        <v>2</v>
      </c>
    </row>
    <row r="1048576" spans="1:146" x14ac:dyDescent="0.25">
      <c r="A1048576">
        <v>1</v>
      </c>
      <c r="B1048576">
        <v>2</v>
      </c>
      <c r="C1048576">
        <v>3</v>
      </c>
      <c r="D1048576">
        <v>4</v>
      </c>
      <c r="E1048576">
        <v>5</v>
      </c>
      <c r="F1048576">
        <v>6</v>
      </c>
      <c r="G1048576">
        <v>7</v>
      </c>
      <c r="H1048576">
        <v>8</v>
      </c>
      <c r="I1048576">
        <v>9</v>
      </c>
      <c r="J1048576">
        <v>10</v>
      </c>
      <c r="K1048576">
        <v>11</v>
      </c>
      <c r="L1048576">
        <v>12</v>
      </c>
      <c r="M1048576">
        <v>13</v>
      </c>
      <c r="N1048576">
        <v>14</v>
      </c>
      <c r="O1048576">
        <v>15</v>
      </c>
      <c r="P1048576">
        <v>16</v>
      </c>
      <c r="Q1048576">
        <v>17</v>
      </c>
      <c r="R1048576">
        <v>18</v>
      </c>
      <c r="S1048576">
        <v>19</v>
      </c>
      <c r="T1048576">
        <v>20</v>
      </c>
      <c r="U1048576">
        <v>21</v>
      </c>
      <c r="V1048576">
        <v>22</v>
      </c>
      <c r="W1048576">
        <v>23</v>
      </c>
      <c r="X1048576">
        <v>24</v>
      </c>
      <c r="Y1048576">
        <v>25</v>
      </c>
      <c r="Z1048576">
        <v>26</v>
      </c>
      <c r="AA1048576">
        <v>27</v>
      </c>
      <c r="AB1048576">
        <v>28</v>
      </c>
      <c r="AC1048576">
        <v>29</v>
      </c>
      <c r="AD1048576">
        <v>30</v>
      </c>
      <c r="AE1048576">
        <v>31</v>
      </c>
      <c r="AF1048576">
        <v>32</v>
      </c>
      <c r="AG1048576">
        <v>33</v>
      </c>
      <c r="AH1048576">
        <v>34</v>
      </c>
      <c r="AI1048576">
        <v>35</v>
      </c>
      <c r="AJ1048576">
        <v>36</v>
      </c>
      <c r="AK1048576">
        <v>37</v>
      </c>
      <c r="AL1048576">
        <v>38</v>
      </c>
      <c r="AM1048576">
        <v>39</v>
      </c>
      <c r="AN1048576">
        <v>40</v>
      </c>
      <c r="AO1048576">
        <v>41</v>
      </c>
      <c r="AP1048576">
        <v>42</v>
      </c>
      <c r="AQ1048576">
        <v>43</v>
      </c>
      <c r="AR1048576">
        <v>44</v>
      </c>
      <c r="AS1048576">
        <v>45</v>
      </c>
      <c r="AT1048576">
        <v>46</v>
      </c>
      <c r="AU1048576">
        <v>47</v>
      </c>
      <c r="AV1048576">
        <v>48</v>
      </c>
      <c r="AW1048576">
        <v>49</v>
      </c>
      <c r="AX1048576">
        <v>50</v>
      </c>
      <c r="AY1048576">
        <v>51</v>
      </c>
      <c r="AZ1048576">
        <v>52</v>
      </c>
      <c r="BA1048576">
        <v>53</v>
      </c>
      <c r="BB1048576">
        <v>54</v>
      </c>
      <c r="BC1048576">
        <v>55</v>
      </c>
      <c r="BD1048576">
        <v>56</v>
      </c>
      <c r="BE1048576">
        <v>57</v>
      </c>
      <c r="BF1048576">
        <v>58</v>
      </c>
      <c r="BG1048576">
        <v>59</v>
      </c>
      <c r="BH1048576">
        <v>60</v>
      </c>
      <c r="BI1048576">
        <v>61</v>
      </c>
      <c r="BJ1048576">
        <v>62</v>
      </c>
      <c r="BK1048576">
        <v>63</v>
      </c>
      <c r="BL1048576">
        <v>64</v>
      </c>
      <c r="BM1048576">
        <v>65</v>
      </c>
      <c r="BN1048576">
        <v>66</v>
      </c>
      <c r="BO1048576">
        <v>67</v>
      </c>
      <c r="BP1048576">
        <v>68</v>
      </c>
      <c r="BQ1048576">
        <v>69</v>
      </c>
      <c r="BR1048576">
        <v>70</v>
      </c>
      <c r="BS1048576">
        <v>71</v>
      </c>
      <c r="BT1048576">
        <v>72</v>
      </c>
      <c r="BU1048576">
        <v>73</v>
      </c>
      <c r="BV1048576">
        <v>74</v>
      </c>
      <c r="BW1048576">
        <v>75</v>
      </c>
      <c r="BX1048576">
        <v>76</v>
      </c>
      <c r="BY1048576">
        <v>77</v>
      </c>
      <c r="BZ1048576">
        <v>78</v>
      </c>
      <c r="CA1048576">
        <v>79</v>
      </c>
      <c r="CB1048576">
        <v>80</v>
      </c>
      <c r="CC1048576">
        <v>81</v>
      </c>
      <c r="CD1048576">
        <v>82</v>
      </c>
      <c r="CE1048576">
        <v>83</v>
      </c>
      <c r="CF1048576">
        <v>84</v>
      </c>
      <c r="CG1048576">
        <v>85</v>
      </c>
      <c r="CH1048576">
        <v>86</v>
      </c>
      <c r="CI1048576">
        <v>87</v>
      </c>
      <c r="CJ1048576">
        <v>88</v>
      </c>
      <c r="CK1048576">
        <v>89</v>
      </c>
      <c r="CL1048576">
        <v>90</v>
      </c>
      <c r="CM1048576">
        <v>91</v>
      </c>
      <c r="CN1048576">
        <v>92</v>
      </c>
      <c r="CO1048576">
        <v>93</v>
      </c>
      <c r="CP1048576">
        <v>94</v>
      </c>
      <c r="CQ1048576">
        <v>95</v>
      </c>
      <c r="CR1048576">
        <v>96</v>
      </c>
      <c r="CS1048576">
        <v>97</v>
      </c>
      <c r="CT1048576">
        <v>98</v>
      </c>
      <c r="CU1048576">
        <v>99</v>
      </c>
      <c r="CV1048576">
        <v>100</v>
      </c>
      <c r="CW1048576">
        <v>101</v>
      </c>
      <c r="CX1048576">
        <v>102</v>
      </c>
      <c r="CY1048576">
        <v>103</v>
      </c>
      <c r="CZ1048576">
        <v>104</v>
      </c>
      <c r="DA1048576">
        <v>105</v>
      </c>
      <c r="DB1048576">
        <v>106</v>
      </c>
      <c r="DC1048576">
        <v>107</v>
      </c>
      <c r="DD1048576">
        <v>108</v>
      </c>
      <c r="DE1048576">
        <v>109</v>
      </c>
      <c r="DF1048576">
        <v>110</v>
      </c>
      <c r="DG1048576">
        <v>111</v>
      </c>
      <c r="DH1048576">
        <v>112</v>
      </c>
      <c r="DI1048576">
        <v>113</v>
      </c>
      <c r="DJ1048576">
        <v>114</v>
      </c>
      <c r="DK1048576">
        <v>115</v>
      </c>
      <c r="DL1048576">
        <v>116</v>
      </c>
      <c r="DM1048576">
        <v>117</v>
      </c>
      <c r="DN1048576">
        <v>118</v>
      </c>
      <c r="DO1048576">
        <v>119</v>
      </c>
      <c r="DP1048576">
        <v>120</v>
      </c>
      <c r="DQ1048576">
        <v>121</v>
      </c>
      <c r="DR1048576">
        <v>122</v>
      </c>
      <c r="DS1048576">
        <v>123</v>
      </c>
      <c r="DT1048576">
        <v>124</v>
      </c>
      <c r="DU1048576">
        <v>125</v>
      </c>
      <c r="DV1048576">
        <v>126</v>
      </c>
      <c r="DW1048576">
        <v>127</v>
      </c>
      <c r="DX1048576">
        <v>128</v>
      </c>
      <c r="DY1048576">
        <v>129</v>
      </c>
      <c r="DZ1048576">
        <v>130</v>
      </c>
      <c r="EA1048576">
        <v>131</v>
      </c>
      <c r="EB1048576">
        <v>132</v>
      </c>
      <c r="EC1048576">
        <v>133</v>
      </c>
      <c r="ED1048576">
        <v>134</v>
      </c>
      <c r="EE1048576">
        <v>135</v>
      </c>
      <c r="EF1048576">
        <v>136</v>
      </c>
      <c r="EG1048576">
        <v>137</v>
      </c>
      <c r="EH1048576">
        <v>138</v>
      </c>
      <c r="EI1048576">
        <v>139</v>
      </c>
      <c r="EJ1048576">
        <v>140</v>
      </c>
      <c r="EK1048576">
        <v>141</v>
      </c>
      <c r="EL1048576">
        <v>142</v>
      </c>
      <c r="EM1048576">
        <v>143</v>
      </c>
      <c r="EN1048576">
        <v>144</v>
      </c>
      <c r="EO1048576">
        <v>145</v>
      </c>
      <c r="EP1048576">
        <v>146</v>
      </c>
    </row>
  </sheetData>
  <autoFilter ref="A1:G1">
    <sortState ref="A2:G391">
      <sortCondition ref="C1"/>
    </sortState>
  </autoFilter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3"/>
  <sheetViews>
    <sheetView topLeftCell="F1" workbookViewId="0">
      <selection activeCell="I9" sqref="I9"/>
    </sheetView>
  </sheetViews>
  <sheetFormatPr baseColWidth="10" defaultRowHeight="15" x14ac:dyDescent="0.25"/>
  <cols>
    <col min="7" max="7" width="14.28515625" bestFit="1" customWidth="1"/>
    <col min="8" max="9" width="12" bestFit="1" customWidth="1"/>
    <col min="13" max="13" width="12" bestFit="1" customWidth="1"/>
  </cols>
  <sheetData>
    <row r="1" spans="1:10" x14ac:dyDescent="0.25">
      <c r="A1" s="12"/>
      <c r="B1" s="13"/>
      <c r="C1" s="13"/>
      <c r="D1" s="13"/>
      <c r="E1" s="14"/>
      <c r="F1" t="s">
        <v>54</v>
      </c>
    </row>
    <row r="2" spans="1:10" x14ac:dyDescent="0.25">
      <c r="A2" s="15" t="s">
        <v>46</v>
      </c>
      <c r="B2" s="16"/>
      <c r="C2" s="16"/>
      <c r="D2" s="16"/>
      <c r="E2" s="17"/>
      <c r="F2" t="s">
        <v>56</v>
      </c>
      <c r="H2" t="s">
        <v>25</v>
      </c>
      <c r="I2">
        <v>0.4</v>
      </c>
      <c r="J2" t="s">
        <v>58</v>
      </c>
    </row>
    <row r="3" spans="1:10" x14ac:dyDescent="0.25">
      <c r="A3" s="15"/>
      <c r="B3" s="16"/>
      <c r="C3" s="16"/>
      <c r="D3" s="16"/>
      <c r="E3" s="17"/>
      <c r="H3" t="s">
        <v>57</v>
      </c>
      <c r="I3">
        <v>10</v>
      </c>
      <c r="J3" t="s">
        <v>59</v>
      </c>
    </row>
    <row r="4" spans="1:10" x14ac:dyDescent="0.25">
      <c r="A4" s="15" t="s">
        <v>47</v>
      </c>
      <c r="B4" s="16" t="s">
        <v>48</v>
      </c>
      <c r="C4" s="18">
        <v>0.1</v>
      </c>
      <c r="D4" s="16"/>
      <c r="E4" s="17"/>
      <c r="F4" t="s">
        <v>49</v>
      </c>
      <c r="G4" t="s">
        <v>55</v>
      </c>
      <c r="H4" t="s">
        <v>50</v>
      </c>
    </row>
    <row r="5" spans="1:10" x14ac:dyDescent="0.25">
      <c r="A5" s="15"/>
      <c r="B5" s="10" t="s">
        <v>49</v>
      </c>
      <c r="C5" s="10" t="s">
        <v>50</v>
      </c>
      <c r="D5" s="10" t="s">
        <v>51</v>
      </c>
      <c r="E5" s="17"/>
      <c r="F5">
        <v>0</v>
      </c>
      <c r="G5">
        <f>COMBIN($I$3,F5)</f>
        <v>1</v>
      </c>
      <c r="H5" s="23">
        <f>G5*(($I$2^F5)*((1-$I$2)^($I$3-F5)))</f>
        <v>6.0466175999999991E-3</v>
      </c>
    </row>
    <row r="6" spans="1:10" x14ac:dyDescent="0.25">
      <c r="A6" s="19" t="s">
        <v>52</v>
      </c>
      <c r="B6" s="11">
        <v>0</v>
      </c>
      <c r="C6" s="10">
        <f>(C4^B6)*(1-C4)^(1-B6)</f>
        <v>0.9</v>
      </c>
      <c r="D6" s="10">
        <f>C6</f>
        <v>0.9</v>
      </c>
      <c r="E6" s="17"/>
      <c r="F6">
        <v>1</v>
      </c>
      <c r="G6">
        <f t="shared" ref="G6:G15" si="0">COMBIN($I$3,F6)</f>
        <v>10</v>
      </c>
      <c r="H6" s="23">
        <f t="shared" ref="H6:H15" si="1">G6*(($I$2^F6)*((1-$I$2)^($I$3-F6)))</f>
        <v>4.0310783999999995E-2</v>
      </c>
    </row>
    <row r="7" spans="1:10" x14ac:dyDescent="0.25">
      <c r="A7" s="19" t="s">
        <v>53</v>
      </c>
      <c r="B7" s="11">
        <v>1</v>
      </c>
      <c r="C7" s="10">
        <f>(C4^B7)*(1-C4)^(1-B7)</f>
        <v>0.1</v>
      </c>
      <c r="D7" s="10">
        <f>C7+D6</f>
        <v>1</v>
      </c>
      <c r="E7" s="17"/>
      <c r="F7">
        <v>2</v>
      </c>
      <c r="G7">
        <f t="shared" si="0"/>
        <v>45</v>
      </c>
      <c r="H7" s="23">
        <f t="shared" si="1"/>
        <v>0.12093235200000001</v>
      </c>
    </row>
    <row r="8" spans="1:10" x14ac:dyDescent="0.25">
      <c r="A8" s="15"/>
      <c r="B8" s="16"/>
      <c r="C8" s="16"/>
      <c r="D8" s="16"/>
      <c r="E8" s="17"/>
      <c r="F8">
        <v>3</v>
      </c>
      <c r="G8">
        <f t="shared" si="0"/>
        <v>120</v>
      </c>
      <c r="H8" s="23">
        <f t="shared" si="1"/>
        <v>0.21499084800000001</v>
      </c>
    </row>
    <row r="9" spans="1:10" x14ac:dyDescent="0.25">
      <c r="A9" s="15"/>
      <c r="B9" s="16"/>
      <c r="C9" s="16"/>
      <c r="D9" s="16"/>
      <c r="E9" s="17"/>
      <c r="F9">
        <v>4</v>
      </c>
      <c r="G9">
        <f t="shared" si="0"/>
        <v>209.99999999999997</v>
      </c>
      <c r="H9" s="23">
        <f t="shared" si="1"/>
        <v>0.25082265600000003</v>
      </c>
      <c r="I9" t="s">
        <v>60</v>
      </c>
    </row>
    <row r="10" spans="1:10" x14ac:dyDescent="0.25">
      <c r="A10" s="15"/>
      <c r="B10" s="16">
        <v>0</v>
      </c>
      <c r="C10" s="16">
        <v>0</v>
      </c>
      <c r="D10" s="16"/>
      <c r="E10" s="17"/>
      <c r="F10">
        <v>5</v>
      </c>
      <c r="G10">
        <f t="shared" si="0"/>
        <v>252</v>
      </c>
      <c r="H10" s="23">
        <f t="shared" si="1"/>
        <v>0.20065812480000011</v>
      </c>
    </row>
    <row r="11" spans="1:10" x14ac:dyDescent="0.25">
      <c r="A11" s="15"/>
      <c r="B11" s="16">
        <v>0</v>
      </c>
      <c r="C11" s="16">
        <f>D6</f>
        <v>0.9</v>
      </c>
      <c r="D11" s="16"/>
      <c r="E11" s="17"/>
      <c r="F11">
        <v>6</v>
      </c>
      <c r="G11">
        <f t="shared" si="0"/>
        <v>209.99999999999997</v>
      </c>
      <c r="H11" s="23">
        <f t="shared" si="1"/>
        <v>0.11147673600000005</v>
      </c>
    </row>
    <row r="12" spans="1:10" x14ac:dyDescent="0.25">
      <c r="A12" s="15"/>
      <c r="B12" s="16">
        <v>1</v>
      </c>
      <c r="C12" s="16">
        <f>D6</f>
        <v>0.9</v>
      </c>
      <c r="D12" s="16"/>
      <c r="E12" s="17"/>
      <c r="F12">
        <v>7</v>
      </c>
      <c r="G12">
        <f t="shared" si="0"/>
        <v>120</v>
      </c>
      <c r="H12" s="23">
        <f t="shared" si="1"/>
        <v>4.2467328000000026E-2</v>
      </c>
    </row>
    <row r="13" spans="1:10" x14ac:dyDescent="0.25">
      <c r="A13" s="15"/>
      <c r="B13" s="16">
        <v>1</v>
      </c>
      <c r="C13" s="16">
        <f>D7</f>
        <v>1</v>
      </c>
      <c r="D13" s="16"/>
      <c r="E13" s="17"/>
      <c r="F13">
        <v>8</v>
      </c>
      <c r="G13">
        <f t="shared" si="0"/>
        <v>45</v>
      </c>
      <c r="H13" s="23">
        <f t="shared" si="1"/>
        <v>1.0616832000000008E-2</v>
      </c>
    </row>
    <row r="14" spans="1:10" x14ac:dyDescent="0.25">
      <c r="A14" s="15"/>
      <c r="B14" s="16"/>
      <c r="C14" s="16"/>
      <c r="D14" s="16"/>
      <c r="E14" s="17"/>
      <c r="F14">
        <v>9</v>
      </c>
      <c r="G14">
        <f t="shared" si="0"/>
        <v>10</v>
      </c>
      <c r="H14" s="23">
        <f t="shared" si="1"/>
        <v>1.5728640000000013E-3</v>
      </c>
    </row>
    <row r="15" spans="1:10" x14ac:dyDescent="0.25">
      <c r="A15" s="15"/>
      <c r="B15" s="16"/>
      <c r="C15" s="16"/>
      <c r="D15" s="16"/>
      <c r="E15" s="17"/>
      <c r="F15">
        <v>10</v>
      </c>
      <c r="G15">
        <f t="shared" si="0"/>
        <v>1</v>
      </c>
      <c r="H15" s="23">
        <f t="shared" si="1"/>
        <v>1.0485760000000011E-4</v>
      </c>
    </row>
    <row r="16" spans="1:10" x14ac:dyDescent="0.25">
      <c r="A16" s="15"/>
      <c r="B16" s="16"/>
      <c r="C16" s="16"/>
      <c r="D16" s="16"/>
      <c r="E16" s="17"/>
    </row>
    <row r="17" spans="1:5" x14ac:dyDescent="0.25">
      <c r="A17" s="15"/>
      <c r="B17" s="16"/>
      <c r="C17" s="16"/>
      <c r="D17" s="16"/>
      <c r="E17" s="17"/>
    </row>
    <row r="18" spans="1:5" x14ac:dyDescent="0.25">
      <c r="A18" s="15"/>
      <c r="B18" s="16"/>
      <c r="C18" s="16"/>
      <c r="D18" s="16"/>
      <c r="E18" s="17"/>
    </row>
    <row r="19" spans="1:5" x14ac:dyDescent="0.25">
      <c r="A19" s="15"/>
      <c r="B19" s="16"/>
      <c r="C19" s="16"/>
      <c r="D19" s="16"/>
      <c r="E19" s="17"/>
    </row>
    <row r="20" spans="1:5" x14ac:dyDescent="0.25">
      <c r="A20" s="15"/>
      <c r="B20" s="16"/>
      <c r="C20" s="16"/>
      <c r="D20" s="16"/>
      <c r="E20" s="17"/>
    </row>
    <row r="21" spans="1:5" x14ac:dyDescent="0.25">
      <c r="A21" s="15"/>
      <c r="B21" s="16"/>
      <c r="C21" s="16"/>
      <c r="D21" s="16"/>
      <c r="E21" s="17"/>
    </row>
    <row r="22" spans="1:5" x14ac:dyDescent="0.25">
      <c r="A22" s="15"/>
      <c r="B22" s="16"/>
      <c r="C22" s="16"/>
      <c r="D22" s="16"/>
      <c r="E22" s="17"/>
    </row>
    <row r="23" spans="1:5" x14ac:dyDescent="0.25">
      <c r="A23" s="15"/>
      <c r="B23" s="16"/>
      <c r="C23" s="16"/>
      <c r="D23" s="16"/>
      <c r="E23" s="17"/>
    </row>
    <row r="24" spans="1:5" x14ac:dyDescent="0.25">
      <c r="A24" s="15"/>
      <c r="B24" s="16"/>
      <c r="C24" s="16"/>
      <c r="D24" s="16"/>
      <c r="E24" s="17"/>
    </row>
    <row r="25" spans="1:5" x14ac:dyDescent="0.25">
      <c r="A25" s="15"/>
      <c r="B25" s="16"/>
      <c r="C25" s="16"/>
      <c r="D25" s="16"/>
      <c r="E25" s="17"/>
    </row>
    <row r="26" spans="1:5" x14ac:dyDescent="0.25">
      <c r="A26" s="15"/>
      <c r="B26" s="16"/>
      <c r="C26" s="16"/>
      <c r="D26" s="16"/>
      <c r="E26" s="17"/>
    </row>
    <row r="27" spans="1:5" x14ac:dyDescent="0.25">
      <c r="A27" s="15"/>
      <c r="B27" s="16"/>
      <c r="C27" s="16"/>
      <c r="D27" s="16"/>
      <c r="E27" s="17"/>
    </row>
    <row r="28" spans="1:5" x14ac:dyDescent="0.25">
      <c r="A28" s="15"/>
      <c r="B28" s="16"/>
      <c r="C28" s="16"/>
      <c r="D28" s="16"/>
      <c r="E28" s="17"/>
    </row>
    <row r="29" spans="1:5" x14ac:dyDescent="0.25">
      <c r="A29" s="15"/>
      <c r="B29" s="16"/>
      <c r="C29" s="16"/>
      <c r="D29" s="16"/>
      <c r="E29" s="17"/>
    </row>
    <row r="30" spans="1:5" x14ac:dyDescent="0.25">
      <c r="A30" s="15"/>
      <c r="B30" s="16"/>
      <c r="C30" s="16"/>
      <c r="D30" s="16"/>
      <c r="E30" s="17"/>
    </row>
    <row r="31" spans="1:5" x14ac:dyDescent="0.25">
      <c r="A31" s="15"/>
      <c r="B31" s="16"/>
      <c r="C31" s="16"/>
      <c r="D31" s="16"/>
      <c r="E31" s="17"/>
    </row>
    <row r="32" spans="1:5" x14ac:dyDescent="0.25">
      <c r="A32" s="15"/>
      <c r="B32" s="16"/>
      <c r="C32" s="16"/>
      <c r="D32" s="16"/>
      <c r="E32" s="17"/>
    </row>
    <row r="33" spans="1:5" ht="15.75" thickBot="1" x14ac:dyDescent="0.3">
      <c r="A33" s="20"/>
      <c r="B33" s="21"/>
      <c r="C33" s="21"/>
      <c r="D33" s="21"/>
      <c r="E33" s="2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tabSelected="1" topLeftCell="A16" workbookViewId="0">
      <selection activeCell="N40" sqref="N40"/>
    </sheetView>
  </sheetViews>
  <sheetFormatPr baseColWidth="10" defaultRowHeight="15" x14ac:dyDescent="0.25"/>
  <cols>
    <col min="3" max="3" width="11.85546875" bestFit="1" customWidth="1"/>
    <col min="7" max="7" width="12" bestFit="1" customWidth="1"/>
    <col min="11" max="11" width="12" bestFit="1" customWidth="1"/>
  </cols>
  <sheetData>
    <row r="1" spans="1:11" x14ac:dyDescent="0.25">
      <c r="A1" t="s">
        <v>61</v>
      </c>
    </row>
    <row r="2" spans="1:11" x14ac:dyDescent="0.25">
      <c r="A2" t="s">
        <v>47</v>
      </c>
      <c r="B2" s="9">
        <v>2</v>
      </c>
      <c r="E2" s="9">
        <v>10</v>
      </c>
      <c r="I2" s="9">
        <v>20</v>
      </c>
    </row>
    <row r="4" spans="1:11" x14ac:dyDescent="0.25">
      <c r="A4" t="s">
        <v>49</v>
      </c>
      <c r="B4" t="s">
        <v>62</v>
      </c>
      <c r="C4" t="s">
        <v>63</v>
      </c>
      <c r="E4" t="s">
        <v>49</v>
      </c>
      <c r="F4" t="s">
        <v>62</v>
      </c>
      <c r="G4" t="s">
        <v>63</v>
      </c>
      <c r="I4" t="s">
        <v>49</v>
      </c>
      <c r="J4" t="s">
        <v>62</v>
      </c>
      <c r="K4" t="s">
        <v>63</v>
      </c>
    </row>
    <row r="5" spans="1:11" x14ac:dyDescent="0.25">
      <c r="A5">
        <v>0</v>
      </c>
      <c r="B5">
        <f>FACT(A5)</f>
        <v>1</v>
      </c>
      <c r="C5">
        <f>(EXP(-$B$2)*$B$2^A5)/B5</f>
        <v>0.1353352832366127</v>
      </c>
      <c r="E5">
        <v>0</v>
      </c>
      <c r="F5">
        <f>FACT(E5)</f>
        <v>1</v>
      </c>
      <c r="G5">
        <f>(EXP(-$E$2)*$E$2^E5)/F5</f>
        <v>4.5399929762484854E-5</v>
      </c>
      <c r="I5">
        <v>0</v>
      </c>
      <c r="J5">
        <f>FACT(I5)</f>
        <v>1</v>
      </c>
      <c r="K5">
        <f>(EXP(-$I$2)*$I$2^I5)/J5</f>
        <v>2.0611536224385579E-9</v>
      </c>
    </row>
    <row r="6" spans="1:11" x14ac:dyDescent="0.25">
      <c r="A6">
        <v>1</v>
      </c>
      <c r="B6">
        <f t="shared" ref="B6:B15" si="0">FACT(A6)</f>
        <v>1</v>
      </c>
      <c r="C6">
        <f t="shared" ref="C6:C15" si="1">(EXP(-$B$2)*$B$2^A6)/B6</f>
        <v>0.2706705664732254</v>
      </c>
      <c r="E6">
        <v>1</v>
      </c>
      <c r="F6">
        <f t="shared" ref="F6:F29" si="2">FACT(E6)</f>
        <v>1</v>
      </c>
      <c r="G6">
        <f t="shared" ref="G6:G25" si="3">(EXP(-$E$2)*$E$2^E6)/F6</f>
        <v>4.5399929762484856E-4</v>
      </c>
      <c r="I6">
        <v>1</v>
      </c>
      <c r="J6">
        <f t="shared" ref="J6:J37" si="4">FACT(I6)</f>
        <v>1</v>
      </c>
      <c r="K6">
        <f t="shared" ref="K6:K37" si="5">(EXP(-$I$2)*$I$2^I6)/J6</f>
        <v>4.1223072448771159E-8</v>
      </c>
    </row>
    <row r="7" spans="1:11" x14ac:dyDescent="0.25">
      <c r="A7">
        <v>2</v>
      </c>
      <c r="B7">
        <f t="shared" si="0"/>
        <v>2</v>
      </c>
      <c r="C7">
        <f t="shared" si="1"/>
        <v>0.2706705664732254</v>
      </c>
      <c r="E7">
        <v>2</v>
      </c>
      <c r="F7">
        <f t="shared" si="2"/>
        <v>2</v>
      </c>
      <c r="G7">
        <f t="shared" si="3"/>
        <v>2.2699964881242427E-3</v>
      </c>
      <c r="I7">
        <v>2</v>
      </c>
      <c r="J7">
        <f t="shared" si="4"/>
        <v>2</v>
      </c>
      <c r="K7">
        <f t="shared" si="5"/>
        <v>4.1223072448771158E-7</v>
      </c>
    </row>
    <row r="8" spans="1:11" x14ac:dyDescent="0.25">
      <c r="A8">
        <v>3</v>
      </c>
      <c r="B8">
        <f t="shared" si="0"/>
        <v>6</v>
      </c>
      <c r="C8">
        <f t="shared" si="1"/>
        <v>0.18044704431548361</v>
      </c>
      <c r="E8">
        <v>3</v>
      </c>
      <c r="F8">
        <f t="shared" si="2"/>
        <v>6</v>
      </c>
      <c r="G8">
        <f t="shared" si="3"/>
        <v>7.5666549604141422E-3</v>
      </c>
      <c r="I8">
        <v>3</v>
      </c>
      <c r="J8">
        <f t="shared" si="4"/>
        <v>6</v>
      </c>
      <c r="K8">
        <f t="shared" si="5"/>
        <v>2.7482048299180773E-6</v>
      </c>
    </row>
    <row r="9" spans="1:11" x14ac:dyDescent="0.25">
      <c r="A9">
        <v>4</v>
      </c>
      <c r="B9">
        <f t="shared" si="0"/>
        <v>24</v>
      </c>
      <c r="C9">
        <f t="shared" si="1"/>
        <v>9.0223522157741806E-2</v>
      </c>
      <c r="E9">
        <v>4</v>
      </c>
      <c r="F9">
        <f t="shared" si="2"/>
        <v>24</v>
      </c>
      <c r="G9">
        <f t="shared" si="3"/>
        <v>1.8916637401035354E-2</v>
      </c>
      <c r="I9">
        <v>4</v>
      </c>
      <c r="J9">
        <f t="shared" si="4"/>
        <v>24</v>
      </c>
      <c r="K9">
        <f t="shared" si="5"/>
        <v>1.3741024149590386E-5</v>
      </c>
    </row>
    <row r="10" spans="1:11" x14ac:dyDescent="0.25">
      <c r="A10">
        <v>5</v>
      </c>
      <c r="B10">
        <f t="shared" si="0"/>
        <v>120</v>
      </c>
      <c r="C10">
        <f t="shared" si="1"/>
        <v>3.6089408863096722E-2</v>
      </c>
      <c r="E10">
        <v>5</v>
      </c>
      <c r="F10">
        <f t="shared" si="2"/>
        <v>120</v>
      </c>
      <c r="G10">
        <f t="shared" si="3"/>
        <v>3.7833274802070709E-2</v>
      </c>
      <c r="I10">
        <v>5</v>
      </c>
      <c r="J10">
        <f t="shared" si="4"/>
        <v>120</v>
      </c>
      <c r="K10">
        <f t="shared" si="5"/>
        <v>5.4964096598361543E-5</v>
      </c>
    </row>
    <row r="11" spans="1:11" x14ac:dyDescent="0.25">
      <c r="A11">
        <v>6</v>
      </c>
      <c r="B11">
        <f t="shared" si="0"/>
        <v>720</v>
      </c>
      <c r="C11">
        <f t="shared" si="1"/>
        <v>1.2029802954365574E-2</v>
      </c>
      <c r="E11">
        <v>6</v>
      </c>
      <c r="F11">
        <f t="shared" si="2"/>
        <v>720</v>
      </c>
      <c r="G11">
        <f t="shared" si="3"/>
        <v>6.3055458003451179E-2</v>
      </c>
      <c r="I11">
        <v>6</v>
      </c>
      <c r="J11">
        <f t="shared" si="4"/>
        <v>720</v>
      </c>
      <c r="K11">
        <f t="shared" si="5"/>
        <v>1.832136553278718E-4</v>
      </c>
    </row>
    <row r="12" spans="1:11" x14ac:dyDescent="0.25">
      <c r="A12">
        <v>7</v>
      </c>
      <c r="B12">
        <f t="shared" si="0"/>
        <v>5040</v>
      </c>
      <c r="C12">
        <f t="shared" si="1"/>
        <v>3.4370865583901638E-3</v>
      </c>
      <c r="E12">
        <v>7</v>
      </c>
      <c r="F12">
        <f t="shared" si="2"/>
        <v>5040</v>
      </c>
      <c r="G12">
        <f t="shared" si="3"/>
        <v>9.0079225719215991E-2</v>
      </c>
      <c r="I12">
        <v>7</v>
      </c>
      <c r="J12">
        <f t="shared" si="4"/>
        <v>5040</v>
      </c>
      <c r="K12">
        <f t="shared" si="5"/>
        <v>5.2346758665106237E-4</v>
      </c>
    </row>
    <row r="13" spans="1:11" x14ac:dyDescent="0.25">
      <c r="A13">
        <v>8</v>
      </c>
      <c r="B13">
        <f t="shared" si="0"/>
        <v>40320</v>
      </c>
      <c r="C13">
        <f t="shared" si="1"/>
        <v>8.5927163959754094E-4</v>
      </c>
      <c r="E13">
        <v>8</v>
      </c>
      <c r="F13">
        <f t="shared" si="2"/>
        <v>40320</v>
      </c>
      <c r="G13">
        <f t="shared" si="3"/>
        <v>0.11259903214901998</v>
      </c>
      <c r="I13">
        <v>8</v>
      </c>
      <c r="J13">
        <f t="shared" si="4"/>
        <v>40320</v>
      </c>
      <c r="K13">
        <f t="shared" si="5"/>
        <v>1.3086689666276558E-3</v>
      </c>
    </row>
    <row r="14" spans="1:11" x14ac:dyDescent="0.25">
      <c r="A14">
        <v>9</v>
      </c>
      <c r="B14">
        <f t="shared" si="0"/>
        <v>362880</v>
      </c>
      <c r="C14">
        <f t="shared" si="1"/>
        <v>1.9094925324389798E-4</v>
      </c>
      <c r="E14">
        <v>9</v>
      </c>
      <c r="F14">
        <f t="shared" si="2"/>
        <v>362880</v>
      </c>
      <c r="G14">
        <f t="shared" si="3"/>
        <v>0.1251100357211333</v>
      </c>
      <c r="I14">
        <v>9</v>
      </c>
      <c r="J14">
        <f t="shared" si="4"/>
        <v>362880</v>
      </c>
      <c r="K14">
        <f t="shared" si="5"/>
        <v>2.9081532591725685E-3</v>
      </c>
    </row>
    <row r="15" spans="1:11" x14ac:dyDescent="0.25">
      <c r="A15">
        <v>10</v>
      </c>
      <c r="B15">
        <f t="shared" si="0"/>
        <v>3628800</v>
      </c>
      <c r="C15">
        <f t="shared" si="1"/>
        <v>3.8189850648779595E-5</v>
      </c>
      <c r="E15">
        <v>10</v>
      </c>
      <c r="F15">
        <f t="shared" si="2"/>
        <v>3628800</v>
      </c>
      <c r="G15">
        <f t="shared" si="3"/>
        <v>0.1251100357211333</v>
      </c>
      <c r="I15">
        <v>10</v>
      </c>
      <c r="J15">
        <f t="shared" si="4"/>
        <v>3628800</v>
      </c>
      <c r="K15">
        <f t="shared" si="5"/>
        <v>5.8163065183451362E-3</v>
      </c>
    </row>
    <row r="16" spans="1:11" x14ac:dyDescent="0.25">
      <c r="E16">
        <v>11</v>
      </c>
      <c r="F16">
        <f t="shared" si="2"/>
        <v>39916800</v>
      </c>
      <c r="G16">
        <f t="shared" si="3"/>
        <v>0.11373639611012118</v>
      </c>
      <c r="I16">
        <v>11</v>
      </c>
      <c r="J16">
        <f t="shared" si="4"/>
        <v>39916800</v>
      </c>
      <c r="K16">
        <f t="shared" si="5"/>
        <v>1.0575102760627522E-2</v>
      </c>
    </row>
    <row r="17" spans="5:11" x14ac:dyDescent="0.25">
      <c r="E17">
        <v>12</v>
      </c>
      <c r="F17">
        <f t="shared" si="2"/>
        <v>479001600</v>
      </c>
      <c r="G17">
        <f t="shared" si="3"/>
        <v>9.4780330091767659E-2</v>
      </c>
      <c r="I17">
        <v>12</v>
      </c>
      <c r="J17">
        <f t="shared" si="4"/>
        <v>479001600</v>
      </c>
      <c r="K17">
        <f t="shared" si="5"/>
        <v>1.7625171267712535E-2</v>
      </c>
    </row>
    <row r="18" spans="5:11" x14ac:dyDescent="0.25">
      <c r="E18">
        <v>13</v>
      </c>
      <c r="F18">
        <f t="shared" si="2"/>
        <v>6227020800</v>
      </c>
      <c r="G18">
        <f t="shared" si="3"/>
        <v>7.2907946224436665E-2</v>
      </c>
      <c r="I18">
        <v>13</v>
      </c>
      <c r="J18">
        <f t="shared" si="4"/>
        <v>6227020800</v>
      </c>
      <c r="K18">
        <f t="shared" si="5"/>
        <v>2.7115648104173131E-2</v>
      </c>
    </row>
    <row r="19" spans="5:11" x14ac:dyDescent="0.25">
      <c r="E19">
        <v>14</v>
      </c>
      <c r="F19">
        <f t="shared" si="2"/>
        <v>87178291200</v>
      </c>
      <c r="G19">
        <f t="shared" si="3"/>
        <v>5.2077104446026187E-2</v>
      </c>
      <c r="I19">
        <v>14</v>
      </c>
      <c r="J19">
        <f t="shared" si="4"/>
        <v>87178291200</v>
      </c>
      <c r="K19">
        <f t="shared" si="5"/>
        <v>3.8736640148818759E-2</v>
      </c>
    </row>
    <row r="20" spans="5:11" x14ac:dyDescent="0.25">
      <c r="E20">
        <v>15</v>
      </c>
      <c r="F20">
        <f t="shared" si="2"/>
        <v>1307674368000</v>
      </c>
      <c r="G20">
        <f t="shared" si="3"/>
        <v>3.4718069630684127E-2</v>
      </c>
      <c r="I20">
        <v>15</v>
      </c>
      <c r="J20">
        <f t="shared" si="4"/>
        <v>1307674368000</v>
      </c>
      <c r="K20">
        <f t="shared" si="5"/>
        <v>5.1648853531758347E-2</v>
      </c>
    </row>
    <row r="21" spans="5:11" x14ac:dyDescent="0.25">
      <c r="E21">
        <v>16</v>
      </c>
      <c r="F21">
        <f t="shared" si="2"/>
        <v>20922789888000</v>
      </c>
      <c r="G21">
        <f t="shared" si="3"/>
        <v>2.1698793519177577E-2</v>
      </c>
      <c r="I21">
        <v>16</v>
      </c>
      <c r="J21">
        <f t="shared" si="4"/>
        <v>20922789888000</v>
      </c>
      <c r="K21">
        <f t="shared" si="5"/>
        <v>6.4561066914697929E-2</v>
      </c>
    </row>
    <row r="22" spans="5:11" x14ac:dyDescent="0.25">
      <c r="E22">
        <v>17</v>
      </c>
      <c r="F22">
        <f t="shared" si="2"/>
        <v>355687428096000</v>
      </c>
      <c r="G22">
        <f t="shared" si="3"/>
        <v>1.2763996187751515E-2</v>
      </c>
      <c r="I22">
        <v>17</v>
      </c>
      <c r="J22">
        <f t="shared" si="4"/>
        <v>355687428096000</v>
      </c>
      <c r="K22">
        <f t="shared" si="5"/>
        <v>7.595419637023286E-2</v>
      </c>
    </row>
    <row r="23" spans="5:11" x14ac:dyDescent="0.25">
      <c r="E23">
        <v>18</v>
      </c>
      <c r="F23">
        <f t="shared" si="2"/>
        <v>6402373705728000</v>
      </c>
      <c r="G23">
        <f t="shared" si="3"/>
        <v>7.091108993195286E-3</v>
      </c>
      <c r="I23">
        <v>18</v>
      </c>
      <c r="J23">
        <f t="shared" si="4"/>
        <v>6402373705728000</v>
      </c>
      <c r="K23">
        <f t="shared" si="5"/>
        <v>8.4393551522480958E-2</v>
      </c>
    </row>
    <row r="24" spans="5:11" x14ac:dyDescent="0.25">
      <c r="E24">
        <v>19</v>
      </c>
      <c r="F24">
        <f t="shared" si="2"/>
        <v>1.21645100408832E+17</v>
      </c>
      <c r="G24">
        <f t="shared" si="3"/>
        <v>3.7321626279975192E-3</v>
      </c>
      <c r="I24">
        <v>19</v>
      </c>
      <c r="J24">
        <f t="shared" si="4"/>
        <v>1.21645100408832E+17</v>
      </c>
      <c r="K24">
        <f t="shared" si="5"/>
        <v>8.8835317392085222E-2</v>
      </c>
    </row>
    <row r="25" spans="5:11" x14ac:dyDescent="0.25">
      <c r="E25">
        <v>20</v>
      </c>
      <c r="F25">
        <f t="shared" si="2"/>
        <v>2.43290200817664E+18</v>
      </c>
      <c r="G25">
        <f t="shared" si="3"/>
        <v>1.8660813139987594E-3</v>
      </c>
      <c r="I25">
        <v>20</v>
      </c>
      <c r="J25">
        <f t="shared" si="4"/>
        <v>2.43290200817664E+18</v>
      </c>
      <c r="K25">
        <f t="shared" si="5"/>
        <v>8.8835317392085208E-2</v>
      </c>
    </row>
    <row r="26" spans="5:11" x14ac:dyDescent="0.25">
      <c r="I26">
        <v>21</v>
      </c>
      <c r="J26">
        <f t="shared" si="4"/>
        <v>5.109094217170944E+19</v>
      </c>
      <c r="K26">
        <f t="shared" si="5"/>
        <v>8.4605064182938311E-2</v>
      </c>
    </row>
    <row r="27" spans="5:11" x14ac:dyDescent="0.25">
      <c r="I27">
        <v>22</v>
      </c>
      <c r="J27">
        <f t="shared" si="4"/>
        <v>1.1240007277776077E+21</v>
      </c>
      <c r="K27">
        <f t="shared" si="5"/>
        <v>7.6913694711762098E-2</v>
      </c>
    </row>
    <row r="28" spans="5:11" x14ac:dyDescent="0.25">
      <c r="I28">
        <v>23</v>
      </c>
      <c r="J28">
        <f t="shared" si="4"/>
        <v>2.5852016738884978E+22</v>
      </c>
      <c r="K28">
        <f t="shared" si="5"/>
        <v>6.6881473662401811E-2</v>
      </c>
    </row>
    <row r="29" spans="5:11" x14ac:dyDescent="0.25">
      <c r="I29">
        <v>24</v>
      </c>
      <c r="J29">
        <f t="shared" si="4"/>
        <v>6.2044840173323941E+23</v>
      </c>
      <c r="K29">
        <f t="shared" si="5"/>
        <v>5.5734561385334849E-2</v>
      </c>
    </row>
    <row r="30" spans="5:11" x14ac:dyDescent="0.25">
      <c r="I30">
        <v>25</v>
      </c>
      <c r="J30">
        <f t="shared" si="4"/>
        <v>1.5511210043330984E+25</v>
      </c>
      <c r="K30">
        <f t="shared" si="5"/>
        <v>4.4587649108267888E-2</v>
      </c>
    </row>
    <row r="31" spans="5:11" x14ac:dyDescent="0.25">
      <c r="I31">
        <v>26</v>
      </c>
      <c r="J31">
        <f t="shared" si="4"/>
        <v>4.0329146112660572E+26</v>
      </c>
      <c r="K31">
        <f t="shared" si="5"/>
        <v>3.4298191621744523E-2</v>
      </c>
    </row>
    <row r="32" spans="5:11" x14ac:dyDescent="0.25">
      <c r="I32">
        <v>27</v>
      </c>
      <c r="J32">
        <f t="shared" si="4"/>
        <v>1.0888869450418352E+28</v>
      </c>
      <c r="K32">
        <f t="shared" si="5"/>
        <v>2.5406067867958907E-2</v>
      </c>
    </row>
    <row r="33" spans="9:11" x14ac:dyDescent="0.25">
      <c r="I33">
        <v>28</v>
      </c>
      <c r="J33">
        <f t="shared" si="4"/>
        <v>3.048883446117138E+29</v>
      </c>
      <c r="K33">
        <f t="shared" si="5"/>
        <v>1.8147191334256366E-2</v>
      </c>
    </row>
    <row r="34" spans="9:11" x14ac:dyDescent="0.25">
      <c r="I34">
        <v>29</v>
      </c>
      <c r="J34">
        <f t="shared" si="4"/>
        <v>8.8417619937397008E+30</v>
      </c>
      <c r="K34">
        <f t="shared" si="5"/>
        <v>1.2515304368452664E-2</v>
      </c>
    </row>
    <row r="35" spans="9:11" x14ac:dyDescent="0.25">
      <c r="I35">
        <v>30</v>
      </c>
      <c r="J35">
        <f t="shared" si="4"/>
        <v>2.652528598121911E+32</v>
      </c>
      <c r="K35">
        <f t="shared" si="5"/>
        <v>8.3435362456351081E-3</v>
      </c>
    </row>
    <row r="36" spans="9:11" x14ac:dyDescent="0.25">
      <c r="I36">
        <v>31</v>
      </c>
      <c r="J36">
        <f t="shared" si="4"/>
        <v>8.2228386541779236E+33</v>
      </c>
      <c r="K36">
        <f t="shared" si="5"/>
        <v>5.3829266100871662E-3</v>
      </c>
    </row>
    <row r="37" spans="9:11" x14ac:dyDescent="0.25">
      <c r="I37">
        <v>32</v>
      </c>
      <c r="J37">
        <f t="shared" si="4"/>
        <v>2.6313083693369355E+35</v>
      </c>
      <c r="K37">
        <f t="shared" si="5"/>
        <v>3.3643291313044795E-3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13"/>
  <sheetViews>
    <sheetView workbookViewId="0">
      <selection activeCell="C5" sqref="C5"/>
    </sheetView>
  </sheetViews>
  <sheetFormatPr baseColWidth="10" defaultRowHeight="15" x14ac:dyDescent="0.25"/>
  <sheetData>
    <row r="2" spans="1:4" x14ac:dyDescent="0.25">
      <c r="A2" t="s">
        <v>46</v>
      </c>
    </row>
    <row r="4" spans="1:4" x14ac:dyDescent="0.25">
      <c r="A4" t="s">
        <v>47</v>
      </c>
      <c r="B4" t="s">
        <v>48</v>
      </c>
      <c r="C4" s="9">
        <v>0.1</v>
      </c>
    </row>
    <row r="5" spans="1:4" x14ac:dyDescent="0.25">
      <c r="B5" s="10" t="s">
        <v>49</v>
      </c>
      <c r="C5" s="10" t="s">
        <v>50</v>
      </c>
      <c r="D5" s="10" t="s">
        <v>51</v>
      </c>
    </row>
    <row r="6" spans="1:4" x14ac:dyDescent="0.25">
      <c r="A6" s="10" t="s">
        <v>52</v>
      </c>
      <c r="B6" s="11">
        <v>0</v>
      </c>
      <c r="C6" s="10">
        <f>(C4^B6)*(1-C4)^(1-B6)</f>
        <v>0.9</v>
      </c>
      <c r="D6" s="10">
        <f>C6</f>
        <v>0.9</v>
      </c>
    </row>
    <row r="7" spans="1:4" x14ac:dyDescent="0.25">
      <c r="A7" s="10" t="s">
        <v>53</v>
      </c>
      <c r="B7" s="11">
        <v>1</v>
      </c>
      <c r="C7" s="10">
        <f>(C4^B7)*(1-C4)^(1-B7)</f>
        <v>0.1</v>
      </c>
      <c r="D7" s="10">
        <f>C7+D6</f>
        <v>1</v>
      </c>
    </row>
    <row r="10" spans="1:4" x14ac:dyDescent="0.25">
      <c r="B10">
        <v>0</v>
      </c>
      <c r="C10">
        <v>0</v>
      </c>
    </row>
    <row r="11" spans="1:4" x14ac:dyDescent="0.25">
      <c r="B11">
        <v>0</v>
      </c>
      <c r="C11">
        <f>D6</f>
        <v>0.9</v>
      </c>
    </row>
    <row r="12" spans="1:4" x14ac:dyDescent="0.25">
      <c r="B12">
        <v>1</v>
      </c>
      <c r="C12">
        <f>D6</f>
        <v>0.9</v>
      </c>
    </row>
    <row r="13" spans="1:4" x14ac:dyDescent="0.25">
      <c r="B13">
        <v>1</v>
      </c>
      <c r="C13">
        <f>D7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binomial</vt:lpstr>
      <vt:lpstr>poisson</vt:lpstr>
      <vt:lpstr>bernoulli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USER-6</cp:lastModifiedBy>
  <dcterms:created xsi:type="dcterms:W3CDTF">2017-05-15T03:31:36Z</dcterms:created>
  <dcterms:modified xsi:type="dcterms:W3CDTF">2017-06-22T15:46:17Z</dcterms:modified>
</cp:coreProperties>
</file>