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-6\Documents\GitHub\archivos\"/>
    </mc:Choice>
  </mc:AlternateContent>
  <bookViews>
    <workbookView xWindow="0" yWindow="0" windowWidth="19200" windowHeight="12435" activeTab="4"/>
  </bookViews>
  <sheets>
    <sheet name="uniforme" sheetId="1" r:id="rId1"/>
    <sheet name="triangular" sheetId="2" r:id="rId2"/>
    <sheet name="exponencial" sheetId="3" r:id="rId3"/>
    <sheet name="expo" sheetId="5" r:id="rId4"/>
    <sheet name="triang" sheetId="6" r:id="rId5"/>
    <sheet name="unif" sheetId="4" r:id="rId6"/>
  </sheet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89" i="6" l="1"/>
  <c r="N390" i="6"/>
  <c r="N391" i="6"/>
  <c r="N392" i="6"/>
  <c r="N393" i="6"/>
  <c r="N394" i="6"/>
  <c r="N395" i="6"/>
  <c r="N396" i="6"/>
  <c r="N397" i="6"/>
  <c r="N398" i="6"/>
  <c r="N399" i="6"/>
  <c r="N400" i="6"/>
  <c r="N401" i="6"/>
  <c r="N402" i="6"/>
  <c r="N403" i="6"/>
  <c r="N404" i="6"/>
  <c r="N405" i="6"/>
  <c r="N406" i="6"/>
  <c r="N407" i="6"/>
  <c r="N408" i="6"/>
  <c r="N409" i="6"/>
  <c r="N410" i="6"/>
  <c r="N411" i="6"/>
  <c r="N412" i="6"/>
  <c r="N413" i="6"/>
  <c r="N414" i="6"/>
  <c r="N415" i="6"/>
  <c r="N416" i="6"/>
  <c r="N417" i="6"/>
  <c r="N418" i="6"/>
  <c r="N419" i="6"/>
  <c r="N420" i="6"/>
  <c r="N421" i="6"/>
  <c r="N422" i="6"/>
  <c r="N423" i="6"/>
  <c r="N424" i="6"/>
  <c r="N425" i="6"/>
  <c r="N426" i="6"/>
  <c r="N427" i="6"/>
  <c r="N428" i="6"/>
  <c r="N429" i="6"/>
  <c r="N430" i="6"/>
  <c r="N431" i="6"/>
  <c r="N432" i="6"/>
  <c r="N433" i="6"/>
  <c r="N434" i="6"/>
  <c r="N435" i="6"/>
  <c r="N436" i="6"/>
  <c r="N437" i="6"/>
  <c r="N438" i="6"/>
  <c r="N439" i="6"/>
  <c r="N440" i="6"/>
  <c r="N441" i="6"/>
  <c r="N442" i="6"/>
  <c r="N443" i="6"/>
  <c r="N444" i="6"/>
  <c r="N445" i="6"/>
  <c r="N446" i="6"/>
  <c r="N447" i="6"/>
  <c r="N448" i="6"/>
  <c r="N449" i="6"/>
  <c r="N450" i="6"/>
  <c r="N451" i="6"/>
  <c r="N452" i="6"/>
  <c r="N453" i="6"/>
  <c r="N454" i="6"/>
  <c r="N455" i="6"/>
  <c r="N456" i="6"/>
  <c r="N457" i="6"/>
  <c r="N458" i="6"/>
  <c r="N459" i="6"/>
  <c r="N460" i="6"/>
  <c r="N461" i="6"/>
  <c r="N462" i="6"/>
  <c r="N463" i="6"/>
  <c r="N464" i="6"/>
  <c r="N465" i="6"/>
  <c r="N466" i="6"/>
  <c r="N467" i="6"/>
  <c r="N468" i="6"/>
  <c r="N469" i="6"/>
  <c r="N470" i="6"/>
  <c r="N471" i="6"/>
  <c r="N472" i="6"/>
  <c r="N473" i="6"/>
  <c r="N474" i="6"/>
  <c r="N475" i="6"/>
  <c r="N476" i="6"/>
  <c r="N477" i="6"/>
  <c r="N478" i="6"/>
  <c r="N479" i="6"/>
  <c r="N480" i="6"/>
  <c r="N481" i="6"/>
  <c r="N482" i="6"/>
  <c r="N483" i="6"/>
  <c r="N484" i="6"/>
  <c r="N485" i="6"/>
  <c r="N486" i="6"/>
  <c r="N487" i="6"/>
  <c r="N488" i="6"/>
  <c r="N489" i="6"/>
  <c r="N490" i="6"/>
  <c r="N491" i="6"/>
  <c r="N492" i="6"/>
  <c r="N493" i="6"/>
  <c r="N494" i="6"/>
  <c r="N495" i="6"/>
  <c r="N496" i="6"/>
  <c r="N497" i="6"/>
  <c r="N498" i="6"/>
  <c r="N499" i="6"/>
  <c r="N500" i="6"/>
  <c r="N501" i="6"/>
  <c r="N502" i="6"/>
  <c r="N503" i="6"/>
  <c r="N504" i="6"/>
  <c r="N6" i="6" l="1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219" i="6"/>
  <c r="N220" i="6"/>
  <c r="N221" i="6"/>
  <c r="N222" i="6"/>
  <c r="N223" i="6"/>
  <c r="N224" i="6"/>
  <c r="N225" i="6"/>
  <c r="N226" i="6"/>
  <c r="N227" i="6"/>
  <c r="N228" i="6"/>
  <c r="N229" i="6"/>
  <c r="N230" i="6"/>
  <c r="N231" i="6"/>
  <c r="N232" i="6"/>
  <c r="N233" i="6"/>
  <c r="N234" i="6"/>
  <c r="N235" i="6"/>
  <c r="N236" i="6"/>
  <c r="N237" i="6"/>
  <c r="N238" i="6"/>
  <c r="N239" i="6"/>
  <c r="N240" i="6"/>
  <c r="N241" i="6"/>
  <c r="N242" i="6"/>
  <c r="N243" i="6"/>
  <c r="N244" i="6"/>
  <c r="N245" i="6"/>
  <c r="N246" i="6"/>
  <c r="N247" i="6"/>
  <c r="N248" i="6"/>
  <c r="N249" i="6"/>
  <c r="N250" i="6"/>
  <c r="N251" i="6"/>
  <c r="N252" i="6"/>
  <c r="N253" i="6"/>
  <c r="N254" i="6"/>
  <c r="N255" i="6"/>
  <c r="N256" i="6"/>
  <c r="N257" i="6"/>
  <c r="N258" i="6"/>
  <c r="N259" i="6"/>
  <c r="N260" i="6"/>
  <c r="N261" i="6"/>
  <c r="N262" i="6"/>
  <c r="N263" i="6"/>
  <c r="N264" i="6"/>
  <c r="N265" i="6"/>
  <c r="N266" i="6"/>
  <c r="N267" i="6"/>
  <c r="N268" i="6"/>
  <c r="N269" i="6"/>
  <c r="N270" i="6"/>
  <c r="N271" i="6"/>
  <c r="N272" i="6"/>
  <c r="N273" i="6"/>
  <c r="N274" i="6"/>
  <c r="N275" i="6"/>
  <c r="N276" i="6"/>
  <c r="N277" i="6"/>
  <c r="N278" i="6"/>
  <c r="N279" i="6"/>
  <c r="N280" i="6"/>
  <c r="N281" i="6"/>
  <c r="N282" i="6"/>
  <c r="N283" i="6"/>
  <c r="N284" i="6"/>
  <c r="N285" i="6"/>
  <c r="N286" i="6"/>
  <c r="N287" i="6"/>
  <c r="N288" i="6"/>
  <c r="N289" i="6"/>
  <c r="N290" i="6"/>
  <c r="N291" i="6"/>
  <c r="N292" i="6"/>
  <c r="N293" i="6"/>
  <c r="N294" i="6"/>
  <c r="N295" i="6"/>
  <c r="N296" i="6"/>
  <c r="N297" i="6"/>
  <c r="N298" i="6"/>
  <c r="N299" i="6"/>
  <c r="N300" i="6"/>
  <c r="N301" i="6"/>
  <c r="N302" i="6"/>
  <c r="N303" i="6"/>
  <c r="N304" i="6"/>
  <c r="N305" i="6"/>
  <c r="N306" i="6"/>
  <c r="N307" i="6"/>
  <c r="N308" i="6"/>
  <c r="N309" i="6"/>
  <c r="N310" i="6"/>
  <c r="N311" i="6"/>
  <c r="N312" i="6"/>
  <c r="N313" i="6"/>
  <c r="N314" i="6"/>
  <c r="N315" i="6"/>
  <c r="N316" i="6"/>
  <c r="N317" i="6"/>
  <c r="N318" i="6"/>
  <c r="N319" i="6"/>
  <c r="N320" i="6"/>
  <c r="N321" i="6"/>
  <c r="N322" i="6"/>
  <c r="N323" i="6"/>
  <c r="N324" i="6"/>
  <c r="N325" i="6"/>
  <c r="N326" i="6"/>
  <c r="N327" i="6"/>
  <c r="N328" i="6"/>
  <c r="N329" i="6"/>
  <c r="N330" i="6"/>
  <c r="N331" i="6"/>
  <c r="N332" i="6"/>
  <c r="N333" i="6"/>
  <c r="N334" i="6"/>
  <c r="N335" i="6"/>
  <c r="N336" i="6"/>
  <c r="N337" i="6"/>
  <c r="N338" i="6"/>
  <c r="N339" i="6"/>
  <c r="N340" i="6"/>
  <c r="N341" i="6"/>
  <c r="N342" i="6"/>
  <c r="N343" i="6"/>
  <c r="N344" i="6"/>
  <c r="N345" i="6"/>
  <c r="N346" i="6"/>
  <c r="N347" i="6"/>
  <c r="N348" i="6"/>
  <c r="N349" i="6"/>
  <c r="N350" i="6"/>
  <c r="N351" i="6"/>
  <c r="N352" i="6"/>
  <c r="N353" i="6"/>
  <c r="N354" i="6"/>
  <c r="N355" i="6"/>
  <c r="N356" i="6"/>
  <c r="N357" i="6"/>
  <c r="N358" i="6"/>
  <c r="N359" i="6"/>
  <c r="N360" i="6"/>
  <c r="N361" i="6"/>
  <c r="N362" i="6"/>
  <c r="N363" i="6"/>
  <c r="N364" i="6"/>
  <c r="N365" i="6"/>
  <c r="N366" i="6"/>
  <c r="N367" i="6"/>
  <c r="N368" i="6"/>
  <c r="N369" i="6"/>
  <c r="N370" i="6"/>
  <c r="N371" i="6"/>
  <c r="N372" i="6"/>
  <c r="N373" i="6"/>
  <c r="N374" i="6"/>
  <c r="N375" i="6"/>
  <c r="N376" i="6"/>
  <c r="N377" i="6"/>
  <c r="N378" i="6"/>
  <c r="N379" i="6"/>
  <c r="N380" i="6"/>
  <c r="N381" i="6"/>
  <c r="N382" i="6"/>
  <c r="N383" i="6"/>
  <c r="N384" i="6"/>
  <c r="N385" i="6"/>
  <c r="N386" i="6"/>
  <c r="N387" i="6"/>
  <c r="N388" i="6"/>
  <c r="N5" i="6"/>
  <c r="H9" i="6"/>
  <c r="N506" i="6" l="1"/>
  <c r="L504" i="6"/>
  <c r="L503" i="6"/>
  <c r="L502" i="6"/>
  <c r="L501" i="6"/>
  <c r="L500" i="6"/>
  <c r="L499" i="6"/>
  <c r="L498" i="6"/>
  <c r="L497" i="6"/>
  <c r="L496" i="6"/>
  <c r="L495" i="6"/>
  <c r="L494" i="6"/>
  <c r="L493" i="6"/>
  <c r="L492" i="6"/>
  <c r="L491" i="6"/>
  <c r="L490" i="6"/>
  <c r="L489" i="6"/>
  <c r="L488" i="6"/>
  <c r="L487" i="6"/>
  <c r="L486" i="6"/>
  <c r="L485" i="6"/>
  <c r="L484" i="6"/>
  <c r="L483" i="6"/>
  <c r="L482" i="6"/>
  <c r="L481" i="6"/>
  <c r="L480" i="6"/>
  <c r="L479" i="6"/>
  <c r="L478" i="6"/>
  <c r="L477" i="6"/>
  <c r="L476" i="6"/>
  <c r="L475" i="6"/>
  <c r="L474" i="6"/>
  <c r="L473" i="6"/>
  <c r="L472" i="6"/>
  <c r="L471" i="6"/>
  <c r="L470" i="6"/>
  <c r="L469" i="6"/>
  <c r="L468" i="6"/>
  <c r="L467" i="6"/>
  <c r="L466" i="6"/>
  <c r="L465" i="6"/>
  <c r="L464" i="6"/>
  <c r="L463" i="6"/>
  <c r="L462" i="6"/>
  <c r="L461" i="6"/>
  <c r="L460" i="6"/>
  <c r="L459" i="6"/>
  <c r="L458" i="6"/>
  <c r="L457" i="6"/>
  <c r="L456" i="6"/>
  <c r="L455" i="6"/>
  <c r="L454" i="6"/>
  <c r="L453" i="6"/>
  <c r="L452" i="6"/>
  <c r="L451" i="6"/>
  <c r="L450" i="6"/>
  <c r="L449" i="6"/>
  <c r="L448" i="6"/>
  <c r="L447" i="6"/>
  <c r="L446" i="6"/>
  <c r="L445" i="6"/>
  <c r="L444" i="6"/>
  <c r="L443" i="6"/>
  <c r="L442" i="6"/>
  <c r="L441" i="6"/>
  <c r="L440" i="6"/>
  <c r="L439" i="6"/>
  <c r="L438" i="6"/>
  <c r="L437" i="6"/>
  <c r="L436" i="6"/>
  <c r="L435" i="6"/>
  <c r="L434" i="6"/>
  <c r="L433" i="6"/>
  <c r="L432" i="6"/>
  <c r="L431" i="6"/>
  <c r="L430" i="6"/>
  <c r="L429" i="6"/>
  <c r="L428" i="6"/>
  <c r="L427" i="6"/>
  <c r="L426" i="6"/>
  <c r="L425" i="6"/>
  <c r="L424" i="6"/>
  <c r="L423" i="6"/>
  <c r="L422" i="6"/>
  <c r="L421" i="6"/>
  <c r="L420" i="6"/>
  <c r="L419" i="6"/>
  <c r="L418" i="6"/>
  <c r="L417" i="6"/>
  <c r="L416" i="6"/>
  <c r="L415" i="6"/>
  <c r="L414" i="6"/>
  <c r="L413" i="6"/>
  <c r="L412" i="6"/>
  <c r="L411" i="6"/>
  <c r="L410" i="6"/>
  <c r="L409" i="6"/>
  <c r="L408" i="6"/>
  <c r="L407" i="6"/>
  <c r="L406" i="6"/>
  <c r="L405" i="6"/>
  <c r="L404" i="6"/>
  <c r="L403" i="6"/>
  <c r="L402" i="6"/>
  <c r="L401" i="6"/>
  <c r="L400" i="6"/>
  <c r="L399" i="6"/>
  <c r="L398" i="6"/>
  <c r="L397" i="6"/>
  <c r="L396" i="6"/>
  <c r="L395" i="6"/>
  <c r="L394" i="6"/>
  <c r="L393" i="6"/>
  <c r="L392" i="6"/>
  <c r="L391" i="6"/>
  <c r="L390" i="6"/>
  <c r="L389" i="6"/>
  <c r="L388" i="6"/>
  <c r="L387" i="6"/>
  <c r="L386" i="6"/>
  <c r="L385" i="6"/>
  <c r="L384" i="6"/>
  <c r="L383" i="6"/>
  <c r="L382" i="6"/>
  <c r="L381" i="6"/>
  <c r="L380" i="6"/>
  <c r="L379" i="6"/>
  <c r="L378" i="6"/>
  <c r="L377" i="6"/>
  <c r="L376" i="6"/>
  <c r="L375" i="6"/>
  <c r="L374" i="6"/>
  <c r="L373" i="6"/>
  <c r="L372" i="6"/>
  <c r="L371" i="6"/>
  <c r="L370" i="6"/>
  <c r="L369" i="6"/>
  <c r="L368" i="6"/>
  <c r="L367" i="6"/>
  <c r="L366" i="6"/>
  <c r="L365" i="6"/>
  <c r="L364" i="6"/>
  <c r="L363" i="6"/>
  <c r="L362" i="6"/>
  <c r="L361" i="6"/>
  <c r="L360" i="6"/>
  <c r="L359" i="6"/>
  <c r="L358" i="6"/>
  <c r="L357" i="6"/>
  <c r="L356" i="6"/>
  <c r="L355" i="6"/>
  <c r="L354" i="6"/>
  <c r="L353" i="6"/>
  <c r="L352" i="6"/>
  <c r="L351" i="6"/>
  <c r="L350" i="6"/>
  <c r="L349" i="6"/>
  <c r="L348" i="6"/>
  <c r="L347" i="6"/>
  <c r="L346" i="6"/>
  <c r="L345" i="6"/>
  <c r="L344" i="6"/>
  <c r="L343" i="6"/>
  <c r="L342" i="6"/>
  <c r="L341" i="6"/>
  <c r="L340" i="6"/>
  <c r="L339" i="6"/>
  <c r="L338" i="6"/>
  <c r="L337" i="6"/>
  <c r="L336" i="6"/>
  <c r="L335" i="6"/>
  <c r="L334" i="6"/>
  <c r="L333" i="6"/>
  <c r="L332" i="6"/>
  <c r="L331" i="6"/>
  <c r="L330" i="6"/>
  <c r="L329" i="6"/>
  <c r="L328" i="6"/>
  <c r="L327" i="6"/>
  <c r="L326" i="6"/>
  <c r="L325" i="6"/>
  <c r="L324" i="6"/>
  <c r="L323" i="6"/>
  <c r="L322" i="6"/>
  <c r="L321" i="6"/>
  <c r="L320" i="6"/>
  <c r="L319" i="6"/>
  <c r="L318" i="6"/>
  <c r="L317" i="6"/>
  <c r="L316" i="6"/>
  <c r="L315" i="6"/>
  <c r="L314" i="6"/>
  <c r="L313" i="6"/>
  <c r="L312" i="6"/>
  <c r="L311" i="6"/>
  <c r="L310" i="6"/>
  <c r="L309" i="6"/>
  <c r="L308" i="6"/>
  <c r="L307" i="6"/>
  <c r="L306" i="6"/>
  <c r="L305" i="6"/>
  <c r="L304" i="6"/>
  <c r="L303" i="6"/>
  <c r="L302" i="6"/>
  <c r="L301" i="6"/>
  <c r="L300" i="6"/>
  <c r="L299" i="6"/>
  <c r="L298" i="6"/>
  <c r="L297" i="6"/>
  <c r="L296" i="6"/>
  <c r="L295" i="6"/>
  <c r="L294" i="6"/>
  <c r="L293" i="6"/>
  <c r="L292" i="6"/>
  <c r="L291" i="6"/>
  <c r="L290" i="6"/>
  <c r="L289" i="6"/>
  <c r="L288" i="6"/>
  <c r="L287" i="6"/>
  <c r="L286" i="6"/>
  <c r="L285" i="6"/>
  <c r="L284" i="6"/>
  <c r="L283" i="6"/>
  <c r="L282" i="6"/>
  <c r="L281" i="6"/>
  <c r="L280" i="6"/>
  <c r="L279" i="6"/>
  <c r="L278" i="6"/>
  <c r="L277" i="6"/>
  <c r="L276" i="6"/>
  <c r="L275" i="6"/>
  <c r="L274" i="6"/>
  <c r="L273" i="6"/>
  <c r="L272" i="6"/>
  <c r="L271" i="6"/>
  <c r="L270" i="6"/>
  <c r="L269" i="6"/>
  <c r="L268" i="6"/>
  <c r="L267" i="6"/>
  <c r="L266" i="6"/>
  <c r="L265" i="6"/>
  <c r="L264" i="6"/>
  <c r="L263" i="6"/>
  <c r="L262" i="6"/>
  <c r="L261" i="6"/>
  <c r="L260" i="6"/>
  <c r="L259" i="6"/>
  <c r="L258" i="6"/>
  <c r="L257" i="6"/>
  <c r="L256" i="6"/>
  <c r="L255" i="6"/>
  <c r="L254" i="6"/>
  <c r="L253" i="6"/>
  <c r="L252" i="6"/>
  <c r="L251" i="6"/>
  <c r="L250" i="6"/>
  <c r="L249" i="6"/>
  <c r="L248" i="6"/>
  <c r="L247" i="6"/>
  <c r="L246" i="6"/>
  <c r="L245" i="6"/>
  <c r="L244" i="6"/>
  <c r="L243" i="6"/>
  <c r="L242" i="6"/>
  <c r="L241" i="6"/>
  <c r="L240" i="6"/>
  <c r="L239" i="6"/>
  <c r="L238" i="6"/>
  <c r="L237" i="6"/>
  <c r="L236" i="6"/>
  <c r="L235" i="6"/>
  <c r="L234" i="6"/>
  <c r="L233" i="6"/>
  <c r="L232" i="6"/>
  <c r="L231" i="6"/>
  <c r="L230" i="6"/>
  <c r="L229" i="6"/>
  <c r="L228" i="6"/>
  <c r="L227" i="6"/>
  <c r="L226" i="6"/>
  <c r="L225" i="6"/>
  <c r="L224" i="6"/>
  <c r="L223" i="6"/>
  <c r="L222" i="6"/>
  <c r="L221" i="6"/>
  <c r="L220" i="6"/>
  <c r="L219" i="6"/>
  <c r="L218" i="6"/>
  <c r="L217" i="6"/>
  <c r="L216" i="6"/>
  <c r="L215" i="6"/>
  <c r="L214" i="6"/>
  <c r="L213" i="6"/>
  <c r="L212" i="6"/>
  <c r="L211" i="6"/>
  <c r="L210" i="6"/>
  <c r="L209" i="6"/>
  <c r="L208" i="6"/>
  <c r="L207" i="6"/>
  <c r="L206" i="6"/>
  <c r="L205" i="6"/>
  <c r="L204" i="6"/>
  <c r="L203" i="6"/>
  <c r="L202" i="6"/>
  <c r="L201" i="6"/>
  <c r="L200" i="6"/>
  <c r="L199" i="6"/>
  <c r="L198" i="6"/>
  <c r="L197" i="6"/>
  <c r="L196" i="6"/>
  <c r="L195" i="6"/>
  <c r="L194" i="6"/>
  <c r="L193" i="6"/>
  <c r="L192" i="6"/>
  <c r="L191" i="6"/>
  <c r="L190" i="6"/>
  <c r="L189" i="6"/>
  <c r="L188" i="6"/>
  <c r="L187" i="6"/>
  <c r="L186" i="6"/>
  <c r="L185" i="6"/>
  <c r="L184" i="6"/>
  <c r="L183" i="6"/>
  <c r="L182" i="6"/>
  <c r="L181" i="6"/>
  <c r="L180" i="6"/>
  <c r="L179" i="6"/>
  <c r="L178" i="6"/>
  <c r="L177" i="6"/>
  <c r="L176" i="6"/>
  <c r="L175" i="6"/>
  <c r="L174" i="6"/>
  <c r="L173" i="6"/>
  <c r="L172" i="6"/>
  <c r="L171" i="6"/>
  <c r="L170" i="6"/>
  <c r="L169" i="6"/>
  <c r="L168" i="6"/>
  <c r="L167" i="6"/>
  <c r="L166" i="6"/>
  <c r="L165" i="6"/>
  <c r="L164" i="6"/>
  <c r="L163" i="6"/>
  <c r="L162" i="6"/>
  <c r="L161" i="6"/>
  <c r="L160" i="6"/>
  <c r="L159" i="6"/>
  <c r="L158" i="6"/>
  <c r="L157" i="6"/>
  <c r="L156" i="6"/>
  <c r="L155" i="6"/>
  <c r="L154" i="6"/>
  <c r="L153" i="6"/>
  <c r="L152" i="6"/>
  <c r="L151" i="6"/>
  <c r="L150" i="6"/>
  <c r="L149" i="6"/>
  <c r="L148" i="6"/>
  <c r="L147" i="6"/>
  <c r="L146" i="6"/>
  <c r="L145" i="6"/>
  <c r="L144" i="6"/>
  <c r="L143" i="6"/>
  <c r="L142" i="6"/>
  <c r="L141" i="6"/>
  <c r="L140" i="6"/>
  <c r="L139" i="6"/>
  <c r="L138" i="6"/>
  <c r="L137" i="6"/>
  <c r="L136" i="6"/>
  <c r="L135" i="6"/>
  <c r="L134" i="6"/>
  <c r="L133" i="6"/>
  <c r="L132" i="6"/>
  <c r="L131" i="6"/>
  <c r="L130" i="6"/>
  <c r="L129" i="6"/>
  <c r="L128" i="6"/>
  <c r="L127" i="6"/>
  <c r="L126" i="6"/>
  <c r="L125" i="6"/>
  <c r="L124" i="6"/>
  <c r="L123" i="6"/>
  <c r="L122" i="6"/>
  <c r="L121" i="6"/>
  <c r="L120" i="6"/>
  <c r="L119" i="6"/>
  <c r="L118" i="6"/>
  <c r="L117" i="6"/>
  <c r="L116" i="6"/>
  <c r="L115" i="6"/>
  <c r="L114" i="6"/>
  <c r="L113" i="6"/>
  <c r="L112" i="6"/>
  <c r="L111" i="6"/>
  <c r="L110" i="6"/>
  <c r="L109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7" i="6"/>
  <c r="L76" i="6"/>
  <c r="L75" i="6"/>
  <c r="L74" i="6"/>
  <c r="L73" i="6"/>
  <c r="L72" i="6"/>
  <c r="L71" i="6"/>
  <c r="L70" i="6"/>
  <c r="L69" i="6"/>
  <c r="L68" i="6"/>
  <c r="L67" i="6"/>
  <c r="L66" i="6"/>
  <c r="L65" i="6"/>
  <c r="L64" i="6"/>
  <c r="L63" i="6"/>
  <c r="L62" i="6"/>
  <c r="L61" i="6"/>
  <c r="L60" i="6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H8" i="6"/>
  <c r="L7" i="6"/>
  <c r="H7" i="6"/>
  <c r="L6" i="6"/>
  <c r="L5" i="6"/>
  <c r="M5" i="6" s="1"/>
  <c r="N9" i="5"/>
  <c r="N5" i="5"/>
  <c r="N6" i="5"/>
  <c r="N7" i="5"/>
  <c r="N8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N457" i="5"/>
  <c r="N458" i="5"/>
  <c r="N459" i="5"/>
  <c r="N460" i="5"/>
  <c r="N461" i="5"/>
  <c r="N462" i="5"/>
  <c r="N463" i="5"/>
  <c r="N464" i="5"/>
  <c r="N465" i="5"/>
  <c r="N466" i="5"/>
  <c r="N467" i="5"/>
  <c r="N468" i="5"/>
  <c r="N469" i="5"/>
  <c r="N470" i="5"/>
  <c r="N471" i="5"/>
  <c r="N472" i="5"/>
  <c r="N473" i="5"/>
  <c r="N474" i="5"/>
  <c r="N475" i="5"/>
  <c r="N476" i="5"/>
  <c r="N477" i="5"/>
  <c r="N478" i="5"/>
  <c r="N479" i="5"/>
  <c r="N480" i="5"/>
  <c r="N481" i="5"/>
  <c r="N482" i="5"/>
  <c r="N483" i="5"/>
  <c r="N484" i="5"/>
  <c r="N485" i="5"/>
  <c r="N486" i="5"/>
  <c r="N487" i="5"/>
  <c r="N488" i="5"/>
  <c r="N489" i="5"/>
  <c r="N490" i="5"/>
  <c r="N491" i="5"/>
  <c r="N492" i="5"/>
  <c r="N493" i="5"/>
  <c r="N494" i="5"/>
  <c r="N495" i="5"/>
  <c r="N496" i="5"/>
  <c r="N497" i="5"/>
  <c r="N498" i="5"/>
  <c r="N499" i="5"/>
  <c r="N500" i="5"/>
  <c r="N501" i="5"/>
  <c r="N502" i="5"/>
  <c r="N503" i="5"/>
  <c r="N504" i="5"/>
  <c r="H11" i="5"/>
  <c r="N506" i="5"/>
  <c r="L504" i="5"/>
  <c r="L503" i="5"/>
  <c r="L502" i="5"/>
  <c r="L501" i="5"/>
  <c r="L500" i="5"/>
  <c r="L499" i="5"/>
  <c r="L498" i="5"/>
  <c r="L497" i="5"/>
  <c r="L496" i="5"/>
  <c r="L495" i="5"/>
  <c r="L494" i="5"/>
  <c r="L493" i="5"/>
  <c r="L492" i="5"/>
  <c r="L491" i="5"/>
  <c r="L490" i="5"/>
  <c r="L489" i="5"/>
  <c r="L488" i="5"/>
  <c r="L487" i="5"/>
  <c r="L486" i="5"/>
  <c r="L485" i="5"/>
  <c r="L484" i="5"/>
  <c r="L483" i="5"/>
  <c r="L482" i="5"/>
  <c r="L481" i="5"/>
  <c r="L480" i="5"/>
  <c r="L479" i="5"/>
  <c r="L478" i="5"/>
  <c r="L477" i="5"/>
  <c r="L476" i="5"/>
  <c r="L475" i="5"/>
  <c r="L474" i="5"/>
  <c r="L473" i="5"/>
  <c r="L472" i="5"/>
  <c r="L471" i="5"/>
  <c r="L470" i="5"/>
  <c r="L469" i="5"/>
  <c r="L468" i="5"/>
  <c r="L467" i="5"/>
  <c r="L466" i="5"/>
  <c r="L465" i="5"/>
  <c r="L464" i="5"/>
  <c r="L463" i="5"/>
  <c r="L462" i="5"/>
  <c r="L461" i="5"/>
  <c r="L460" i="5"/>
  <c r="L459" i="5"/>
  <c r="L458" i="5"/>
  <c r="L457" i="5"/>
  <c r="L456" i="5"/>
  <c r="L455" i="5"/>
  <c r="L454" i="5"/>
  <c r="L453" i="5"/>
  <c r="L452" i="5"/>
  <c r="L451" i="5"/>
  <c r="L450" i="5"/>
  <c r="L449" i="5"/>
  <c r="L448" i="5"/>
  <c r="L447" i="5"/>
  <c r="L446" i="5"/>
  <c r="L445" i="5"/>
  <c r="L444" i="5"/>
  <c r="L443" i="5"/>
  <c r="L442" i="5"/>
  <c r="L441" i="5"/>
  <c r="L440" i="5"/>
  <c r="L439" i="5"/>
  <c r="L438" i="5"/>
  <c r="L437" i="5"/>
  <c r="L436" i="5"/>
  <c r="L435" i="5"/>
  <c r="L434" i="5"/>
  <c r="L433" i="5"/>
  <c r="L432" i="5"/>
  <c r="L431" i="5"/>
  <c r="L430" i="5"/>
  <c r="L429" i="5"/>
  <c r="L428" i="5"/>
  <c r="L427" i="5"/>
  <c r="L426" i="5"/>
  <c r="L425" i="5"/>
  <c r="L424" i="5"/>
  <c r="L423" i="5"/>
  <c r="L422" i="5"/>
  <c r="L421" i="5"/>
  <c r="L420" i="5"/>
  <c r="L419" i="5"/>
  <c r="L418" i="5"/>
  <c r="L417" i="5"/>
  <c r="L416" i="5"/>
  <c r="L415" i="5"/>
  <c r="L414" i="5"/>
  <c r="L413" i="5"/>
  <c r="L412" i="5"/>
  <c r="L411" i="5"/>
  <c r="L410" i="5"/>
  <c r="L409" i="5"/>
  <c r="L408" i="5"/>
  <c r="L407" i="5"/>
  <c r="L406" i="5"/>
  <c r="L405" i="5"/>
  <c r="L404" i="5"/>
  <c r="L403" i="5"/>
  <c r="L402" i="5"/>
  <c r="L401" i="5"/>
  <c r="L400" i="5"/>
  <c r="L399" i="5"/>
  <c r="L398" i="5"/>
  <c r="L397" i="5"/>
  <c r="L396" i="5"/>
  <c r="L395" i="5"/>
  <c r="L394" i="5"/>
  <c r="L393" i="5"/>
  <c r="L392" i="5"/>
  <c r="L391" i="5"/>
  <c r="L390" i="5"/>
  <c r="L389" i="5"/>
  <c r="L388" i="5"/>
  <c r="L387" i="5"/>
  <c r="L386" i="5"/>
  <c r="L385" i="5"/>
  <c r="L384" i="5"/>
  <c r="L383" i="5"/>
  <c r="L382" i="5"/>
  <c r="L381" i="5"/>
  <c r="L380" i="5"/>
  <c r="L379" i="5"/>
  <c r="L378" i="5"/>
  <c r="L377" i="5"/>
  <c r="L376" i="5"/>
  <c r="L375" i="5"/>
  <c r="L374" i="5"/>
  <c r="L373" i="5"/>
  <c r="L372" i="5"/>
  <c r="L371" i="5"/>
  <c r="L370" i="5"/>
  <c r="L369" i="5"/>
  <c r="L368" i="5"/>
  <c r="L367" i="5"/>
  <c r="L366" i="5"/>
  <c r="L365" i="5"/>
  <c r="L364" i="5"/>
  <c r="L363" i="5"/>
  <c r="L362" i="5"/>
  <c r="L361" i="5"/>
  <c r="L360" i="5"/>
  <c r="L359" i="5"/>
  <c r="L358" i="5"/>
  <c r="L357" i="5"/>
  <c r="L356" i="5"/>
  <c r="L355" i="5"/>
  <c r="L354" i="5"/>
  <c r="L353" i="5"/>
  <c r="L352" i="5"/>
  <c r="L351" i="5"/>
  <c r="L350" i="5"/>
  <c r="L349" i="5"/>
  <c r="L348" i="5"/>
  <c r="L347" i="5"/>
  <c r="L346" i="5"/>
  <c r="L345" i="5"/>
  <c r="L344" i="5"/>
  <c r="L343" i="5"/>
  <c r="L342" i="5"/>
  <c r="L341" i="5"/>
  <c r="L340" i="5"/>
  <c r="L339" i="5"/>
  <c r="L338" i="5"/>
  <c r="L337" i="5"/>
  <c r="L336" i="5"/>
  <c r="L335" i="5"/>
  <c r="L334" i="5"/>
  <c r="L333" i="5"/>
  <c r="L332" i="5"/>
  <c r="L331" i="5"/>
  <c r="L330" i="5"/>
  <c r="L329" i="5"/>
  <c r="L328" i="5"/>
  <c r="L327" i="5"/>
  <c r="L326" i="5"/>
  <c r="L325" i="5"/>
  <c r="L324" i="5"/>
  <c r="L323" i="5"/>
  <c r="L322" i="5"/>
  <c r="L321" i="5"/>
  <c r="L320" i="5"/>
  <c r="L319" i="5"/>
  <c r="L318" i="5"/>
  <c r="L317" i="5"/>
  <c r="L316" i="5"/>
  <c r="L315" i="5"/>
  <c r="L314" i="5"/>
  <c r="L313" i="5"/>
  <c r="L312" i="5"/>
  <c r="L311" i="5"/>
  <c r="L310" i="5"/>
  <c r="L309" i="5"/>
  <c r="L308" i="5"/>
  <c r="L307" i="5"/>
  <c r="L306" i="5"/>
  <c r="L305" i="5"/>
  <c r="L304" i="5"/>
  <c r="L303" i="5"/>
  <c r="L302" i="5"/>
  <c r="L301" i="5"/>
  <c r="L300" i="5"/>
  <c r="L299" i="5"/>
  <c r="L298" i="5"/>
  <c r="L297" i="5"/>
  <c r="L296" i="5"/>
  <c r="L295" i="5"/>
  <c r="L294" i="5"/>
  <c r="L293" i="5"/>
  <c r="L292" i="5"/>
  <c r="L291" i="5"/>
  <c r="L290" i="5"/>
  <c r="L289" i="5"/>
  <c r="L288" i="5"/>
  <c r="L287" i="5"/>
  <c r="L286" i="5"/>
  <c r="L285" i="5"/>
  <c r="L284" i="5"/>
  <c r="L283" i="5"/>
  <c r="L282" i="5"/>
  <c r="L281" i="5"/>
  <c r="L280" i="5"/>
  <c r="L279" i="5"/>
  <c r="L278" i="5"/>
  <c r="L277" i="5"/>
  <c r="L276" i="5"/>
  <c r="L275" i="5"/>
  <c r="L274" i="5"/>
  <c r="L273" i="5"/>
  <c r="L272" i="5"/>
  <c r="L271" i="5"/>
  <c r="L270" i="5"/>
  <c r="L269" i="5"/>
  <c r="L268" i="5"/>
  <c r="L267" i="5"/>
  <c r="L266" i="5"/>
  <c r="L265" i="5"/>
  <c r="L264" i="5"/>
  <c r="L263" i="5"/>
  <c r="L262" i="5"/>
  <c r="L261" i="5"/>
  <c r="L260" i="5"/>
  <c r="L259" i="5"/>
  <c r="L258" i="5"/>
  <c r="L257" i="5"/>
  <c r="L256" i="5"/>
  <c r="L255" i="5"/>
  <c r="L254" i="5"/>
  <c r="L253" i="5"/>
  <c r="L252" i="5"/>
  <c r="L251" i="5"/>
  <c r="L250" i="5"/>
  <c r="L249" i="5"/>
  <c r="L248" i="5"/>
  <c r="L247" i="5"/>
  <c r="L246" i="5"/>
  <c r="L245" i="5"/>
  <c r="L244" i="5"/>
  <c r="L243" i="5"/>
  <c r="L242" i="5"/>
  <c r="L241" i="5"/>
  <c r="L240" i="5"/>
  <c r="L239" i="5"/>
  <c r="L238" i="5"/>
  <c r="L237" i="5"/>
  <c r="L236" i="5"/>
  <c r="L235" i="5"/>
  <c r="L234" i="5"/>
  <c r="L233" i="5"/>
  <c r="L232" i="5"/>
  <c r="L231" i="5"/>
  <c r="L230" i="5"/>
  <c r="L229" i="5"/>
  <c r="L228" i="5"/>
  <c r="L227" i="5"/>
  <c r="L226" i="5"/>
  <c r="L225" i="5"/>
  <c r="L224" i="5"/>
  <c r="L223" i="5"/>
  <c r="L222" i="5"/>
  <c r="L221" i="5"/>
  <c r="L220" i="5"/>
  <c r="L219" i="5"/>
  <c r="L218" i="5"/>
  <c r="L217" i="5"/>
  <c r="L216" i="5"/>
  <c r="L215" i="5"/>
  <c r="L214" i="5"/>
  <c r="L213" i="5"/>
  <c r="L212" i="5"/>
  <c r="L211" i="5"/>
  <c r="L210" i="5"/>
  <c r="L209" i="5"/>
  <c r="L208" i="5"/>
  <c r="L207" i="5"/>
  <c r="L206" i="5"/>
  <c r="L205" i="5"/>
  <c r="L204" i="5"/>
  <c r="L203" i="5"/>
  <c r="L202" i="5"/>
  <c r="L201" i="5"/>
  <c r="L200" i="5"/>
  <c r="L199" i="5"/>
  <c r="L198" i="5"/>
  <c r="L197" i="5"/>
  <c r="L196" i="5"/>
  <c r="L195" i="5"/>
  <c r="L194" i="5"/>
  <c r="L193" i="5"/>
  <c r="L192" i="5"/>
  <c r="L191" i="5"/>
  <c r="L190" i="5"/>
  <c r="L189" i="5"/>
  <c r="L188" i="5"/>
  <c r="L187" i="5"/>
  <c r="L186" i="5"/>
  <c r="L185" i="5"/>
  <c r="L184" i="5"/>
  <c r="L183" i="5"/>
  <c r="L182" i="5"/>
  <c r="L181" i="5"/>
  <c r="L180" i="5"/>
  <c r="L179" i="5"/>
  <c r="L178" i="5"/>
  <c r="L177" i="5"/>
  <c r="L176" i="5"/>
  <c r="L175" i="5"/>
  <c r="L174" i="5"/>
  <c r="L173" i="5"/>
  <c r="L172" i="5"/>
  <c r="L171" i="5"/>
  <c r="L170" i="5"/>
  <c r="L169" i="5"/>
  <c r="L168" i="5"/>
  <c r="L167" i="5"/>
  <c r="L166" i="5"/>
  <c r="L165" i="5"/>
  <c r="L164" i="5"/>
  <c r="L163" i="5"/>
  <c r="L162" i="5"/>
  <c r="L161" i="5"/>
  <c r="L160" i="5"/>
  <c r="L159" i="5"/>
  <c r="L158" i="5"/>
  <c r="L157" i="5"/>
  <c r="L156" i="5"/>
  <c r="L155" i="5"/>
  <c r="L154" i="5"/>
  <c r="L153" i="5"/>
  <c r="L152" i="5"/>
  <c r="L151" i="5"/>
  <c r="L150" i="5"/>
  <c r="L149" i="5"/>
  <c r="L148" i="5"/>
  <c r="L147" i="5"/>
  <c r="L146" i="5"/>
  <c r="L145" i="5"/>
  <c r="L144" i="5"/>
  <c r="L143" i="5"/>
  <c r="L142" i="5"/>
  <c r="L141" i="5"/>
  <c r="L140" i="5"/>
  <c r="L139" i="5"/>
  <c r="L138" i="5"/>
  <c r="L137" i="5"/>
  <c r="L136" i="5"/>
  <c r="L135" i="5"/>
  <c r="L134" i="5"/>
  <c r="L133" i="5"/>
  <c r="L132" i="5"/>
  <c r="L131" i="5"/>
  <c r="L130" i="5"/>
  <c r="L129" i="5"/>
  <c r="L128" i="5"/>
  <c r="L127" i="5"/>
  <c r="L126" i="5"/>
  <c r="L125" i="5"/>
  <c r="L124" i="5"/>
  <c r="L123" i="5"/>
  <c r="L122" i="5"/>
  <c r="L121" i="5"/>
  <c r="L120" i="5"/>
  <c r="L119" i="5"/>
  <c r="L118" i="5"/>
  <c r="L117" i="5"/>
  <c r="L116" i="5"/>
  <c r="L115" i="5"/>
  <c r="L114" i="5"/>
  <c r="L113" i="5"/>
  <c r="L112" i="5"/>
  <c r="L111" i="5"/>
  <c r="L110" i="5"/>
  <c r="L109" i="5"/>
  <c r="L108" i="5"/>
  <c r="L107" i="5"/>
  <c r="L106" i="5"/>
  <c r="L105" i="5"/>
  <c r="L104" i="5"/>
  <c r="L103" i="5"/>
  <c r="L102" i="5"/>
  <c r="L101" i="5"/>
  <c r="L100" i="5"/>
  <c r="L99" i="5"/>
  <c r="L98" i="5"/>
  <c r="L97" i="5"/>
  <c r="L96" i="5"/>
  <c r="L95" i="5"/>
  <c r="L94" i="5"/>
  <c r="L93" i="5"/>
  <c r="L92" i="5"/>
  <c r="L91" i="5"/>
  <c r="L90" i="5"/>
  <c r="L89" i="5"/>
  <c r="L88" i="5"/>
  <c r="L87" i="5"/>
  <c r="L86" i="5"/>
  <c r="L85" i="5"/>
  <c r="L84" i="5"/>
  <c r="L83" i="5"/>
  <c r="L82" i="5"/>
  <c r="L81" i="5"/>
  <c r="L80" i="5"/>
  <c r="L79" i="5"/>
  <c r="L78" i="5"/>
  <c r="L77" i="5"/>
  <c r="L76" i="5"/>
  <c r="L75" i="5"/>
  <c r="L74" i="5"/>
  <c r="L73" i="5"/>
  <c r="L72" i="5"/>
  <c r="L71" i="5"/>
  <c r="L70" i="5"/>
  <c r="L69" i="5"/>
  <c r="L68" i="5"/>
  <c r="L67" i="5"/>
  <c r="L66" i="5"/>
  <c r="L65" i="5"/>
  <c r="L64" i="5"/>
  <c r="L63" i="5"/>
  <c r="L62" i="5"/>
  <c r="L61" i="5"/>
  <c r="L60" i="5"/>
  <c r="L59" i="5"/>
  <c r="L58" i="5"/>
  <c r="L57" i="5"/>
  <c r="L56" i="5"/>
  <c r="L55" i="5"/>
  <c r="L54" i="5"/>
  <c r="L53" i="5"/>
  <c r="L52" i="5"/>
  <c r="L51" i="5"/>
  <c r="L50" i="5"/>
  <c r="L49" i="5"/>
  <c r="L48" i="5"/>
  <c r="L47" i="5"/>
  <c r="L46" i="5"/>
  <c r="L45" i="5"/>
  <c r="L44" i="5"/>
  <c r="L43" i="5"/>
  <c r="L42" i="5"/>
  <c r="L41" i="5"/>
  <c r="L40" i="5"/>
  <c r="L39" i="5"/>
  <c r="L38" i="5"/>
  <c r="L37" i="5"/>
  <c r="L36" i="5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H8" i="5"/>
  <c r="L7" i="5"/>
  <c r="H7" i="5"/>
  <c r="L6" i="5"/>
  <c r="L5" i="5"/>
  <c r="M5" i="5" s="1"/>
  <c r="N506" i="4"/>
  <c r="O50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2" i="4"/>
  <c r="N363" i="4"/>
  <c r="N364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" i="4"/>
  <c r="O5" i="4"/>
  <c r="M6" i="6" l="1"/>
  <c r="O5" i="6"/>
  <c r="M6" i="5"/>
  <c r="O5" i="5"/>
  <c r="H8" i="4"/>
  <c r="H7" i="4"/>
  <c r="M7" i="4"/>
  <c r="M8" i="4"/>
  <c r="M9" i="4" s="1"/>
  <c r="M10" i="4" s="1"/>
  <c r="M11" i="4" s="1"/>
  <c r="M12" i="4" s="1"/>
  <c r="M13" i="4" s="1"/>
  <c r="M14" i="4" s="1"/>
  <c r="M15" i="4" s="1"/>
  <c r="M16" i="4" s="1"/>
  <c r="M17" i="4" s="1"/>
  <c r="M18" i="4" s="1"/>
  <c r="M19" i="4" s="1"/>
  <c r="M20" i="4" s="1"/>
  <c r="M21" i="4" s="1"/>
  <c r="M22" i="4" s="1"/>
  <c r="M23" i="4" s="1"/>
  <c r="M24" i="4" s="1"/>
  <c r="M25" i="4" s="1"/>
  <c r="M26" i="4" s="1"/>
  <c r="M27" i="4" s="1"/>
  <c r="M28" i="4" s="1"/>
  <c r="M29" i="4" s="1"/>
  <c r="M30" i="4" s="1"/>
  <c r="M31" i="4" s="1"/>
  <c r="M32" i="4" s="1"/>
  <c r="M33" i="4" s="1"/>
  <c r="M34" i="4" s="1"/>
  <c r="M35" i="4" s="1"/>
  <c r="M36" i="4" s="1"/>
  <c r="M37" i="4" s="1"/>
  <c r="M38" i="4" s="1"/>
  <c r="M39" i="4" s="1"/>
  <c r="M40" i="4" s="1"/>
  <c r="M41" i="4" s="1"/>
  <c r="M42" i="4" s="1"/>
  <c r="M43" i="4" s="1"/>
  <c r="M44" i="4" s="1"/>
  <c r="M45" i="4" s="1"/>
  <c r="M46" i="4" s="1"/>
  <c r="M47" i="4" s="1"/>
  <c r="M48" i="4" s="1"/>
  <c r="M49" i="4" s="1"/>
  <c r="M50" i="4" s="1"/>
  <c r="M51" i="4" s="1"/>
  <c r="M52" i="4" s="1"/>
  <c r="M53" i="4" s="1"/>
  <c r="M54" i="4" s="1"/>
  <c r="M55" i="4" s="1"/>
  <c r="M56" i="4" s="1"/>
  <c r="M57" i="4" s="1"/>
  <c r="M58" i="4" s="1"/>
  <c r="M59" i="4" s="1"/>
  <c r="M60" i="4" s="1"/>
  <c r="M61" i="4" s="1"/>
  <c r="M62" i="4" s="1"/>
  <c r="M63" i="4" s="1"/>
  <c r="M64" i="4" s="1"/>
  <c r="M65" i="4" s="1"/>
  <c r="M66" i="4" s="1"/>
  <c r="M67" i="4" s="1"/>
  <c r="M68" i="4" s="1"/>
  <c r="M69" i="4" s="1"/>
  <c r="M70" i="4" s="1"/>
  <c r="M71" i="4" s="1"/>
  <c r="M72" i="4" s="1"/>
  <c r="M73" i="4" s="1"/>
  <c r="M74" i="4" s="1"/>
  <c r="M75" i="4" s="1"/>
  <c r="M76" i="4" s="1"/>
  <c r="M77" i="4" s="1"/>
  <c r="M78" i="4" s="1"/>
  <c r="M79" i="4" s="1"/>
  <c r="M80" i="4" s="1"/>
  <c r="M81" i="4" s="1"/>
  <c r="M82" i="4" s="1"/>
  <c r="M83" i="4" s="1"/>
  <c r="M84" i="4" s="1"/>
  <c r="M85" i="4" s="1"/>
  <c r="M86" i="4" s="1"/>
  <c r="M87" i="4" s="1"/>
  <c r="M88" i="4" s="1"/>
  <c r="M89" i="4" s="1"/>
  <c r="M90" i="4" s="1"/>
  <c r="M91" i="4" s="1"/>
  <c r="M92" i="4" s="1"/>
  <c r="M93" i="4" s="1"/>
  <c r="M94" i="4" s="1"/>
  <c r="M95" i="4" s="1"/>
  <c r="M96" i="4" s="1"/>
  <c r="M97" i="4" s="1"/>
  <c r="M98" i="4" s="1"/>
  <c r="M99" i="4" s="1"/>
  <c r="M100" i="4" s="1"/>
  <c r="M101" i="4" s="1"/>
  <c r="M102" i="4" s="1"/>
  <c r="M103" i="4" s="1"/>
  <c r="M104" i="4" s="1"/>
  <c r="M105" i="4" s="1"/>
  <c r="M106" i="4" s="1"/>
  <c r="M107" i="4" s="1"/>
  <c r="M108" i="4" s="1"/>
  <c r="M109" i="4" s="1"/>
  <c r="M110" i="4" s="1"/>
  <c r="M111" i="4" s="1"/>
  <c r="M112" i="4" s="1"/>
  <c r="M113" i="4" s="1"/>
  <c r="M114" i="4" s="1"/>
  <c r="M115" i="4" s="1"/>
  <c r="M116" i="4" s="1"/>
  <c r="M117" i="4" s="1"/>
  <c r="M118" i="4" s="1"/>
  <c r="M119" i="4" s="1"/>
  <c r="M120" i="4" s="1"/>
  <c r="M121" i="4" s="1"/>
  <c r="M122" i="4" s="1"/>
  <c r="M123" i="4" s="1"/>
  <c r="M124" i="4" s="1"/>
  <c r="M125" i="4" s="1"/>
  <c r="M126" i="4" s="1"/>
  <c r="M127" i="4" s="1"/>
  <c r="M128" i="4" s="1"/>
  <c r="M129" i="4" s="1"/>
  <c r="M130" i="4" s="1"/>
  <c r="M131" i="4" s="1"/>
  <c r="M132" i="4" s="1"/>
  <c r="M133" i="4" s="1"/>
  <c r="M134" i="4" s="1"/>
  <c r="M135" i="4" s="1"/>
  <c r="M136" i="4" s="1"/>
  <c r="M137" i="4" s="1"/>
  <c r="M138" i="4" s="1"/>
  <c r="M139" i="4" s="1"/>
  <c r="M140" i="4" s="1"/>
  <c r="M141" i="4" s="1"/>
  <c r="M142" i="4" s="1"/>
  <c r="M143" i="4" s="1"/>
  <c r="M144" i="4" s="1"/>
  <c r="M145" i="4" s="1"/>
  <c r="M146" i="4" s="1"/>
  <c r="M147" i="4" s="1"/>
  <c r="M148" i="4" s="1"/>
  <c r="M149" i="4" s="1"/>
  <c r="M150" i="4" s="1"/>
  <c r="M151" i="4" s="1"/>
  <c r="M152" i="4" s="1"/>
  <c r="M153" i="4" s="1"/>
  <c r="M154" i="4" s="1"/>
  <c r="M155" i="4" s="1"/>
  <c r="M156" i="4" s="1"/>
  <c r="M157" i="4" s="1"/>
  <c r="M158" i="4" s="1"/>
  <c r="M159" i="4" s="1"/>
  <c r="M160" i="4" s="1"/>
  <c r="M161" i="4" s="1"/>
  <c r="M162" i="4" s="1"/>
  <c r="M163" i="4" s="1"/>
  <c r="M164" i="4" s="1"/>
  <c r="M165" i="4" s="1"/>
  <c r="M166" i="4" s="1"/>
  <c r="M167" i="4" s="1"/>
  <c r="M168" i="4" s="1"/>
  <c r="M169" i="4" s="1"/>
  <c r="M170" i="4" s="1"/>
  <c r="M171" i="4" s="1"/>
  <c r="M172" i="4" s="1"/>
  <c r="M173" i="4" s="1"/>
  <c r="M174" i="4" s="1"/>
  <c r="M175" i="4" s="1"/>
  <c r="M176" i="4" s="1"/>
  <c r="M177" i="4" s="1"/>
  <c r="M178" i="4" s="1"/>
  <c r="M179" i="4" s="1"/>
  <c r="M180" i="4" s="1"/>
  <c r="M181" i="4" s="1"/>
  <c r="M182" i="4" s="1"/>
  <c r="M183" i="4" s="1"/>
  <c r="M184" i="4" s="1"/>
  <c r="M185" i="4" s="1"/>
  <c r="M186" i="4" s="1"/>
  <c r="M187" i="4" s="1"/>
  <c r="M188" i="4" s="1"/>
  <c r="M189" i="4" s="1"/>
  <c r="M190" i="4" s="1"/>
  <c r="M191" i="4" s="1"/>
  <c r="M192" i="4" s="1"/>
  <c r="M193" i="4" s="1"/>
  <c r="M194" i="4" s="1"/>
  <c r="M195" i="4" s="1"/>
  <c r="M196" i="4" s="1"/>
  <c r="M197" i="4" s="1"/>
  <c r="M198" i="4" s="1"/>
  <c r="M199" i="4" s="1"/>
  <c r="M200" i="4" s="1"/>
  <c r="M201" i="4" s="1"/>
  <c r="M202" i="4" s="1"/>
  <c r="M203" i="4" s="1"/>
  <c r="M204" i="4" s="1"/>
  <c r="M205" i="4" s="1"/>
  <c r="M206" i="4" s="1"/>
  <c r="M207" i="4" s="1"/>
  <c r="M208" i="4" s="1"/>
  <c r="M209" i="4" s="1"/>
  <c r="M210" i="4" s="1"/>
  <c r="M211" i="4" s="1"/>
  <c r="M212" i="4" s="1"/>
  <c r="M213" i="4" s="1"/>
  <c r="M214" i="4" s="1"/>
  <c r="M215" i="4" s="1"/>
  <c r="M216" i="4" s="1"/>
  <c r="M217" i="4" s="1"/>
  <c r="M218" i="4" s="1"/>
  <c r="M219" i="4" s="1"/>
  <c r="M220" i="4" s="1"/>
  <c r="M221" i="4" s="1"/>
  <c r="M222" i="4" s="1"/>
  <c r="M223" i="4" s="1"/>
  <c r="M224" i="4" s="1"/>
  <c r="M225" i="4" s="1"/>
  <c r="M226" i="4" s="1"/>
  <c r="M227" i="4" s="1"/>
  <c r="M228" i="4" s="1"/>
  <c r="M229" i="4" s="1"/>
  <c r="M230" i="4" s="1"/>
  <c r="M231" i="4" s="1"/>
  <c r="M232" i="4" s="1"/>
  <c r="M233" i="4" s="1"/>
  <c r="M234" i="4" s="1"/>
  <c r="M235" i="4" s="1"/>
  <c r="M236" i="4" s="1"/>
  <c r="M237" i="4" s="1"/>
  <c r="M238" i="4" s="1"/>
  <c r="M239" i="4" s="1"/>
  <c r="M240" i="4" s="1"/>
  <c r="M241" i="4" s="1"/>
  <c r="M242" i="4" s="1"/>
  <c r="M243" i="4" s="1"/>
  <c r="M244" i="4" s="1"/>
  <c r="M245" i="4" s="1"/>
  <c r="M246" i="4" s="1"/>
  <c r="M247" i="4" s="1"/>
  <c r="M248" i="4" s="1"/>
  <c r="M249" i="4" s="1"/>
  <c r="M250" i="4" s="1"/>
  <c r="M251" i="4" s="1"/>
  <c r="M252" i="4" s="1"/>
  <c r="M253" i="4" s="1"/>
  <c r="M254" i="4" s="1"/>
  <c r="M255" i="4" s="1"/>
  <c r="M256" i="4" s="1"/>
  <c r="M257" i="4" s="1"/>
  <c r="M258" i="4" s="1"/>
  <c r="M259" i="4" s="1"/>
  <c r="M260" i="4" s="1"/>
  <c r="M261" i="4" s="1"/>
  <c r="M262" i="4" s="1"/>
  <c r="M263" i="4" s="1"/>
  <c r="M264" i="4" s="1"/>
  <c r="M265" i="4" s="1"/>
  <c r="M266" i="4" s="1"/>
  <c r="M267" i="4" s="1"/>
  <c r="M268" i="4" s="1"/>
  <c r="M269" i="4" s="1"/>
  <c r="M270" i="4" s="1"/>
  <c r="M271" i="4" s="1"/>
  <c r="M272" i="4" s="1"/>
  <c r="M273" i="4" s="1"/>
  <c r="M274" i="4" s="1"/>
  <c r="M275" i="4" s="1"/>
  <c r="M276" i="4" s="1"/>
  <c r="M277" i="4" s="1"/>
  <c r="M278" i="4" s="1"/>
  <c r="M279" i="4" s="1"/>
  <c r="M280" i="4" s="1"/>
  <c r="M281" i="4" s="1"/>
  <c r="M282" i="4" s="1"/>
  <c r="M283" i="4" s="1"/>
  <c r="M284" i="4" s="1"/>
  <c r="M285" i="4" s="1"/>
  <c r="M286" i="4" s="1"/>
  <c r="M287" i="4" s="1"/>
  <c r="M288" i="4" s="1"/>
  <c r="M289" i="4" s="1"/>
  <c r="M290" i="4" s="1"/>
  <c r="M291" i="4" s="1"/>
  <c r="M292" i="4" s="1"/>
  <c r="M293" i="4" s="1"/>
  <c r="M294" i="4" s="1"/>
  <c r="M295" i="4" s="1"/>
  <c r="M296" i="4" s="1"/>
  <c r="M297" i="4" s="1"/>
  <c r="M298" i="4" s="1"/>
  <c r="M299" i="4" s="1"/>
  <c r="M300" i="4" s="1"/>
  <c r="M301" i="4" s="1"/>
  <c r="M302" i="4" s="1"/>
  <c r="M303" i="4" s="1"/>
  <c r="M304" i="4" s="1"/>
  <c r="M305" i="4" s="1"/>
  <c r="M306" i="4" s="1"/>
  <c r="M307" i="4" s="1"/>
  <c r="M308" i="4" s="1"/>
  <c r="M309" i="4" s="1"/>
  <c r="M310" i="4" s="1"/>
  <c r="M311" i="4" s="1"/>
  <c r="M312" i="4" s="1"/>
  <c r="M313" i="4" s="1"/>
  <c r="M314" i="4" s="1"/>
  <c r="M315" i="4" s="1"/>
  <c r="M316" i="4" s="1"/>
  <c r="M317" i="4" s="1"/>
  <c r="M318" i="4" s="1"/>
  <c r="M319" i="4" s="1"/>
  <c r="M320" i="4" s="1"/>
  <c r="M321" i="4" s="1"/>
  <c r="M322" i="4" s="1"/>
  <c r="M323" i="4" s="1"/>
  <c r="M324" i="4" s="1"/>
  <c r="M325" i="4" s="1"/>
  <c r="M326" i="4" s="1"/>
  <c r="M327" i="4" s="1"/>
  <c r="M328" i="4" s="1"/>
  <c r="M329" i="4" s="1"/>
  <c r="M330" i="4" s="1"/>
  <c r="M331" i="4" s="1"/>
  <c r="M332" i="4" s="1"/>
  <c r="M333" i="4" s="1"/>
  <c r="M334" i="4" s="1"/>
  <c r="M335" i="4" s="1"/>
  <c r="M336" i="4" s="1"/>
  <c r="M337" i="4" s="1"/>
  <c r="M338" i="4" s="1"/>
  <c r="M339" i="4" s="1"/>
  <c r="M340" i="4" s="1"/>
  <c r="M341" i="4" s="1"/>
  <c r="M342" i="4" s="1"/>
  <c r="M343" i="4" s="1"/>
  <c r="M344" i="4" s="1"/>
  <c r="M345" i="4" s="1"/>
  <c r="M346" i="4" s="1"/>
  <c r="M347" i="4" s="1"/>
  <c r="M348" i="4" s="1"/>
  <c r="M349" i="4" s="1"/>
  <c r="M350" i="4" s="1"/>
  <c r="M351" i="4" s="1"/>
  <c r="M352" i="4" s="1"/>
  <c r="M353" i="4" s="1"/>
  <c r="M354" i="4" s="1"/>
  <c r="M355" i="4" s="1"/>
  <c r="M356" i="4" s="1"/>
  <c r="M357" i="4" s="1"/>
  <c r="M358" i="4" s="1"/>
  <c r="M359" i="4" s="1"/>
  <c r="M360" i="4" s="1"/>
  <c r="M361" i="4" s="1"/>
  <c r="M362" i="4" s="1"/>
  <c r="M363" i="4" s="1"/>
  <c r="M364" i="4" s="1"/>
  <c r="M365" i="4" s="1"/>
  <c r="M366" i="4" s="1"/>
  <c r="M367" i="4" s="1"/>
  <c r="M368" i="4" s="1"/>
  <c r="M369" i="4" s="1"/>
  <c r="M370" i="4" s="1"/>
  <c r="M371" i="4" s="1"/>
  <c r="M372" i="4" s="1"/>
  <c r="M373" i="4" s="1"/>
  <c r="M374" i="4" s="1"/>
  <c r="M375" i="4" s="1"/>
  <c r="M376" i="4" s="1"/>
  <c r="M377" i="4" s="1"/>
  <c r="M378" i="4" s="1"/>
  <c r="M379" i="4" s="1"/>
  <c r="M380" i="4" s="1"/>
  <c r="M381" i="4" s="1"/>
  <c r="M382" i="4" s="1"/>
  <c r="M383" i="4" s="1"/>
  <c r="M384" i="4" s="1"/>
  <c r="M385" i="4" s="1"/>
  <c r="M386" i="4" s="1"/>
  <c r="M387" i="4" s="1"/>
  <c r="M388" i="4" s="1"/>
  <c r="M389" i="4" s="1"/>
  <c r="M390" i="4" s="1"/>
  <c r="M391" i="4" s="1"/>
  <c r="M392" i="4" s="1"/>
  <c r="M393" i="4" s="1"/>
  <c r="M394" i="4" s="1"/>
  <c r="M395" i="4" s="1"/>
  <c r="M396" i="4" s="1"/>
  <c r="M397" i="4" s="1"/>
  <c r="M398" i="4" s="1"/>
  <c r="M399" i="4" s="1"/>
  <c r="M400" i="4" s="1"/>
  <c r="M401" i="4" s="1"/>
  <c r="M402" i="4" s="1"/>
  <c r="M403" i="4" s="1"/>
  <c r="M404" i="4" s="1"/>
  <c r="M405" i="4" s="1"/>
  <c r="M406" i="4" s="1"/>
  <c r="M407" i="4" s="1"/>
  <c r="M408" i="4" s="1"/>
  <c r="M409" i="4" s="1"/>
  <c r="M410" i="4" s="1"/>
  <c r="M411" i="4" s="1"/>
  <c r="M412" i="4" s="1"/>
  <c r="M413" i="4" s="1"/>
  <c r="M414" i="4" s="1"/>
  <c r="M415" i="4" s="1"/>
  <c r="M416" i="4" s="1"/>
  <c r="M417" i="4" s="1"/>
  <c r="M418" i="4" s="1"/>
  <c r="M419" i="4" s="1"/>
  <c r="M420" i="4" s="1"/>
  <c r="M421" i="4" s="1"/>
  <c r="M422" i="4" s="1"/>
  <c r="M423" i="4" s="1"/>
  <c r="M424" i="4" s="1"/>
  <c r="M425" i="4" s="1"/>
  <c r="M426" i="4" s="1"/>
  <c r="M427" i="4" s="1"/>
  <c r="M428" i="4" s="1"/>
  <c r="M429" i="4" s="1"/>
  <c r="M430" i="4" s="1"/>
  <c r="M431" i="4" s="1"/>
  <c r="M432" i="4" s="1"/>
  <c r="M433" i="4" s="1"/>
  <c r="M434" i="4" s="1"/>
  <c r="M435" i="4" s="1"/>
  <c r="M436" i="4" s="1"/>
  <c r="M437" i="4" s="1"/>
  <c r="M438" i="4" s="1"/>
  <c r="M439" i="4" s="1"/>
  <c r="M440" i="4" s="1"/>
  <c r="M441" i="4" s="1"/>
  <c r="M442" i="4" s="1"/>
  <c r="M443" i="4" s="1"/>
  <c r="M444" i="4" s="1"/>
  <c r="M445" i="4" s="1"/>
  <c r="M446" i="4" s="1"/>
  <c r="M447" i="4" s="1"/>
  <c r="M448" i="4" s="1"/>
  <c r="M449" i="4" s="1"/>
  <c r="M450" i="4" s="1"/>
  <c r="M451" i="4" s="1"/>
  <c r="M452" i="4" s="1"/>
  <c r="M453" i="4" s="1"/>
  <c r="M454" i="4" s="1"/>
  <c r="M455" i="4" s="1"/>
  <c r="M456" i="4" s="1"/>
  <c r="M457" i="4" s="1"/>
  <c r="M458" i="4" s="1"/>
  <c r="M459" i="4" s="1"/>
  <c r="M460" i="4" s="1"/>
  <c r="M461" i="4" s="1"/>
  <c r="M462" i="4" s="1"/>
  <c r="M463" i="4" s="1"/>
  <c r="M464" i="4" s="1"/>
  <c r="M465" i="4" s="1"/>
  <c r="M466" i="4" s="1"/>
  <c r="M467" i="4" s="1"/>
  <c r="M468" i="4" s="1"/>
  <c r="M469" i="4" s="1"/>
  <c r="M470" i="4" s="1"/>
  <c r="M471" i="4" s="1"/>
  <c r="M472" i="4" s="1"/>
  <c r="M473" i="4" s="1"/>
  <c r="M474" i="4" s="1"/>
  <c r="M475" i="4" s="1"/>
  <c r="M476" i="4" s="1"/>
  <c r="M477" i="4" s="1"/>
  <c r="M478" i="4" s="1"/>
  <c r="M479" i="4" s="1"/>
  <c r="M480" i="4" s="1"/>
  <c r="M481" i="4" s="1"/>
  <c r="M482" i="4" s="1"/>
  <c r="M483" i="4" s="1"/>
  <c r="M484" i="4" s="1"/>
  <c r="M485" i="4" s="1"/>
  <c r="M486" i="4" s="1"/>
  <c r="M487" i="4" s="1"/>
  <c r="M488" i="4" s="1"/>
  <c r="M489" i="4" s="1"/>
  <c r="M490" i="4" s="1"/>
  <c r="M491" i="4" s="1"/>
  <c r="M492" i="4" s="1"/>
  <c r="M493" i="4" s="1"/>
  <c r="M494" i="4" s="1"/>
  <c r="M495" i="4" s="1"/>
  <c r="M496" i="4" s="1"/>
  <c r="M497" i="4" s="1"/>
  <c r="M498" i="4" s="1"/>
  <c r="M499" i="4" s="1"/>
  <c r="M500" i="4" s="1"/>
  <c r="M501" i="4" s="1"/>
  <c r="M502" i="4" s="1"/>
  <c r="M503" i="4" s="1"/>
  <c r="M504" i="4" s="1"/>
  <c r="M6" i="4"/>
  <c r="M5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5" i="4"/>
  <c r="M7" i="6" l="1"/>
  <c r="O6" i="6"/>
  <c r="M7" i="5"/>
  <c r="O6" i="5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5" i="3"/>
  <c r="E15" i="2"/>
  <c r="E16" i="2"/>
  <c r="E17" i="2"/>
  <c r="E18" i="2"/>
  <c r="E19" i="2"/>
  <c r="E20" i="2"/>
  <c r="E21" i="2"/>
  <c r="E22" i="2"/>
  <c r="E23" i="2"/>
  <c r="E14" i="2"/>
  <c r="E9" i="2"/>
  <c r="E10" i="2"/>
  <c r="E11" i="2"/>
  <c r="E12" i="2"/>
  <c r="E13" i="2"/>
  <c r="E8" i="2"/>
  <c r="C14" i="2"/>
  <c r="C15" i="2"/>
  <c r="C16" i="2"/>
  <c r="C17" i="2"/>
  <c r="C18" i="2"/>
  <c r="C19" i="2"/>
  <c r="C20" i="2"/>
  <c r="C21" i="2"/>
  <c r="C22" i="2"/>
  <c r="C23" i="2"/>
  <c r="C11" i="2"/>
  <c r="C12" i="2"/>
  <c r="C13" i="2"/>
  <c r="C9" i="2"/>
  <c r="C10" i="2"/>
  <c r="C8" i="2"/>
  <c r="B10" i="2"/>
  <c r="B11" i="2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9" i="2"/>
  <c r="B8" i="2"/>
  <c r="E9" i="1"/>
  <c r="E10" i="1"/>
  <c r="E11" i="1"/>
  <c r="E12" i="1"/>
  <c r="E13" i="1"/>
  <c r="E14" i="1"/>
  <c r="E15" i="1"/>
  <c r="E16" i="1"/>
  <c r="E17" i="1"/>
  <c r="E18" i="1"/>
  <c r="E8" i="1"/>
  <c r="D9" i="1"/>
  <c r="D10" i="1"/>
  <c r="D11" i="1"/>
  <c r="D12" i="1"/>
  <c r="D13" i="1"/>
  <c r="D14" i="1"/>
  <c r="D15" i="1"/>
  <c r="D16" i="1"/>
  <c r="D17" i="1"/>
  <c r="D18" i="1"/>
  <c r="D8" i="1"/>
  <c r="C10" i="1"/>
  <c r="C11" i="1" s="1"/>
  <c r="C12" i="1" s="1"/>
  <c r="C13" i="1" s="1"/>
  <c r="C14" i="1" s="1"/>
  <c r="C15" i="1" s="1"/>
  <c r="C16" i="1" s="1"/>
  <c r="C17" i="1" s="1"/>
  <c r="C18" i="1" s="1"/>
  <c r="C9" i="1"/>
  <c r="C8" i="1"/>
  <c r="M8" i="6" l="1"/>
  <c r="O7" i="6"/>
  <c r="M8" i="5"/>
  <c r="O7" i="5"/>
  <c r="M9" i="6" l="1"/>
  <c r="O8" i="6"/>
  <c r="M9" i="5"/>
  <c r="O8" i="5"/>
  <c r="M10" i="6" l="1"/>
  <c r="O9" i="6"/>
  <c r="M10" i="5"/>
  <c r="O9" i="5"/>
  <c r="M11" i="6" l="1"/>
  <c r="O10" i="6"/>
  <c r="M11" i="5"/>
  <c r="O10" i="5"/>
  <c r="M12" i="6" l="1"/>
  <c r="O11" i="6"/>
  <c r="M12" i="5"/>
  <c r="O11" i="5"/>
  <c r="M13" i="6" l="1"/>
  <c r="O12" i="6"/>
  <c r="M13" i="5"/>
  <c r="O12" i="5"/>
  <c r="M14" i="6" l="1"/>
  <c r="O13" i="6"/>
  <c r="M14" i="5"/>
  <c r="O13" i="5"/>
  <c r="M15" i="6" l="1"/>
  <c r="O14" i="6"/>
  <c r="M15" i="5"/>
  <c r="O14" i="5"/>
  <c r="M16" i="6" l="1"/>
  <c r="O15" i="6"/>
  <c r="M16" i="5"/>
  <c r="O15" i="5"/>
  <c r="M17" i="6" l="1"/>
  <c r="O16" i="6"/>
  <c r="M17" i="5"/>
  <c r="O16" i="5"/>
  <c r="M18" i="6" l="1"/>
  <c r="O17" i="6"/>
  <c r="M18" i="5"/>
  <c r="O17" i="5"/>
  <c r="M19" i="6" l="1"/>
  <c r="O18" i="6"/>
  <c r="M19" i="5"/>
  <c r="O18" i="5"/>
  <c r="M20" i="6" l="1"/>
  <c r="O19" i="6"/>
  <c r="M20" i="5"/>
  <c r="O19" i="5"/>
  <c r="M21" i="6" l="1"/>
  <c r="O20" i="6"/>
  <c r="M21" i="5"/>
  <c r="O20" i="5"/>
  <c r="M22" i="6" l="1"/>
  <c r="O21" i="6"/>
  <c r="M22" i="5"/>
  <c r="O21" i="5"/>
  <c r="M23" i="6" l="1"/>
  <c r="O22" i="6"/>
  <c r="M23" i="5"/>
  <c r="O22" i="5"/>
  <c r="M24" i="6" l="1"/>
  <c r="O23" i="6"/>
  <c r="M24" i="5"/>
  <c r="O23" i="5"/>
  <c r="M25" i="6" l="1"/>
  <c r="O24" i="6"/>
  <c r="M25" i="5"/>
  <c r="O24" i="5"/>
  <c r="M26" i="6" l="1"/>
  <c r="O25" i="6"/>
  <c r="M26" i="5"/>
  <c r="O25" i="5"/>
  <c r="M27" i="6" l="1"/>
  <c r="O26" i="6"/>
  <c r="M27" i="5"/>
  <c r="O26" i="5"/>
  <c r="M28" i="6" l="1"/>
  <c r="O27" i="6"/>
  <c r="M28" i="5"/>
  <c r="O27" i="5"/>
  <c r="M29" i="6" l="1"/>
  <c r="O28" i="6"/>
  <c r="M29" i="5"/>
  <c r="O28" i="5"/>
  <c r="M30" i="6" l="1"/>
  <c r="O29" i="6"/>
  <c r="M30" i="5"/>
  <c r="O29" i="5"/>
  <c r="M31" i="6" l="1"/>
  <c r="O30" i="6"/>
  <c r="M31" i="5"/>
  <c r="O30" i="5"/>
  <c r="M32" i="6" l="1"/>
  <c r="O31" i="6"/>
  <c r="M32" i="5"/>
  <c r="O31" i="5"/>
  <c r="M33" i="6" l="1"/>
  <c r="O32" i="6"/>
  <c r="M33" i="5"/>
  <c r="O32" i="5"/>
  <c r="M34" i="6" l="1"/>
  <c r="O33" i="6"/>
  <c r="M34" i="5"/>
  <c r="O33" i="5"/>
  <c r="M35" i="6" l="1"/>
  <c r="O34" i="6"/>
  <c r="M35" i="5"/>
  <c r="O34" i="5"/>
  <c r="M36" i="6" l="1"/>
  <c r="O35" i="6"/>
  <c r="M36" i="5"/>
  <c r="O35" i="5"/>
  <c r="M37" i="6" l="1"/>
  <c r="O36" i="6"/>
  <c r="M37" i="5"/>
  <c r="O36" i="5"/>
  <c r="M38" i="6" l="1"/>
  <c r="O37" i="6"/>
  <c r="M38" i="5"/>
  <c r="O37" i="5"/>
  <c r="M39" i="6" l="1"/>
  <c r="O38" i="6"/>
  <c r="M39" i="5"/>
  <c r="O38" i="5"/>
  <c r="M40" i="6" l="1"/>
  <c r="O39" i="6"/>
  <c r="M40" i="5"/>
  <c r="O39" i="5"/>
  <c r="M41" i="6" l="1"/>
  <c r="O40" i="6"/>
  <c r="M41" i="5"/>
  <c r="O40" i="5"/>
  <c r="M42" i="6" l="1"/>
  <c r="O41" i="6"/>
  <c r="M42" i="5"/>
  <c r="O41" i="5"/>
  <c r="M43" i="6" l="1"/>
  <c r="O42" i="6"/>
  <c r="M43" i="5"/>
  <c r="O42" i="5"/>
  <c r="M44" i="6" l="1"/>
  <c r="O43" i="6"/>
  <c r="M44" i="5"/>
  <c r="O43" i="5"/>
  <c r="M45" i="6" l="1"/>
  <c r="O44" i="6"/>
  <c r="M45" i="5"/>
  <c r="O44" i="5"/>
  <c r="M46" i="6" l="1"/>
  <c r="O45" i="6"/>
  <c r="M46" i="5"/>
  <c r="O45" i="5"/>
  <c r="M47" i="6" l="1"/>
  <c r="O46" i="6"/>
  <c r="M47" i="5"/>
  <c r="O46" i="5"/>
  <c r="M48" i="6" l="1"/>
  <c r="O47" i="6"/>
  <c r="M48" i="5"/>
  <c r="O47" i="5"/>
  <c r="M49" i="6" l="1"/>
  <c r="O48" i="6"/>
  <c r="M49" i="5"/>
  <c r="O48" i="5"/>
  <c r="M50" i="6" l="1"/>
  <c r="O49" i="6"/>
  <c r="M50" i="5"/>
  <c r="O49" i="5"/>
  <c r="M51" i="6" l="1"/>
  <c r="O50" i="6"/>
  <c r="M51" i="5"/>
  <c r="O50" i="5"/>
  <c r="M52" i="6" l="1"/>
  <c r="O51" i="6"/>
  <c r="M52" i="5"/>
  <c r="O51" i="5"/>
  <c r="M53" i="6" l="1"/>
  <c r="O52" i="6"/>
  <c r="M53" i="5"/>
  <c r="O52" i="5"/>
  <c r="M54" i="6" l="1"/>
  <c r="O53" i="6"/>
  <c r="M54" i="5"/>
  <c r="O53" i="5"/>
  <c r="M55" i="6" l="1"/>
  <c r="O54" i="6"/>
  <c r="M55" i="5"/>
  <c r="O54" i="5"/>
  <c r="M56" i="6" l="1"/>
  <c r="O55" i="6"/>
  <c r="M56" i="5"/>
  <c r="O55" i="5"/>
  <c r="M57" i="6" l="1"/>
  <c r="O56" i="6"/>
  <c r="M57" i="5"/>
  <c r="O56" i="5"/>
  <c r="M58" i="6" l="1"/>
  <c r="O57" i="6"/>
  <c r="M58" i="5"/>
  <c r="O57" i="5"/>
  <c r="M59" i="6" l="1"/>
  <c r="O58" i="6"/>
  <c r="M59" i="5"/>
  <c r="O58" i="5"/>
  <c r="M60" i="6" l="1"/>
  <c r="O59" i="6"/>
  <c r="M60" i="5"/>
  <c r="O59" i="5"/>
  <c r="M61" i="6" l="1"/>
  <c r="O60" i="6"/>
  <c r="M61" i="5"/>
  <c r="O60" i="5"/>
  <c r="M62" i="6" l="1"/>
  <c r="O61" i="6"/>
  <c r="M62" i="5"/>
  <c r="O61" i="5"/>
  <c r="M63" i="6" l="1"/>
  <c r="O62" i="6"/>
  <c r="M63" i="5"/>
  <c r="O62" i="5"/>
  <c r="M64" i="6" l="1"/>
  <c r="O63" i="6"/>
  <c r="M64" i="5"/>
  <c r="O63" i="5"/>
  <c r="M65" i="6" l="1"/>
  <c r="O64" i="6"/>
  <c r="M65" i="5"/>
  <c r="O64" i="5"/>
  <c r="M66" i="6" l="1"/>
  <c r="O65" i="6"/>
  <c r="M66" i="5"/>
  <c r="O65" i="5"/>
  <c r="M67" i="6" l="1"/>
  <c r="O66" i="6"/>
  <c r="M67" i="5"/>
  <c r="O66" i="5"/>
  <c r="M68" i="6" l="1"/>
  <c r="O67" i="6"/>
  <c r="M68" i="5"/>
  <c r="O67" i="5"/>
  <c r="M69" i="6" l="1"/>
  <c r="O68" i="6"/>
  <c r="M69" i="5"/>
  <c r="O68" i="5"/>
  <c r="M70" i="6" l="1"/>
  <c r="O69" i="6"/>
  <c r="M70" i="5"/>
  <c r="O69" i="5"/>
  <c r="M71" i="6" l="1"/>
  <c r="O70" i="6"/>
  <c r="M71" i="5"/>
  <c r="O70" i="5"/>
  <c r="M72" i="6" l="1"/>
  <c r="O71" i="6"/>
  <c r="M72" i="5"/>
  <c r="O71" i="5"/>
  <c r="M73" i="6" l="1"/>
  <c r="O72" i="6"/>
  <c r="M73" i="5"/>
  <c r="O72" i="5"/>
  <c r="M74" i="6" l="1"/>
  <c r="O73" i="6"/>
  <c r="M74" i="5"/>
  <c r="O73" i="5"/>
  <c r="M75" i="6" l="1"/>
  <c r="O74" i="6"/>
  <c r="M75" i="5"/>
  <c r="O74" i="5"/>
  <c r="M76" i="6" l="1"/>
  <c r="O75" i="6"/>
  <c r="M76" i="5"/>
  <c r="O75" i="5"/>
  <c r="M77" i="6" l="1"/>
  <c r="O76" i="6"/>
  <c r="M77" i="5"/>
  <c r="O76" i="5"/>
  <c r="M78" i="6" l="1"/>
  <c r="O77" i="6"/>
  <c r="M78" i="5"/>
  <c r="O77" i="5"/>
  <c r="M79" i="6" l="1"/>
  <c r="O78" i="6"/>
  <c r="M79" i="5"/>
  <c r="O78" i="5"/>
  <c r="M80" i="6" l="1"/>
  <c r="O79" i="6"/>
  <c r="M80" i="5"/>
  <c r="O79" i="5"/>
  <c r="M81" i="6" l="1"/>
  <c r="O80" i="6"/>
  <c r="M81" i="5"/>
  <c r="O80" i="5"/>
  <c r="M82" i="6" l="1"/>
  <c r="O81" i="6"/>
  <c r="M82" i="5"/>
  <c r="O81" i="5"/>
  <c r="M83" i="6" l="1"/>
  <c r="O82" i="6"/>
  <c r="M83" i="5"/>
  <c r="O82" i="5"/>
  <c r="M84" i="6" l="1"/>
  <c r="O83" i="6"/>
  <c r="M84" i="5"/>
  <c r="O83" i="5"/>
  <c r="M85" i="6" l="1"/>
  <c r="O84" i="6"/>
  <c r="M85" i="5"/>
  <c r="O84" i="5"/>
  <c r="M86" i="6" l="1"/>
  <c r="O85" i="6"/>
  <c r="M86" i="5"/>
  <c r="O85" i="5"/>
  <c r="M87" i="6" l="1"/>
  <c r="O86" i="6"/>
  <c r="M87" i="5"/>
  <c r="O86" i="5"/>
  <c r="M88" i="6" l="1"/>
  <c r="O87" i="6"/>
  <c r="M88" i="5"/>
  <c r="O87" i="5"/>
  <c r="M89" i="6" l="1"/>
  <c r="O88" i="6"/>
  <c r="M89" i="5"/>
  <c r="O88" i="5"/>
  <c r="M90" i="6" l="1"/>
  <c r="O89" i="6"/>
  <c r="M90" i="5"/>
  <c r="O89" i="5"/>
  <c r="M91" i="6" l="1"/>
  <c r="O90" i="6"/>
  <c r="M91" i="5"/>
  <c r="O90" i="5"/>
  <c r="M92" i="6" l="1"/>
  <c r="O91" i="6"/>
  <c r="M92" i="5"/>
  <c r="O91" i="5"/>
  <c r="M93" i="6" l="1"/>
  <c r="O92" i="6"/>
  <c r="M93" i="5"/>
  <c r="O92" i="5"/>
  <c r="M94" i="6" l="1"/>
  <c r="O93" i="6"/>
  <c r="M94" i="5"/>
  <c r="O93" i="5"/>
  <c r="M95" i="6" l="1"/>
  <c r="O94" i="6"/>
  <c r="M95" i="5"/>
  <c r="O94" i="5"/>
  <c r="M96" i="6" l="1"/>
  <c r="O95" i="6"/>
  <c r="M96" i="5"/>
  <c r="O95" i="5"/>
  <c r="M97" i="6" l="1"/>
  <c r="O96" i="6"/>
  <c r="M97" i="5"/>
  <c r="O96" i="5"/>
  <c r="M98" i="6" l="1"/>
  <c r="O97" i="6"/>
  <c r="M98" i="5"/>
  <c r="O97" i="5"/>
  <c r="M99" i="6" l="1"/>
  <c r="O98" i="6"/>
  <c r="M99" i="5"/>
  <c r="O98" i="5"/>
  <c r="M100" i="6" l="1"/>
  <c r="O99" i="6"/>
  <c r="M100" i="5"/>
  <c r="O99" i="5"/>
  <c r="M101" i="6" l="1"/>
  <c r="O100" i="6"/>
  <c r="M101" i="5"/>
  <c r="O100" i="5"/>
  <c r="M102" i="6" l="1"/>
  <c r="O101" i="6"/>
  <c r="M102" i="5"/>
  <c r="O101" i="5"/>
  <c r="M103" i="6" l="1"/>
  <c r="O102" i="6"/>
  <c r="M103" i="5"/>
  <c r="O102" i="5"/>
  <c r="M104" i="6" l="1"/>
  <c r="O103" i="6"/>
  <c r="M104" i="5"/>
  <c r="O103" i="5"/>
  <c r="M105" i="6" l="1"/>
  <c r="O104" i="6"/>
  <c r="M105" i="5"/>
  <c r="O104" i="5"/>
  <c r="M106" i="6" l="1"/>
  <c r="O105" i="6"/>
  <c r="M106" i="5"/>
  <c r="O105" i="5"/>
  <c r="M107" i="6" l="1"/>
  <c r="O106" i="6"/>
  <c r="M107" i="5"/>
  <c r="O106" i="5"/>
  <c r="M108" i="6" l="1"/>
  <c r="O107" i="6"/>
  <c r="M108" i="5"/>
  <c r="O107" i="5"/>
  <c r="M109" i="6" l="1"/>
  <c r="O108" i="6"/>
  <c r="M109" i="5"/>
  <c r="O108" i="5"/>
  <c r="M110" i="6" l="1"/>
  <c r="O109" i="6"/>
  <c r="M110" i="5"/>
  <c r="O109" i="5"/>
  <c r="M111" i="6" l="1"/>
  <c r="O110" i="6"/>
  <c r="M111" i="5"/>
  <c r="O110" i="5"/>
  <c r="M112" i="6" l="1"/>
  <c r="O111" i="6"/>
  <c r="M112" i="5"/>
  <c r="O111" i="5"/>
  <c r="M113" i="6" l="1"/>
  <c r="O112" i="6"/>
  <c r="M113" i="5"/>
  <c r="O112" i="5"/>
  <c r="M114" i="6" l="1"/>
  <c r="O113" i="6"/>
  <c r="M114" i="5"/>
  <c r="O113" i="5"/>
  <c r="M115" i="6" l="1"/>
  <c r="O114" i="6"/>
  <c r="M115" i="5"/>
  <c r="O114" i="5"/>
  <c r="M116" i="6" l="1"/>
  <c r="O115" i="6"/>
  <c r="M116" i="5"/>
  <c r="O115" i="5"/>
  <c r="M117" i="6" l="1"/>
  <c r="O116" i="6"/>
  <c r="M117" i="5"/>
  <c r="O116" i="5"/>
  <c r="M118" i="6" l="1"/>
  <c r="O117" i="6"/>
  <c r="M118" i="5"/>
  <c r="O117" i="5"/>
  <c r="M119" i="6" l="1"/>
  <c r="O118" i="6"/>
  <c r="M119" i="5"/>
  <c r="O118" i="5"/>
  <c r="M120" i="6" l="1"/>
  <c r="O119" i="6"/>
  <c r="M120" i="5"/>
  <c r="O119" i="5"/>
  <c r="M121" i="6" l="1"/>
  <c r="O120" i="6"/>
  <c r="M121" i="5"/>
  <c r="O120" i="5"/>
  <c r="M122" i="6" l="1"/>
  <c r="O121" i="6"/>
  <c r="M122" i="5"/>
  <c r="O121" i="5"/>
  <c r="M123" i="6" l="1"/>
  <c r="O122" i="6"/>
  <c r="M123" i="5"/>
  <c r="O122" i="5"/>
  <c r="M124" i="6" l="1"/>
  <c r="O123" i="6"/>
  <c r="M124" i="5"/>
  <c r="O123" i="5"/>
  <c r="M125" i="6" l="1"/>
  <c r="O124" i="6"/>
  <c r="M125" i="5"/>
  <c r="O124" i="5"/>
  <c r="M126" i="6" l="1"/>
  <c r="O125" i="6"/>
  <c r="M126" i="5"/>
  <c r="O125" i="5"/>
  <c r="M127" i="6" l="1"/>
  <c r="O126" i="6"/>
  <c r="M127" i="5"/>
  <c r="O126" i="5"/>
  <c r="M128" i="6" l="1"/>
  <c r="O127" i="6"/>
  <c r="M128" i="5"/>
  <c r="O127" i="5"/>
  <c r="M129" i="6" l="1"/>
  <c r="O128" i="6"/>
  <c r="M129" i="5"/>
  <c r="O128" i="5"/>
  <c r="M130" i="6" l="1"/>
  <c r="O129" i="6"/>
  <c r="M130" i="5"/>
  <c r="O129" i="5"/>
  <c r="M131" i="6" l="1"/>
  <c r="O130" i="6"/>
  <c r="M131" i="5"/>
  <c r="O130" i="5"/>
  <c r="M132" i="6" l="1"/>
  <c r="O131" i="6"/>
  <c r="M132" i="5"/>
  <c r="O131" i="5"/>
  <c r="M133" i="6" l="1"/>
  <c r="O132" i="6"/>
  <c r="M133" i="5"/>
  <c r="O132" i="5"/>
  <c r="M134" i="6" l="1"/>
  <c r="O133" i="6"/>
  <c r="M134" i="5"/>
  <c r="O133" i="5"/>
  <c r="M135" i="6" l="1"/>
  <c r="O134" i="6"/>
  <c r="M135" i="5"/>
  <c r="O134" i="5"/>
  <c r="M136" i="6" l="1"/>
  <c r="O135" i="6"/>
  <c r="M136" i="5"/>
  <c r="O135" i="5"/>
  <c r="M137" i="6" l="1"/>
  <c r="O136" i="6"/>
  <c r="M137" i="5"/>
  <c r="O136" i="5"/>
  <c r="M138" i="6" l="1"/>
  <c r="O137" i="6"/>
  <c r="M138" i="5"/>
  <c r="O137" i="5"/>
  <c r="M139" i="6" l="1"/>
  <c r="O138" i="6"/>
  <c r="M139" i="5"/>
  <c r="O138" i="5"/>
  <c r="M140" i="6" l="1"/>
  <c r="O139" i="6"/>
  <c r="M140" i="5"/>
  <c r="O139" i="5"/>
  <c r="M141" i="6" l="1"/>
  <c r="O140" i="6"/>
  <c r="M141" i="5"/>
  <c r="O140" i="5"/>
  <c r="M142" i="6" l="1"/>
  <c r="O141" i="6"/>
  <c r="M142" i="5"/>
  <c r="O141" i="5"/>
  <c r="M143" i="6" l="1"/>
  <c r="O142" i="6"/>
  <c r="M143" i="5"/>
  <c r="O142" i="5"/>
  <c r="M144" i="6" l="1"/>
  <c r="O143" i="6"/>
  <c r="M144" i="5"/>
  <c r="O143" i="5"/>
  <c r="M145" i="6" l="1"/>
  <c r="O144" i="6"/>
  <c r="M145" i="5"/>
  <c r="O144" i="5"/>
  <c r="M146" i="6" l="1"/>
  <c r="O145" i="6"/>
  <c r="M146" i="5"/>
  <c r="O145" i="5"/>
  <c r="M147" i="6" l="1"/>
  <c r="O146" i="6"/>
  <c r="M147" i="5"/>
  <c r="O146" i="5"/>
  <c r="M148" i="6" l="1"/>
  <c r="O147" i="6"/>
  <c r="M148" i="5"/>
  <c r="O147" i="5"/>
  <c r="M149" i="6" l="1"/>
  <c r="O148" i="6"/>
  <c r="M149" i="5"/>
  <c r="O148" i="5"/>
  <c r="M150" i="6" l="1"/>
  <c r="O149" i="6"/>
  <c r="M150" i="5"/>
  <c r="O149" i="5"/>
  <c r="M151" i="6" l="1"/>
  <c r="O150" i="6"/>
  <c r="M151" i="5"/>
  <c r="O150" i="5"/>
  <c r="M152" i="6" l="1"/>
  <c r="O151" i="6"/>
  <c r="M152" i="5"/>
  <c r="O151" i="5"/>
  <c r="M153" i="6" l="1"/>
  <c r="O152" i="6"/>
  <c r="M153" i="5"/>
  <c r="O152" i="5"/>
  <c r="M154" i="6" l="1"/>
  <c r="O153" i="6"/>
  <c r="M154" i="5"/>
  <c r="O153" i="5"/>
  <c r="M155" i="6" l="1"/>
  <c r="O154" i="6"/>
  <c r="M155" i="5"/>
  <c r="O154" i="5"/>
  <c r="M156" i="6" l="1"/>
  <c r="O155" i="6"/>
  <c r="M156" i="5"/>
  <c r="O155" i="5"/>
  <c r="M157" i="6" l="1"/>
  <c r="O156" i="6"/>
  <c r="M157" i="5"/>
  <c r="O156" i="5"/>
  <c r="M158" i="6" l="1"/>
  <c r="O157" i="6"/>
  <c r="M158" i="5"/>
  <c r="O157" i="5"/>
  <c r="M159" i="6" l="1"/>
  <c r="O158" i="6"/>
  <c r="M159" i="5"/>
  <c r="O158" i="5"/>
  <c r="M160" i="6" l="1"/>
  <c r="O159" i="6"/>
  <c r="M160" i="5"/>
  <c r="O159" i="5"/>
  <c r="M161" i="6" l="1"/>
  <c r="O160" i="6"/>
  <c r="M161" i="5"/>
  <c r="O160" i="5"/>
  <c r="M162" i="6" l="1"/>
  <c r="O161" i="6"/>
  <c r="M162" i="5"/>
  <c r="O161" i="5"/>
  <c r="M163" i="6" l="1"/>
  <c r="O162" i="6"/>
  <c r="M163" i="5"/>
  <c r="O162" i="5"/>
  <c r="M164" i="6" l="1"/>
  <c r="O163" i="6"/>
  <c r="M164" i="5"/>
  <c r="O163" i="5"/>
  <c r="M165" i="6" l="1"/>
  <c r="O164" i="6"/>
  <c r="M165" i="5"/>
  <c r="O164" i="5"/>
  <c r="M166" i="6" l="1"/>
  <c r="O165" i="6"/>
  <c r="M166" i="5"/>
  <c r="O165" i="5"/>
  <c r="M167" i="6" l="1"/>
  <c r="O166" i="6"/>
  <c r="M167" i="5"/>
  <c r="O166" i="5"/>
  <c r="M168" i="6" l="1"/>
  <c r="O167" i="6"/>
  <c r="M168" i="5"/>
  <c r="O167" i="5"/>
  <c r="M169" i="6" l="1"/>
  <c r="O168" i="6"/>
  <c r="M169" i="5"/>
  <c r="O168" i="5"/>
  <c r="M170" i="6" l="1"/>
  <c r="O169" i="6"/>
  <c r="M170" i="5"/>
  <c r="O169" i="5"/>
  <c r="M171" i="6" l="1"/>
  <c r="O170" i="6"/>
  <c r="M171" i="5"/>
  <c r="O170" i="5"/>
  <c r="M172" i="6" l="1"/>
  <c r="O171" i="6"/>
  <c r="M172" i="5"/>
  <c r="O171" i="5"/>
  <c r="M173" i="6" l="1"/>
  <c r="O172" i="6"/>
  <c r="M173" i="5"/>
  <c r="O172" i="5"/>
  <c r="M174" i="6" l="1"/>
  <c r="O173" i="6"/>
  <c r="M174" i="5"/>
  <c r="O173" i="5"/>
  <c r="M175" i="6" l="1"/>
  <c r="O174" i="6"/>
  <c r="M175" i="5"/>
  <c r="O174" i="5"/>
  <c r="M176" i="6" l="1"/>
  <c r="O175" i="6"/>
  <c r="M176" i="5"/>
  <c r="O175" i="5"/>
  <c r="M177" i="6" l="1"/>
  <c r="O176" i="6"/>
  <c r="M177" i="5"/>
  <c r="O176" i="5"/>
  <c r="M178" i="6" l="1"/>
  <c r="O177" i="6"/>
  <c r="M178" i="5"/>
  <c r="O177" i="5"/>
  <c r="M179" i="6" l="1"/>
  <c r="O178" i="6"/>
  <c r="M179" i="5"/>
  <c r="O178" i="5"/>
  <c r="M180" i="6" l="1"/>
  <c r="O179" i="6"/>
  <c r="M180" i="5"/>
  <c r="O179" i="5"/>
  <c r="M181" i="6" l="1"/>
  <c r="O180" i="6"/>
  <c r="M181" i="5"/>
  <c r="O180" i="5"/>
  <c r="M182" i="6" l="1"/>
  <c r="O181" i="6"/>
  <c r="M182" i="5"/>
  <c r="O181" i="5"/>
  <c r="M183" i="6" l="1"/>
  <c r="O182" i="6"/>
  <c r="M183" i="5"/>
  <c r="O182" i="5"/>
  <c r="M184" i="6" l="1"/>
  <c r="O183" i="6"/>
  <c r="M184" i="5"/>
  <c r="O183" i="5"/>
  <c r="M185" i="6" l="1"/>
  <c r="O184" i="6"/>
  <c r="M185" i="5"/>
  <c r="O184" i="5"/>
  <c r="M186" i="6" l="1"/>
  <c r="O185" i="6"/>
  <c r="M186" i="5"/>
  <c r="O185" i="5"/>
  <c r="M187" i="6" l="1"/>
  <c r="O186" i="6"/>
  <c r="M187" i="5"/>
  <c r="O186" i="5"/>
  <c r="M188" i="6" l="1"/>
  <c r="O187" i="6"/>
  <c r="M188" i="5"/>
  <c r="O187" i="5"/>
  <c r="M189" i="6" l="1"/>
  <c r="O188" i="6"/>
  <c r="M189" i="5"/>
  <c r="O188" i="5"/>
  <c r="M190" i="6" l="1"/>
  <c r="O189" i="6"/>
  <c r="M190" i="5"/>
  <c r="O189" i="5"/>
  <c r="M191" i="6" l="1"/>
  <c r="O190" i="6"/>
  <c r="M191" i="5"/>
  <c r="O190" i="5"/>
  <c r="M192" i="6" l="1"/>
  <c r="O191" i="6"/>
  <c r="M192" i="5"/>
  <c r="O191" i="5"/>
  <c r="M193" i="6" l="1"/>
  <c r="O192" i="6"/>
  <c r="M193" i="5"/>
  <c r="O192" i="5"/>
  <c r="M194" i="6" l="1"/>
  <c r="O193" i="6"/>
  <c r="M194" i="5"/>
  <c r="O193" i="5"/>
  <c r="M195" i="6" l="1"/>
  <c r="O194" i="6"/>
  <c r="M195" i="5"/>
  <c r="O194" i="5"/>
  <c r="M196" i="6" l="1"/>
  <c r="O195" i="6"/>
  <c r="M196" i="5"/>
  <c r="O195" i="5"/>
  <c r="M197" i="6" l="1"/>
  <c r="O196" i="6"/>
  <c r="M197" i="5"/>
  <c r="O196" i="5"/>
  <c r="M198" i="6" l="1"/>
  <c r="O197" i="6"/>
  <c r="M198" i="5"/>
  <c r="O197" i="5"/>
  <c r="M199" i="6" l="1"/>
  <c r="O198" i="6"/>
  <c r="M199" i="5"/>
  <c r="O198" i="5"/>
  <c r="M200" i="6" l="1"/>
  <c r="O199" i="6"/>
  <c r="M200" i="5"/>
  <c r="O199" i="5"/>
  <c r="M201" i="6" l="1"/>
  <c r="O200" i="6"/>
  <c r="M201" i="5"/>
  <c r="O200" i="5"/>
  <c r="M202" i="6" l="1"/>
  <c r="O201" i="6"/>
  <c r="M202" i="5"/>
  <c r="O201" i="5"/>
  <c r="M203" i="6" l="1"/>
  <c r="O202" i="6"/>
  <c r="M203" i="5"/>
  <c r="O202" i="5"/>
  <c r="M204" i="6" l="1"/>
  <c r="O203" i="6"/>
  <c r="M204" i="5"/>
  <c r="O203" i="5"/>
  <c r="M205" i="6" l="1"/>
  <c r="O204" i="6"/>
  <c r="M205" i="5"/>
  <c r="O204" i="5"/>
  <c r="M206" i="6" l="1"/>
  <c r="O205" i="6"/>
  <c r="M206" i="5"/>
  <c r="O205" i="5"/>
  <c r="M207" i="6" l="1"/>
  <c r="O206" i="6"/>
  <c r="M207" i="5"/>
  <c r="O206" i="5"/>
  <c r="M208" i="6" l="1"/>
  <c r="O207" i="6"/>
  <c r="M208" i="5"/>
  <c r="O207" i="5"/>
  <c r="M209" i="6" l="1"/>
  <c r="O208" i="6"/>
  <c r="M209" i="5"/>
  <c r="O208" i="5"/>
  <c r="M210" i="6" l="1"/>
  <c r="O209" i="6"/>
  <c r="M210" i="5"/>
  <c r="O209" i="5"/>
  <c r="M211" i="6" l="1"/>
  <c r="O210" i="6"/>
  <c r="M211" i="5"/>
  <c r="O210" i="5"/>
  <c r="M212" i="6" l="1"/>
  <c r="O211" i="6"/>
  <c r="M212" i="5"/>
  <c r="O211" i="5"/>
  <c r="M213" i="6" l="1"/>
  <c r="O212" i="6"/>
  <c r="M213" i="5"/>
  <c r="O212" i="5"/>
  <c r="M214" i="6" l="1"/>
  <c r="O213" i="6"/>
  <c r="M214" i="5"/>
  <c r="O213" i="5"/>
  <c r="M215" i="6" l="1"/>
  <c r="O214" i="6"/>
  <c r="M215" i="5"/>
  <c r="O214" i="5"/>
  <c r="M216" i="6" l="1"/>
  <c r="O215" i="6"/>
  <c r="M216" i="5"/>
  <c r="O215" i="5"/>
  <c r="M217" i="6" l="1"/>
  <c r="O216" i="6"/>
  <c r="M217" i="5"/>
  <c r="O216" i="5"/>
  <c r="M218" i="6" l="1"/>
  <c r="O217" i="6"/>
  <c r="M218" i="5"/>
  <c r="O217" i="5"/>
  <c r="M219" i="6" l="1"/>
  <c r="O218" i="6"/>
  <c r="M219" i="5"/>
  <c r="O218" i="5"/>
  <c r="M220" i="6" l="1"/>
  <c r="O219" i="6"/>
  <c r="M220" i="5"/>
  <c r="O219" i="5"/>
  <c r="M221" i="6" l="1"/>
  <c r="O220" i="6"/>
  <c r="M221" i="5"/>
  <c r="O220" i="5"/>
  <c r="M222" i="6" l="1"/>
  <c r="O221" i="6"/>
  <c r="M222" i="5"/>
  <c r="O221" i="5"/>
  <c r="M223" i="6" l="1"/>
  <c r="O222" i="6"/>
  <c r="M223" i="5"/>
  <c r="O222" i="5"/>
  <c r="M224" i="6" l="1"/>
  <c r="O223" i="6"/>
  <c r="M224" i="5"/>
  <c r="O223" i="5"/>
  <c r="O224" i="6" l="1"/>
  <c r="M225" i="6"/>
  <c r="M225" i="5"/>
  <c r="O224" i="5"/>
  <c r="M226" i="6" l="1"/>
  <c r="O225" i="6"/>
  <c r="M226" i="5"/>
  <c r="O225" i="5"/>
  <c r="O226" i="6" l="1"/>
  <c r="M227" i="6"/>
  <c r="M227" i="5"/>
  <c r="O226" i="5"/>
  <c r="O227" i="6" l="1"/>
  <c r="M228" i="6"/>
  <c r="M228" i="5"/>
  <c r="O227" i="5"/>
  <c r="O228" i="6" l="1"/>
  <c r="M229" i="6"/>
  <c r="M229" i="5"/>
  <c r="O228" i="5"/>
  <c r="O229" i="6" l="1"/>
  <c r="M230" i="6"/>
  <c r="M230" i="5"/>
  <c r="O229" i="5"/>
  <c r="O230" i="6" l="1"/>
  <c r="M231" i="6"/>
  <c r="M231" i="5"/>
  <c r="O230" i="5"/>
  <c r="M232" i="6" l="1"/>
  <c r="O231" i="6"/>
  <c r="M232" i="5"/>
  <c r="O231" i="5"/>
  <c r="O232" i="6" l="1"/>
  <c r="M233" i="6"/>
  <c r="M233" i="5"/>
  <c r="O232" i="5"/>
  <c r="M234" i="6" l="1"/>
  <c r="O233" i="6"/>
  <c r="M234" i="5"/>
  <c r="O233" i="5"/>
  <c r="O234" i="6" l="1"/>
  <c r="M235" i="6"/>
  <c r="M235" i="5"/>
  <c r="O234" i="5"/>
  <c r="M236" i="6" l="1"/>
  <c r="O235" i="6"/>
  <c r="M236" i="5"/>
  <c r="O235" i="5"/>
  <c r="O236" i="6" l="1"/>
  <c r="M237" i="6"/>
  <c r="M237" i="5"/>
  <c r="O236" i="5"/>
  <c r="M238" i="6" l="1"/>
  <c r="O237" i="6"/>
  <c r="M238" i="5"/>
  <c r="O237" i="5"/>
  <c r="O238" i="6" l="1"/>
  <c r="M239" i="6"/>
  <c r="M239" i="5"/>
  <c r="O238" i="5"/>
  <c r="M240" i="6" l="1"/>
  <c r="O239" i="6"/>
  <c r="M240" i="5"/>
  <c r="O239" i="5"/>
  <c r="O240" i="6" l="1"/>
  <c r="M241" i="6"/>
  <c r="M241" i="5"/>
  <c r="O240" i="5"/>
  <c r="M242" i="6" l="1"/>
  <c r="O241" i="6"/>
  <c r="M242" i="5"/>
  <c r="O241" i="5"/>
  <c r="O242" i="6" l="1"/>
  <c r="M243" i="6"/>
  <c r="M243" i="5"/>
  <c r="O242" i="5"/>
  <c r="O243" i="6" l="1"/>
  <c r="M244" i="6"/>
  <c r="M244" i="5"/>
  <c r="O243" i="5"/>
  <c r="O244" i="6" l="1"/>
  <c r="M245" i="6"/>
  <c r="M245" i="5"/>
  <c r="O244" i="5"/>
  <c r="O245" i="6" l="1"/>
  <c r="M246" i="6"/>
  <c r="M246" i="5"/>
  <c r="O245" i="5"/>
  <c r="O246" i="6" l="1"/>
  <c r="M247" i="6"/>
  <c r="M247" i="5"/>
  <c r="O246" i="5"/>
  <c r="M248" i="6" l="1"/>
  <c r="O247" i="6"/>
  <c r="M248" i="5"/>
  <c r="O247" i="5"/>
  <c r="O248" i="6" l="1"/>
  <c r="M249" i="6"/>
  <c r="M249" i="5"/>
  <c r="O248" i="5"/>
  <c r="M250" i="6" l="1"/>
  <c r="O249" i="6"/>
  <c r="M250" i="5"/>
  <c r="O249" i="5"/>
  <c r="O250" i="6" l="1"/>
  <c r="M251" i="6"/>
  <c r="M251" i="5"/>
  <c r="O250" i="5"/>
  <c r="M252" i="6" l="1"/>
  <c r="O251" i="6"/>
  <c r="M252" i="5"/>
  <c r="O251" i="5"/>
  <c r="O252" i="6" l="1"/>
  <c r="M253" i="6"/>
  <c r="M253" i="5"/>
  <c r="O252" i="5"/>
  <c r="M254" i="6" l="1"/>
  <c r="O253" i="6"/>
  <c r="M254" i="5"/>
  <c r="O253" i="5"/>
  <c r="O254" i="6" l="1"/>
  <c r="M255" i="6"/>
  <c r="M255" i="5"/>
  <c r="O254" i="5"/>
  <c r="M256" i="6" l="1"/>
  <c r="O255" i="6"/>
  <c r="M256" i="5"/>
  <c r="O255" i="5"/>
  <c r="O256" i="6" l="1"/>
  <c r="M257" i="6"/>
  <c r="M257" i="5"/>
  <c r="O256" i="5"/>
  <c r="M258" i="6" l="1"/>
  <c r="O257" i="6"/>
  <c r="M258" i="5"/>
  <c r="O257" i="5"/>
  <c r="O258" i="6" l="1"/>
  <c r="M259" i="6"/>
  <c r="M259" i="5"/>
  <c r="O258" i="5"/>
  <c r="O259" i="6" l="1"/>
  <c r="M260" i="6"/>
  <c r="M260" i="5"/>
  <c r="O259" i="5"/>
  <c r="O260" i="6" l="1"/>
  <c r="M261" i="6"/>
  <c r="M261" i="5"/>
  <c r="O260" i="5"/>
  <c r="O261" i="6" l="1"/>
  <c r="M262" i="6"/>
  <c r="M262" i="5"/>
  <c r="O261" i="5"/>
  <c r="O262" i="6" l="1"/>
  <c r="M263" i="6"/>
  <c r="M263" i="5"/>
  <c r="O262" i="5"/>
  <c r="M264" i="6" l="1"/>
  <c r="O263" i="6"/>
  <c r="M264" i="5"/>
  <c r="O263" i="5"/>
  <c r="O264" i="6" l="1"/>
  <c r="M265" i="6"/>
  <c r="M265" i="5"/>
  <c r="O264" i="5"/>
  <c r="M266" i="6" l="1"/>
  <c r="O265" i="6"/>
  <c r="M266" i="5"/>
  <c r="O265" i="5"/>
  <c r="O266" i="6" l="1"/>
  <c r="M267" i="6"/>
  <c r="M267" i="5"/>
  <c r="O266" i="5"/>
  <c r="M268" i="6" l="1"/>
  <c r="O267" i="6"/>
  <c r="M268" i="5"/>
  <c r="O267" i="5"/>
  <c r="O268" i="6" l="1"/>
  <c r="M269" i="6"/>
  <c r="M269" i="5"/>
  <c r="O268" i="5"/>
  <c r="M270" i="6" l="1"/>
  <c r="O269" i="6"/>
  <c r="M270" i="5"/>
  <c r="O269" i="5"/>
  <c r="O270" i="6" l="1"/>
  <c r="M271" i="6"/>
  <c r="M271" i="5"/>
  <c r="O270" i="5"/>
  <c r="M272" i="6" l="1"/>
  <c r="O271" i="6"/>
  <c r="M272" i="5"/>
  <c r="O271" i="5"/>
  <c r="O272" i="6" l="1"/>
  <c r="M273" i="6"/>
  <c r="M273" i="5"/>
  <c r="O272" i="5"/>
  <c r="M274" i="6" l="1"/>
  <c r="O273" i="6"/>
  <c r="M274" i="5"/>
  <c r="O273" i="5"/>
  <c r="O274" i="6" l="1"/>
  <c r="M275" i="6"/>
  <c r="M275" i="5"/>
  <c r="O274" i="5"/>
  <c r="O275" i="6" l="1"/>
  <c r="M276" i="6"/>
  <c r="M276" i="5"/>
  <c r="O275" i="5"/>
  <c r="O276" i="6" l="1"/>
  <c r="M277" i="6"/>
  <c r="M277" i="5"/>
  <c r="O276" i="5"/>
  <c r="O277" i="6" l="1"/>
  <c r="M278" i="6"/>
  <c r="M278" i="5"/>
  <c r="O277" i="5"/>
  <c r="O278" i="6" l="1"/>
  <c r="M279" i="6"/>
  <c r="M279" i="5"/>
  <c r="O278" i="5"/>
  <c r="M280" i="6" l="1"/>
  <c r="O279" i="6"/>
  <c r="M280" i="5"/>
  <c r="O279" i="5"/>
  <c r="O280" i="6" l="1"/>
  <c r="M281" i="6"/>
  <c r="M281" i="5"/>
  <c r="O280" i="5"/>
  <c r="M282" i="6" l="1"/>
  <c r="O281" i="6"/>
  <c r="M282" i="5"/>
  <c r="O281" i="5"/>
  <c r="O282" i="6" l="1"/>
  <c r="M283" i="6"/>
  <c r="M283" i="5"/>
  <c r="O282" i="5"/>
  <c r="M284" i="6" l="1"/>
  <c r="O283" i="6"/>
  <c r="M284" i="5"/>
  <c r="O283" i="5"/>
  <c r="O284" i="6" l="1"/>
  <c r="M285" i="6"/>
  <c r="M285" i="5"/>
  <c r="O284" i="5"/>
  <c r="M286" i="6" l="1"/>
  <c r="O285" i="6"/>
  <c r="M286" i="5"/>
  <c r="O285" i="5"/>
  <c r="O286" i="6" l="1"/>
  <c r="M287" i="6"/>
  <c r="M287" i="5"/>
  <c r="O286" i="5"/>
  <c r="M288" i="6" l="1"/>
  <c r="O287" i="6"/>
  <c r="M288" i="5"/>
  <c r="O287" i="5"/>
  <c r="O288" i="6" l="1"/>
  <c r="M289" i="6"/>
  <c r="M289" i="5"/>
  <c r="O288" i="5"/>
  <c r="M290" i="6" l="1"/>
  <c r="O289" i="6"/>
  <c r="M290" i="5"/>
  <c r="O289" i="5"/>
  <c r="O290" i="6" l="1"/>
  <c r="M291" i="6"/>
  <c r="M291" i="5"/>
  <c r="O290" i="5"/>
  <c r="O291" i="6" l="1"/>
  <c r="M292" i="6"/>
  <c r="M292" i="5"/>
  <c r="O291" i="5"/>
  <c r="O292" i="6" l="1"/>
  <c r="M293" i="6"/>
  <c r="M293" i="5"/>
  <c r="O292" i="5"/>
  <c r="O293" i="6" l="1"/>
  <c r="M294" i="6"/>
  <c r="M294" i="5"/>
  <c r="O293" i="5"/>
  <c r="O294" i="6" l="1"/>
  <c r="M295" i="6"/>
  <c r="M295" i="5"/>
  <c r="O294" i="5"/>
  <c r="M296" i="6" l="1"/>
  <c r="O295" i="6"/>
  <c r="M296" i="5"/>
  <c r="O295" i="5"/>
  <c r="O296" i="6" l="1"/>
  <c r="M297" i="6"/>
  <c r="M297" i="5"/>
  <c r="O296" i="5"/>
  <c r="O297" i="6" l="1"/>
  <c r="M298" i="6"/>
  <c r="M298" i="5"/>
  <c r="O297" i="5"/>
  <c r="O298" i="6" l="1"/>
  <c r="M299" i="6"/>
  <c r="M299" i="5"/>
  <c r="O298" i="5"/>
  <c r="M300" i="6" l="1"/>
  <c r="O299" i="6"/>
  <c r="M300" i="5"/>
  <c r="O299" i="5"/>
  <c r="O300" i="6" l="1"/>
  <c r="M301" i="6"/>
  <c r="M301" i="5"/>
  <c r="O300" i="5"/>
  <c r="M302" i="6" l="1"/>
  <c r="O301" i="6"/>
  <c r="M302" i="5"/>
  <c r="O301" i="5"/>
  <c r="O302" i="6" l="1"/>
  <c r="M303" i="6"/>
  <c r="M303" i="5"/>
  <c r="O302" i="5"/>
  <c r="M304" i="6" l="1"/>
  <c r="O303" i="6"/>
  <c r="M304" i="5"/>
  <c r="O303" i="5"/>
  <c r="O304" i="6" l="1"/>
  <c r="M305" i="6"/>
  <c r="M305" i="5"/>
  <c r="O304" i="5"/>
  <c r="M306" i="6" l="1"/>
  <c r="O305" i="6"/>
  <c r="M306" i="5"/>
  <c r="O305" i="5"/>
  <c r="O306" i="6" l="1"/>
  <c r="M307" i="6"/>
  <c r="M307" i="5"/>
  <c r="O306" i="5"/>
  <c r="O307" i="6" l="1"/>
  <c r="M308" i="6"/>
  <c r="M308" i="5"/>
  <c r="O307" i="5"/>
  <c r="O308" i="6" l="1"/>
  <c r="M309" i="6"/>
  <c r="M309" i="5"/>
  <c r="O308" i="5"/>
  <c r="O309" i="6" l="1"/>
  <c r="M310" i="6"/>
  <c r="M310" i="5"/>
  <c r="O309" i="5"/>
  <c r="O310" i="6" l="1"/>
  <c r="M311" i="6"/>
  <c r="M311" i="5"/>
  <c r="O310" i="5"/>
  <c r="M312" i="6" l="1"/>
  <c r="O311" i="6"/>
  <c r="M312" i="5"/>
  <c r="O311" i="5"/>
  <c r="O312" i="6" l="1"/>
  <c r="M313" i="6"/>
  <c r="M313" i="5"/>
  <c r="O312" i="5"/>
  <c r="O313" i="6" l="1"/>
  <c r="M314" i="6"/>
  <c r="M314" i="5"/>
  <c r="O313" i="5"/>
  <c r="O314" i="6" l="1"/>
  <c r="M315" i="6"/>
  <c r="M315" i="5"/>
  <c r="O314" i="5"/>
  <c r="M316" i="6" l="1"/>
  <c r="O315" i="6"/>
  <c r="M316" i="5"/>
  <c r="O315" i="5"/>
  <c r="O316" i="6" l="1"/>
  <c r="M317" i="6"/>
  <c r="M317" i="5"/>
  <c r="O316" i="5"/>
  <c r="O317" i="6" l="1"/>
  <c r="M318" i="6"/>
  <c r="M318" i="5"/>
  <c r="O317" i="5"/>
  <c r="O318" i="6" l="1"/>
  <c r="M319" i="6"/>
  <c r="M319" i="5"/>
  <c r="O318" i="5"/>
  <c r="M320" i="6" l="1"/>
  <c r="O319" i="6"/>
  <c r="M320" i="5"/>
  <c r="O319" i="5"/>
  <c r="O320" i="6" l="1"/>
  <c r="M321" i="6"/>
  <c r="M321" i="5"/>
  <c r="O320" i="5"/>
  <c r="M322" i="6" l="1"/>
  <c r="O321" i="6"/>
  <c r="M322" i="5"/>
  <c r="O321" i="5"/>
  <c r="O322" i="6" l="1"/>
  <c r="M323" i="6"/>
  <c r="M323" i="5"/>
  <c r="O322" i="5"/>
  <c r="O323" i="6" l="1"/>
  <c r="M324" i="6"/>
  <c r="M324" i="5"/>
  <c r="O323" i="5"/>
  <c r="O324" i="6" l="1"/>
  <c r="M325" i="6"/>
  <c r="M325" i="5"/>
  <c r="O324" i="5"/>
  <c r="O325" i="6" l="1"/>
  <c r="M326" i="6"/>
  <c r="M326" i="5"/>
  <c r="O325" i="5"/>
  <c r="O326" i="6" l="1"/>
  <c r="M327" i="6"/>
  <c r="M327" i="5"/>
  <c r="O326" i="5"/>
  <c r="M328" i="6" l="1"/>
  <c r="O327" i="6"/>
  <c r="M328" i="5"/>
  <c r="O327" i="5"/>
  <c r="O328" i="6" l="1"/>
  <c r="M329" i="6"/>
  <c r="M329" i="5"/>
  <c r="O328" i="5"/>
  <c r="M330" i="6" l="1"/>
  <c r="O329" i="6"/>
  <c r="M330" i="5"/>
  <c r="O329" i="5"/>
  <c r="O330" i="6" l="1"/>
  <c r="M331" i="6"/>
  <c r="M331" i="5"/>
  <c r="O330" i="5"/>
  <c r="M332" i="6" l="1"/>
  <c r="O331" i="6"/>
  <c r="M332" i="5"/>
  <c r="O331" i="5"/>
  <c r="O332" i="6" l="1"/>
  <c r="M333" i="6"/>
  <c r="M333" i="5"/>
  <c r="O332" i="5"/>
  <c r="O333" i="6" l="1"/>
  <c r="M334" i="6"/>
  <c r="M334" i="5"/>
  <c r="O333" i="5"/>
  <c r="O334" i="6" l="1"/>
  <c r="M335" i="6"/>
  <c r="M335" i="5"/>
  <c r="O334" i="5"/>
  <c r="M336" i="6" l="1"/>
  <c r="O335" i="6"/>
  <c r="M336" i="5"/>
  <c r="O335" i="5"/>
  <c r="M337" i="6" l="1"/>
  <c r="O336" i="6"/>
  <c r="O336" i="5"/>
  <c r="M337" i="5"/>
  <c r="M338" i="6" l="1"/>
  <c r="O337" i="6"/>
  <c r="M338" i="5"/>
  <c r="O337" i="5"/>
  <c r="M339" i="6" l="1"/>
  <c r="O338" i="6"/>
  <c r="O338" i="5"/>
  <c r="M339" i="5"/>
  <c r="M340" i="6" l="1"/>
  <c r="O339" i="6"/>
  <c r="M340" i="5"/>
  <c r="O339" i="5"/>
  <c r="M341" i="6" l="1"/>
  <c r="O340" i="6"/>
  <c r="O340" i="5"/>
  <c r="M341" i="5"/>
  <c r="M342" i="6" l="1"/>
  <c r="O341" i="6"/>
  <c r="M342" i="5"/>
  <c r="O341" i="5"/>
  <c r="O342" i="6" l="1"/>
  <c r="M343" i="6"/>
  <c r="O342" i="5"/>
  <c r="M343" i="5"/>
  <c r="M344" i="6" l="1"/>
  <c r="O343" i="6"/>
  <c r="M344" i="5"/>
  <c r="O343" i="5"/>
  <c r="M345" i="6" l="1"/>
  <c r="O344" i="6"/>
  <c r="O344" i="5"/>
  <c r="M345" i="5"/>
  <c r="M346" i="6" l="1"/>
  <c r="O345" i="6"/>
  <c r="M346" i="5"/>
  <c r="O345" i="5"/>
  <c r="O346" i="6" l="1"/>
  <c r="M347" i="6"/>
  <c r="O346" i="5"/>
  <c r="M347" i="5"/>
  <c r="M348" i="6" l="1"/>
  <c r="O347" i="6"/>
  <c r="M348" i="5"/>
  <c r="O347" i="5"/>
  <c r="M349" i="6" l="1"/>
  <c r="O348" i="6"/>
  <c r="M349" i="5"/>
  <c r="O348" i="5"/>
  <c r="M350" i="6" l="1"/>
  <c r="O349" i="6"/>
  <c r="M350" i="5"/>
  <c r="O349" i="5"/>
  <c r="M351" i="6" l="1"/>
  <c r="O350" i="6"/>
  <c r="M351" i="5"/>
  <c r="O350" i="5"/>
  <c r="M352" i="6" l="1"/>
  <c r="O351" i="6"/>
  <c r="M352" i="5"/>
  <c r="O351" i="5"/>
  <c r="M353" i="6" l="1"/>
  <c r="O352" i="6"/>
  <c r="M353" i="5"/>
  <c r="O352" i="5"/>
  <c r="M354" i="6" l="1"/>
  <c r="O353" i="6"/>
  <c r="M354" i="5"/>
  <c r="O353" i="5"/>
  <c r="M355" i="6" l="1"/>
  <c r="O354" i="6"/>
  <c r="M355" i="5"/>
  <c r="O354" i="5"/>
  <c r="M356" i="6" l="1"/>
  <c r="O355" i="6"/>
  <c r="M356" i="5"/>
  <c r="O355" i="5"/>
  <c r="O356" i="6" l="1"/>
  <c r="M357" i="6"/>
  <c r="M357" i="5"/>
  <c r="O356" i="5"/>
  <c r="M358" i="6" l="1"/>
  <c r="O357" i="6"/>
  <c r="M358" i="5"/>
  <c r="O357" i="5"/>
  <c r="M359" i="6" l="1"/>
  <c r="O358" i="6"/>
  <c r="M359" i="5"/>
  <c r="O358" i="5"/>
  <c r="M360" i="6" l="1"/>
  <c r="O359" i="6"/>
  <c r="M360" i="5"/>
  <c r="O359" i="5"/>
  <c r="M361" i="6" l="1"/>
  <c r="O360" i="6"/>
  <c r="M361" i="5"/>
  <c r="O360" i="5"/>
  <c r="M362" i="6" l="1"/>
  <c r="O361" i="6"/>
  <c r="M362" i="5"/>
  <c r="O361" i="5"/>
  <c r="M363" i="6" l="1"/>
  <c r="O362" i="6"/>
  <c r="M363" i="5"/>
  <c r="O362" i="5"/>
  <c r="M364" i="6" l="1"/>
  <c r="O363" i="6"/>
  <c r="M364" i="5"/>
  <c r="O363" i="5"/>
  <c r="O364" i="6" l="1"/>
  <c r="M365" i="6"/>
  <c r="M365" i="5"/>
  <c r="O364" i="5"/>
  <c r="M366" i="6" l="1"/>
  <c r="O365" i="6"/>
  <c r="M366" i="5"/>
  <c r="O365" i="5"/>
  <c r="M367" i="6" l="1"/>
  <c r="O366" i="6"/>
  <c r="M367" i="5"/>
  <c r="O366" i="5"/>
  <c r="M368" i="6" l="1"/>
  <c r="O367" i="6"/>
  <c r="M368" i="5"/>
  <c r="O367" i="5"/>
  <c r="M369" i="6" l="1"/>
  <c r="O368" i="6"/>
  <c r="M369" i="5"/>
  <c r="O368" i="5"/>
  <c r="M370" i="6" l="1"/>
  <c r="O369" i="6"/>
  <c r="M370" i="5"/>
  <c r="O369" i="5"/>
  <c r="M371" i="6" l="1"/>
  <c r="O370" i="6"/>
  <c r="M371" i="5"/>
  <c r="O370" i="5"/>
  <c r="M372" i="6" l="1"/>
  <c r="O371" i="6"/>
  <c r="M372" i="5"/>
  <c r="O371" i="5"/>
  <c r="O372" i="6" l="1"/>
  <c r="M373" i="6"/>
  <c r="M373" i="5"/>
  <c r="O372" i="5"/>
  <c r="M374" i="6" l="1"/>
  <c r="O373" i="6"/>
  <c r="M374" i="5"/>
  <c r="O373" i="5"/>
  <c r="M375" i="6" l="1"/>
  <c r="O374" i="6"/>
  <c r="M375" i="5"/>
  <c r="O374" i="5"/>
  <c r="M376" i="6" l="1"/>
  <c r="O375" i="6"/>
  <c r="M376" i="5"/>
  <c r="O375" i="5"/>
  <c r="M377" i="6" l="1"/>
  <c r="O376" i="6"/>
  <c r="M377" i="5"/>
  <c r="O376" i="5"/>
  <c r="M378" i="6" l="1"/>
  <c r="O377" i="6"/>
  <c r="M378" i="5"/>
  <c r="O377" i="5"/>
  <c r="M379" i="6" l="1"/>
  <c r="O378" i="6"/>
  <c r="M379" i="5"/>
  <c r="O378" i="5"/>
  <c r="M380" i="6" l="1"/>
  <c r="O379" i="6"/>
  <c r="M380" i="5"/>
  <c r="O379" i="5"/>
  <c r="O380" i="6" l="1"/>
  <c r="M381" i="6"/>
  <c r="M381" i="5"/>
  <c r="O380" i="5"/>
  <c r="M382" i="6" l="1"/>
  <c r="O381" i="6"/>
  <c r="M382" i="5"/>
  <c r="O381" i="5"/>
  <c r="M383" i="6" l="1"/>
  <c r="O382" i="6"/>
  <c r="M383" i="5"/>
  <c r="O382" i="5"/>
  <c r="M384" i="6" l="1"/>
  <c r="O383" i="6"/>
  <c r="M384" i="5"/>
  <c r="O383" i="5"/>
  <c r="M385" i="6" l="1"/>
  <c r="O384" i="6"/>
  <c r="M385" i="5"/>
  <c r="O384" i="5"/>
  <c r="M386" i="6" l="1"/>
  <c r="O385" i="6"/>
  <c r="M386" i="5"/>
  <c r="O385" i="5"/>
  <c r="M387" i="6" l="1"/>
  <c r="O386" i="6"/>
  <c r="M387" i="5"/>
  <c r="O386" i="5"/>
  <c r="M388" i="6" l="1"/>
  <c r="O387" i="6"/>
  <c r="M388" i="5"/>
  <c r="O387" i="5"/>
  <c r="O388" i="6" l="1"/>
  <c r="M389" i="6"/>
  <c r="M389" i="5"/>
  <c r="O388" i="5"/>
  <c r="M390" i="6" l="1"/>
  <c r="O389" i="6"/>
  <c r="M390" i="5"/>
  <c r="O389" i="5"/>
  <c r="M391" i="6" l="1"/>
  <c r="O390" i="6"/>
  <c r="M391" i="5"/>
  <c r="O390" i="5"/>
  <c r="M392" i="6" l="1"/>
  <c r="O391" i="6"/>
  <c r="M392" i="5"/>
  <c r="O391" i="5"/>
  <c r="O392" i="6" l="1"/>
  <c r="M393" i="6"/>
  <c r="M393" i="5"/>
  <c r="O392" i="5"/>
  <c r="M394" i="6" l="1"/>
  <c r="O393" i="6"/>
  <c r="M394" i="5"/>
  <c r="O393" i="5"/>
  <c r="O394" i="6" l="1"/>
  <c r="M395" i="6"/>
  <c r="M395" i="5"/>
  <c r="O394" i="5"/>
  <c r="M396" i="6" l="1"/>
  <c r="O395" i="6"/>
  <c r="M396" i="5"/>
  <c r="O395" i="5"/>
  <c r="O396" i="6" l="1"/>
  <c r="M397" i="6"/>
  <c r="M397" i="5"/>
  <c r="O396" i="5"/>
  <c r="M398" i="6" l="1"/>
  <c r="O397" i="6"/>
  <c r="M398" i="5"/>
  <c r="O397" i="5"/>
  <c r="O398" i="6" l="1"/>
  <c r="M399" i="6"/>
  <c r="M399" i="5"/>
  <c r="O398" i="5"/>
  <c r="M400" i="6" l="1"/>
  <c r="O399" i="6"/>
  <c r="M400" i="5"/>
  <c r="O399" i="5"/>
  <c r="O400" i="6" l="1"/>
  <c r="M401" i="6"/>
  <c r="M401" i="5"/>
  <c r="O400" i="5"/>
  <c r="M402" i="6" l="1"/>
  <c r="O401" i="6"/>
  <c r="M402" i="5"/>
  <c r="O401" i="5"/>
  <c r="O402" i="6" l="1"/>
  <c r="M403" i="6"/>
  <c r="M403" i="5"/>
  <c r="O402" i="5"/>
  <c r="M404" i="6" l="1"/>
  <c r="O403" i="6"/>
  <c r="M404" i="5"/>
  <c r="O403" i="5"/>
  <c r="O404" i="6" l="1"/>
  <c r="M405" i="6"/>
  <c r="M405" i="5"/>
  <c r="O404" i="5"/>
  <c r="M406" i="6" l="1"/>
  <c r="O405" i="6"/>
  <c r="M406" i="5"/>
  <c r="O405" i="5"/>
  <c r="O406" i="6" l="1"/>
  <c r="M407" i="6"/>
  <c r="M407" i="5"/>
  <c r="O406" i="5"/>
  <c r="M408" i="6" l="1"/>
  <c r="O407" i="6"/>
  <c r="M408" i="5"/>
  <c r="O407" i="5"/>
  <c r="O408" i="6" l="1"/>
  <c r="M409" i="6"/>
  <c r="M409" i="5"/>
  <c r="O408" i="5"/>
  <c r="M410" i="6" l="1"/>
  <c r="O409" i="6"/>
  <c r="M410" i="5"/>
  <c r="O409" i="5"/>
  <c r="O410" i="6" l="1"/>
  <c r="M411" i="6"/>
  <c r="M411" i="5"/>
  <c r="O410" i="5"/>
  <c r="M412" i="6" l="1"/>
  <c r="O411" i="6"/>
  <c r="M412" i="5"/>
  <c r="O411" i="5"/>
  <c r="O412" i="6" l="1"/>
  <c r="M413" i="6"/>
  <c r="M413" i="5"/>
  <c r="O412" i="5"/>
  <c r="M414" i="6" l="1"/>
  <c r="O413" i="6"/>
  <c r="M414" i="5"/>
  <c r="O413" i="5"/>
  <c r="O414" i="6" l="1"/>
  <c r="M415" i="6"/>
  <c r="M415" i="5"/>
  <c r="O414" i="5"/>
  <c r="M416" i="6" l="1"/>
  <c r="O415" i="6"/>
  <c r="M416" i="5"/>
  <c r="O415" i="5"/>
  <c r="O416" i="6" l="1"/>
  <c r="M417" i="6"/>
  <c r="M417" i="5"/>
  <c r="O416" i="5"/>
  <c r="M418" i="6" l="1"/>
  <c r="O417" i="6"/>
  <c r="M418" i="5"/>
  <c r="O417" i="5"/>
  <c r="O418" i="6" l="1"/>
  <c r="M419" i="6"/>
  <c r="M419" i="5"/>
  <c r="O418" i="5"/>
  <c r="M420" i="6" l="1"/>
  <c r="O419" i="6"/>
  <c r="M420" i="5"/>
  <c r="O419" i="5"/>
  <c r="O420" i="6" l="1"/>
  <c r="M421" i="6"/>
  <c r="M421" i="5"/>
  <c r="O420" i="5"/>
  <c r="M422" i="6" l="1"/>
  <c r="O421" i="6"/>
  <c r="M422" i="5"/>
  <c r="O421" i="5"/>
  <c r="O422" i="6" l="1"/>
  <c r="M423" i="6"/>
  <c r="M423" i="5"/>
  <c r="O422" i="5"/>
  <c r="M424" i="6" l="1"/>
  <c r="O423" i="6"/>
  <c r="M424" i="5"/>
  <c r="O423" i="5"/>
  <c r="O424" i="6" l="1"/>
  <c r="M425" i="6"/>
  <c r="M425" i="5"/>
  <c r="O424" i="5"/>
  <c r="M426" i="6" l="1"/>
  <c r="O425" i="6"/>
  <c r="M426" i="5"/>
  <c r="O425" i="5"/>
  <c r="O426" i="6" l="1"/>
  <c r="M427" i="6"/>
  <c r="M427" i="5"/>
  <c r="O426" i="5"/>
  <c r="M428" i="6" l="1"/>
  <c r="O427" i="6"/>
  <c r="M428" i="5"/>
  <c r="O427" i="5"/>
  <c r="O428" i="6" l="1"/>
  <c r="M429" i="6"/>
  <c r="M429" i="5"/>
  <c r="O428" i="5"/>
  <c r="M430" i="6" l="1"/>
  <c r="O429" i="6"/>
  <c r="M430" i="5"/>
  <c r="O429" i="5"/>
  <c r="O430" i="6" l="1"/>
  <c r="M431" i="6"/>
  <c r="M431" i="5"/>
  <c r="O430" i="5"/>
  <c r="M432" i="6" l="1"/>
  <c r="O431" i="6"/>
  <c r="M432" i="5"/>
  <c r="O431" i="5"/>
  <c r="O432" i="6" l="1"/>
  <c r="M433" i="6"/>
  <c r="M433" i="5"/>
  <c r="O432" i="5"/>
  <c r="M434" i="6" l="1"/>
  <c r="O433" i="6"/>
  <c r="M434" i="5"/>
  <c r="O433" i="5"/>
  <c r="O434" i="6" l="1"/>
  <c r="M435" i="6"/>
  <c r="M435" i="5"/>
  <c r="O434" i="5"/>
  <c r="M436" i="6" l="1"/>
  <c r="O435" i="6"/>
  <c r="M436" i="5"/>
  <c r="O435" i="5"/>
  <c r="O436" i="6" l="1"/>
  <c r="M437" i="6"/>
  <c r="M437" i="5"/>
  <c r="O436" i="5"/>
  <c r="M438" i="6" l="1"/>
  <c r="O437" i="6"/>
  <c r="M438" i="5"/>
  <c r="O437" i="5"/>
  <c r="O438" i="6" l="1"/>
  <c r="M439" i="6"/>
  <c r="M439" i="5"/>
  <c r="O438" i="5"/>
  <c r="M440" i="6" l="1"/>
  <c r="O439" i="6"/>
  <c r="M440" i="5"/>
  <c r="O439" i="5"/>
  <c r="O440" i="6" l="1"/>
  <c r="M441" i="6"/>
  <c r="M441" i="5"/>
  <c r="O440" i="5"/>
  <c r="M442" i="6" l="1"/>
  <c r="O441" i="6"/>
  <c r="M442" i="5"/>
  <c r="O441" i="5"/>
  <c r="O442" i="6" l="1"/>
  <c r="M443" i="6"/>
  <c r="M443" i="5"/>
  <c r="O442" i="5"/>
  <c r="M444" i="6" l="1"/>
  <c r="O443" i="6"/>
  <c r="M444" i="5"/>
  <c r="O443" i="5"/>
  <c r="O444" i="6" l="1"/>
  <c r="M445" i="6"/>
  <c r="M445" i="5"/>
  <c r="O444" i="5"/>
  <c r="M446" i="6" l="1"/>
  <c r="O445" i="6"/>
  <c r="M446" i="5"/>
  <c r="O445" i="5"/>
  <c r="O446" i="6" l="1"/>
  <c r="M447" i="6"/>
  <c r="M447" i="5"/>
  <c r="O446" i="5"/>
  <c r="M448" i="6" l="1"/>
  <c r="O447" i="6"/>
  <c r="M448" i="5"/>
  <c r="O447" i="5"/>
  <c r="O448" i="6" l="1"/>
  <c r="M449" i="6"/>
  <c r="M449" i="5"/>
  <c r="O448" i="5"/>
  <c r="M450" i="6" l="1"/>
  <c r="O449" i="6"/>
  <c r="M450" i="5"/>
  <c r="O449" i="5"/>
  <c r="O450" i="6" l="1"/>
  <c r="M451" i="6"/>
  <c r="M451" i="5"/>
  <c r="O450" i="5"/>
  <c r="M452" i="6" l="1"/>
  <c r="O451" i="6"/>
  <c r="M452" i="5"/>
  <c r="O451" i="5"/>
  <c r="O452" i="6" l="1"/>
  <c r="M453" i="6"/>
  <c r="M453" i="5"/>
  <c r="O452" i="5"/>
  <c r="M454" i="6" l="1"/>
  <c r="O453" i="6"/>
  <c r="M454" i="5"/>
  <c r="O453" i="5"/>
  <c r="O454" i="6" l="1"/>
  <c r="M455" i="6"/>
  <c r="M455" i="5"/>
  <c r="O454" i="5"/>
  <c r="M456" i="6" l="1"/>
  <c r="O455" i="6"/>
  <c r="M456" i="5"/>
  <c r="O455" i="5"/>
  <c r="O456" i="6" l="1"/>
  <c r="M457" i="6"/>
  <c r="M457" i="5"/>
  <c r="O456" i="5"/>
  <c r="M458" i="6" l="1"/>
  <c r="O457" i="6"/>
  <c r="M458" i="5"/>
  <c r="O457" i="5"/>
  <c r="O458" i="6" l="1"/>
  <c r="M459" i="6"/>
  <c r="M459" i="5"/>
  <c r="O458" i="5"/>
  <c r="M460" i="6" l="1"/>
  <c r="O459" i="6"/>
  <c r="M460" i="5"/>
  <c r="O459" i="5"/>
  <c r="O460" i="6" l="1"/>
  <c r="M461" i="6"/>
  <c r="M461" i="5"/>
  <c r="O460" i="5"/>
  <c r="M462" i="6" l="1"/>
  <c r="O461" i="6"/>
  <c r="M462" i="5"/>
  <c r="O461" i="5"/>
  <c r="O462" i="6" l="1"/>
  <c r="M463" i="6"/>
  <c r="M463" i="5"/>
  <c r="O462" i="5"/>
  <c r="M464" i="6" l="1"/>
  <c r="O463" i="6"/>
  <c r="M464" i="5"/>
  <c r="O463" i="5"/>
  <c r="O464" i="6" l="1"/>
  <c r="M465" i="6"/>
  <c r="M465" i="5"/>
  <c r="O464" i="5"/>
  <c r="M466" i="6" l="1"/>
  <c r="O465" i="6"/>
  <c r="M466" i="5"/>
  <c r="O465" i="5"/>
  <c r="O466" i="6" l="1"/>
  <c r="M467" i="6"/>
  <c r="M467" i="5"/>
  <c r="O466" i="5"/>
  <c r="M468" i="6" l="1"/>
  <c r="O467" i="6"/>
  <c r="M468" i="5"/>
  <c r="O467" i="5"/>
  <c r="O468" i="6" l="1"/>
  <c r="M469" i="6"/>
  <c r="M469" i="5"/>
  <c r="O468" i="5"/>
  <c r="M470" i="6" l="1"/>
  <c r="O469" i="6"/>
  <c r="M470" i="5"/>
  <c r="O469" i="5"/>
  <c r="O470" i="6" l="1"/>
  <c r="M471" i="6"/>
  <c r="M471" i="5"/>
  <c r="O470" i="5"/>
  <c r="M472" i="6" l="1"/>
  <c r="O471" i="6"/>
  <c r="M472" i="5"/>
  <c r="O471" i="5"/>
  <c r="O472" i="6" l="1"/>
  <c r="M473" i="6"/>
  <c r="M473" i="5"/>
  <c r="O472" i="5"/>
  <c r="M474" i="6" l="1"/>
  <c r="O473" i="6"/>
  <c r="M474" i="5"/>
  <c r="O473" i="5"/>
  <c r="O474" i="6" l="1"/>
  <c r="M475" i="6"/>
  <c r="M475" i="5"/>
  <c r="O474" i="5"/>
  <c r="M476" i="6" l="1"/>
  <c r="O475" i="6"/>
  <c r="M476" i="5"/>
  <c r="O475" i="5"/>
  <c r="O476" i="6" l="1"/>
  <c r="M477" i="6"/>
  <c r="M477" i="5"/>
  <c r="O476" i="5"/>
  <c r="M478" i="6" l="1"/>
  <c r="O477" i="6"/>
  <c r="M478" i="5"/>
  <c r="O477" i="5"/>
  <c r="O478" i="6" l="1"/>
  <c r="M479" i="6"/>
  <c r="M479" i="5"/>
  <c r="O478" i="5"/>
  <c r="M480" i="6" l="1"/>
  <c r="O479" i="6"/>
  <c r="M480" i="5"/>
  <c r="O479" i="5"/>
  <c r="O480" i="6" l="1"/>
  <c r="M481" i="6"/>
  <c r="M481" i="5"/>
  <c r="O480" i="5"/>
  <c r="M482" i="6" l="1"/>
  <c r="O481" i="6"/>
  <c r="M482" i="5"/>
  <c r="O481" i="5"/>
  <c r="O482" i="6" l="1"/>
  <c r="M483" i="6"/>
  <c r="M483" i="5"/>
  <c r="O482" i="5"/>
  <c r="M484" i="6" l="1"/>
  <c r="O483" i="6"/>
  <c r="M484" i="5"/>
  <c r="O483" i="5"/>
  <c r="O484" i="6" l="1"/>
  <c r="M485" i="6"/>
  <c r="M485" i="5"/>
  <c r="O484" i="5"/>
  <c r="M486" i="6" l="1"/>
  <c r="O485" i="6"/>
  <c r="M486" i="5"/>
  <c r="O485" i="5"/>
  <c r="O486" i="6" l="1"/>
  <c r="M487" i="6"/>
  <c r="M487" i="5"/>
  <c r="O486" i="5"/>
  <c r="M488" i="6" l="1"/>
  <c r="O487" i="6"/>
  <c r="M488" i="5"/>
  <c r="O487" i="5"/>
  <c r="O488" i="6" l="1"/>
  <c r="M489" i="6"/>
  <c r="M489" i="5"/>
  <c r="O488" i="5"/>
  <c r="M490" i="6" l="1"/>
  <c r="O489" i="6"/>
  <c r="M490" i="5"/>
  <c r="O489" i="5"/>
  <c r="O490" i="6" l="1"/>
  <c r="M491" i="6"/>
  <c r="M491" i="5"/>
  <c r="O490" i="5"/>
  <c r="M492" i="6" l="1"/>
  <c r="O491" i="6"/>
  <c r="M492" i="5"/>
  <c r="O491" i="5"/>
  <c r="O492" i="6" l="1"/>
  <c r="M493" i="6"/>
  <c r="M493" i="5"/>
  <c r="O492" i="5"/>
  <c r="M494" i="6" l="1"/>
  <c r="O493" i="6"/>
  <c r="M494" i="5"/>
  <c r="O493" i="5"/>
  <c r="O494" i="6" l="1"/>
  <c r="M495" i="6"/>
  <c r="M495" i="5"/>
  <c r="O494" i="5"/>
  <c r="M496" i="6" l="1"/>
  <c r="O495" i="6"/>
  <c r="M496" i="5"/>
  <c r="O495" i="5"/>
  <c r="O496" i="6" l="1"/>
  <c r="M497" i="6"/>
  <c r="M497" i="5"/>
  <c r="O496" i="5"/>
  <c r="M498" i="6" l="1"/>
  <c r="O497" i="6"/>
  <c r="M498" i="5"/>
  <c r="O497" i="5"/>
  <c r="O498" i="6" l="1"/>
  <c r="M499" i="6"/>
  <c r="M499" i="5"/>
  <c r="O498" i="5"/>
  <c r="M500" i="6" l="1"/>
  <c r="O499" i="6"/>
  <c r="M500" i="5"/>
  <c r="O499" i="5"/>
  <c r="O500" i="6" l="1"/>
  <c r="M501" i="6"/>
  <c r="M501" i="5"/>
  <c r="O500" i="5"/>
  <c r="M502" i="6" l="1"/>
  <c r="O501" i="6"/>
  <c r="M502" i="5"/>
  <c r="O501" i="5"/>
  <c r="O502" i="6" l="1"/>
  <c r="M503" i="6"/>
  <c r="M503" i="5"/>
  <c r="O502" i="5"/>
  <c r="M504" i="6" l="1"/>
  <c r="O504" i="6" s="1"/>
  <c r="O505" i="6" s="1"/>
  <c r="O503" i="6"/>
  <c r="M504" i="5"/>
  <c r="O504" i="5" s="1"/>
  <c r="O505" i="5" s="1"/>
  <c r="O503" i="5"/>
</calcChain>
</file>

<file path=xl/comments1.xml><?xml version="1.0" encoding="utf-8"?>
<comments xmlns="http://schemas.openxmlformats.org/spreadsheetml/2006/main">
  <authors>
    <author>USER-6</author>
  </authors>
  <commentList>
    <comment ref="G9" authorId="0" shapeId="0">
      <text>
        <r>
          <rPr>
            <b/>
            <sz val="9"/>
            <color indexed="81"/>
            <rFont val="Tahoma"/>
            <charset val="1"/>
          </rPr>
          <t>USER-6:</t>
        </r>
        <r>
          <rPr>
            <sz val="9"/>
            <color indexed="81"/>
            <rFont val="Tahoma"/>
            <charset val="1"/>
          </rPr>
          <t xml:space="preserve">
si no hay moda se coje el valor mas grande de la frecuencia</t>
        </r>
      </text>
    </comment>
  </commentList>
</comments>
</file>

<file path=xl/sharedStrings.xml><?xml version="1.0" encoding="utf-8"?>
<sst xmlns="http://schemas.openxmlformats.org/spreadsheetml/2006/main" count="148" uniqueCount="58">
  <si>
    <t>parametros</t>
  </si>
  <si>
    <t>a=</t>
  </si>
  <si>
    <t>b=</t>
  </si>
  <si>
    <t>x</t>
  </si>
  <si>
    <t>fx</t>
  </si>
  <si>
    <t>acumulado</t>
  </si>
  <si>
    <t>a</t>
  </si>
  <si>
    <t>b</t>
  </si>
  <si>
    <t>c</t>
  </si>
  <si>
    <t>minimo</t>
  </si>
  <si>
    <t>maximo</t>
  </si>
  <si>
    <t>moda</t>
  </si>
  <si>
    <t>ok</t>
  </si>
  <si>
    <t>formula</t>
  </si>
  <si>
    <t>acumulada</t>
  </si>
  <si>
    <t>parametro</t>
  </si>
  <si>
    <t>lambda</t>
  </si>
  <si>
    <t>FX</t>
  </si>
  <si>
    <t>DATOS</t>
  </si>
  <si>
    <t>Columna1</t>
  </si>
  <si>
    <t>Media</t>
  </si>
  <si>
    <t>Error típico</t>
  </si>
  <si>
    <t>Mediana</t>
  </si>
  <si>
    <t>Moda</t>
  </si>
  <si>
    <t>Desviación estándar</t>
  </si>
  <si>
    <t>Varianza de la muestra</t>
  </si>
  <si>
    <t>Curtosis</t>
  </si>
  <si>
    <t>Coeficiente de asimetría</t>
  </si>
  <si>
    <t>Rango</t>
  </si>
  <si>
    <t>Mínimo</t>
  </si>
  <si>
    <t>Máximo</t>
  </si>
  <si>
    <t>Suma</t>
  </si>
  <si>
    <t>Cuenta</t>
  </si>
  <si>
    <t>Clase</t>
  </si>
  <si>
    <t>y mayor...</t>
  </si>
  <si>
    <t>Frecuencia</t>
  </si>
  <si>
    <t>prueba de ajuste</t>
  </si>
  <si>
    <t>po</t>
  </si>
  <si>
    <t>poa</t>
  </si>
  <si>
    <t>prob obs</t>
  </si>
  <si>
    <t>probObsAcum</t>
  </si>
  <si>
    <t>fo</t>
  </si>
  <si>
    <t>frecObs</t>
  </si>
  <si>
    <t>pea</t>
  </si>
  <si>
    <t>ProbEspAcum</t>
  </si>
  <si>
    <t>UNIFORME</t>
  </si>
  <si>
    <t>(a)</t>
  </si>
  <si>
    <t>(b)</t>
  </si>
  <si>
    <t>distribucion uniforme para calcular pea poa</t>
  </si>
  <si>
    <t>generada</t>
  </si>
  <si>
    <t>abs(poa-pea)</t>
  </si>
  <si>
    <t>Dato critico</t>
  </si>
  <si>
    <t>Valor calculado</t>
  </si>
  <si>
    <t>si valor calculado es &gt; que critico rechazo ipotesis</t>
  </si>
  <si>
    <t>lambda=1/media o n/suma total</t>
  </si>
  <si>
    <t>exponencial</t>
  </si>
  <si>
    <t>si valor calculado es &gt; que critico rechazo hipotesis</t>
  </si>
  <si>
    <t>(c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</si>
</sst>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6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Fill="1"/>
    <xf numFmtId="0" fontId="1" fillId="0" borderId="0" xfId="0" applyFont="1"/>
    <xf numFmtId="0" fontId="2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0" fillId="0" borderId="0" xfId="0" applyFill="1" applyBorder="1" applyAlignment="1"/>
    <xf numFmtId="0" fontId="0" fillId="0" borderId="1" xfId="0" applyFill="1" applyBorder="1" applyAlignment="1"/>
    <xf numFmtId="0" fontId="4" fillId="0" borderId="2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Continuous"/>
    </xf>
    <xf numFmtId="0" fontId="0" fillId="5" borderId="0" xfId="0" applyFill="1"/>
    <xf numFmtId="0" fontId="0" fillId="0" borderId="0" xfId="0" applyAlignment="1">
      <alignment horizontal="right"/>
    </xf>
    <xf numFmtId="0" fontId="0" fillId="7" borderId="0" xfId="0" applyFill="1"/>
    <xf numFmtId="0" fontId="0" fillId="6" borderId="0" xfId="0" applyFill="1" applyAlignment="1">
      <alignment horizontal="center"/>
    </xf>
    <xf numFmtId="0" fontId="5" fillId="8" borderId="0" xfId="0" applyFont="1" applyFill="1"/>
    <xf numFmtId="0" fontId="0" fillId="5" borderId="0" xfId="0" applyFill="1" applyBorder="1" applyAlignment="1">
      <alignment horizontal="center"/>
    </xf>
    <xf numFmtId="0" fontId="0" fillId="0" borderId="0" xfId="0" applyAlignment="1">
      <alignment wrapText="1"/>
    </xf>
    <xf numFmtId="0" fontId="3" fillId="9" borderId="0" xfId="0" applyFont="1" applyFill="1" applyAlignment="1">
      <alignment wrapText="1"/>
    </xf>
    <xf numFmtId="0" fontId="0" fillId="9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uniforme!$D$8:$D$18</c:f>
              <c:numCache>
                <c:formatCode>General</c:formatCode>
                <c:ptCount val="11"/>
                <c:pt idx="0">
                  <c:v>1E-4</c:v>
                </c:pt>
                <c:pt idx="1">
                  <c:v>1E-4</c:v>
                </c:pt>
                <c:pt idx="2">
                  <c:v>1E-4</c:v>
                </c:pt>
                <c:pt idx="3">
                  <c:v>1E-4</c:v>
                </c:pt>
                <c:pt idx="4">
                  <c:v>1E-4</c:v>
                </c:pt>
                <c:pt idx="5">
                  <c:v>1E-4</c:v>
                </c:pt>
                <c:pt idx="6">
                  <c:v>1E-4</c:v>
                </c:pt>
                <c:pt idx="7">
                  <c:v>1E-4</c:v>
                </c:pt>
                <c:pt idx="8">
                  <c:v>1E-4</c:v>
                </c:pt>
                <c:pt idx="9">
                  <c:v>1E-4</c:v>
                </c:pt>
                <c:pt idx="10">
                  <c:v>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6A-45B9-9FD8-2F614928C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519904"/>
        <c:axId val="568516952"/>
      </c:areaChart>
      <c:catAx>
        <c:axId val="5685199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68516952"/>
        <c:crosses val="autoZero"/>
        <c:auto val="1"/>
        <c:lblAlgn val="ctr"/>
        <c:lblOffset val="100"/>
        <c:noMultiLvlLbl val="0"/>
      </c:catAx>
      <c:valAx>
        <c:axId val="568516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68519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triangular!$B$8:$B$23</c:f>
              <c:numCache>
                <c:formatCode>General</c:formatCode>
                <c:ptCount val="1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</c:numCache>
            </c:numRef>
          </c:cat>
          <c:val>
            <c:numRef>
              <c:f>triangular!$C$8:$C$23</c:f>
              <c:numCache>
                <c:formatCode>General</c:formatCode>
                <c:ptCount val="16"/>
                <c:pt idx="0">
                  <c:v>0</c:v>
                </c:pt>
                <c:pt idx="1">
                  <c:v>2.6666666666666668E-2</c:v>
                </c:pt>
                <c:pt idx="2">
                  <c:v>5.3333333333333337E-2</c:v>
                </c:pt>
                <c:pt idx="3">
                  <c:v>0.08</c:v>
                </c:pt>
                <c:pt idx="4">
                  <c:v>0.10666666666666667</c:v>
                </c:pt>
                <c:pt idx="5">
                  <c:v>0.13333333333333333</c:v>
                </c:pt>
                <c:pt idx="6">
                  <c:v>0.12</c:v>
                </c:pt>
                <c:pt idx="7">
                  <c:v>0.10666666666666667</c:v>
                </c:pt>
                <c:pt idx="8">
                  <c:v>9.3333333333333338E-2</c:v>
                </c:pt>
                <c:pt idx="9">
                  <c:v>0.08</c:v>
                </c:pt>
                <c:pt idx="10">
                  <c:v>6.6666666666666666E-2</c:v>
                </c:pt>
                <c:pt idx="11">
                  <c:v>5.3333333333333337E-2</c:v>
                </c:pt>
                <c:pt idx="12">
                  <c:v>0.04</c:v>
                </c:pt>
                <c:pt idx="13">
                  <c:v>2.6666666666666668E-2</c:v>
                </c:pt>
                <c:pt idx="14">
                  <c:v>1.3333333333333334E-2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94-460F-B696-18BDEA390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9879720"/>
        <c:axId val="290646000"/>
      </c:lineChart>
      <c:catAx>
        <c:axId val="289879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290646000"/>
        <c:crosses val="autoZero"/>
        <c:auto val="1"/>
        <c:lblAlgn val="ctr"/>
        <c:lblOffset val="100"/>
        <c:noMultiLvlLbl val="0"/>
      </c:catAx>
      <c:valAx>
        <c:axId val="29064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289879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acumulada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triangular!$B$8:$B$23</c:f>
              <c:numCache>
                <c:formatCode>General</c:formatCode>
                <c:ptCount val="1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</c:numCache>
            </c:numRef>
          </c:cat>
          <c:val>
            <c:numRef>
              <c:f>triangular!$E$8:$E$23</c:f>
              <c:numCache>
                <c:formatCode>General</c:formatCode>
                <c:ptCount val="16"/>
                <c:pt idx="0">
                  <c:v>0</c:v>
                </c:pt>
                <c:pt idx="1">
                  <c:v>1.3333333333333334E-2</c:v>
                </c:pt>
                <c:pt idx="2">
                  <c:v>5.3333333333333337E-2</c:v>
                </c:pt>
                <c:pt idx="3">
                  <c:v>0.12</c:v>
                </c:pt>
                <c:pt idx="4">
                  <c:v>0.21333333333333335</c:v>
                </c:pt>
                <c:pt idx="5">
                  <c:v>0.33333333333333331</c:v>
                </c:pt>
                <c:pt idx="6">
                  <c:v>0.45999999999999996</c:v>
                </c:pt>
                <c:pt idx="7">
                  <c:v>0.57333333333333325</c:v>
                </c:pt>
                <c:pt idx="8">
                  <c:v>0.67333333333333334</c:v>
                </c:pt>
                <c:pt idx="9">
                  <c:v>0.76</c:v>
                </c:pt>
                <c:pt idx="10">
                  <c:v>0.83333333333333337</c:v>
                </c:pt>
                <c:pt idx="11">
                  <c:v>0.89333333333333331</c:v>
                </c:pt>
                <c:pt idx="12">
                  <c:v>0.94</c:v>
                </c:pt>
                <c:pt idx="13">
                  <c:v>0.97333333333333338</c:v>
                </c:pt>
                <c:pt idx="14">
                  <c:v>0.99333333333333329</c:v>
                </c:pt>
                <c:pt idx="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61-4516-B29E-A82C8158F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3038408"/>
        <c:axId val="573040048"/>
      </c:lineChart>
      <c:catAx>
        <c:axId val="573038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73040048"/>
        <c:crosses val="autoZero"/>
        <c:auto val="1"/>
        <c:lblAlgn val="ctr"/>
        <c:lblOffset val="100"/>
        <c:noMultiLvlLbl val="0"/>
      </c:catAx>
      <c:valAx>
        <c:axId val="57304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73038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exponencial!$A$5:$A$35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</c:numCache>
            </c:numRef>
          </c:cat>
          <c:val>
            <c:numRef>
              <c:f>exponencial!$B$5:$B$35</c:f>
              <c:numCache>
                <c:formatCode>General</c:formatCode>
                <c:ptCount val="31"/>
                <c:pt idx="0">
                  <c:v>3</c:v>
                </c:pt>
                <c:pt idx="1">
                  <c:v>2.2224546620451537</c:v>
                </c:pt>
                <c:pt idx="2">
                  <c:v>1.6464349082820791</c:v>
                </c:pt>
                <c:pt idx="3">
                  <c:v>1.2197089792217974</c:v>
                </c:pt>
                <c:pt idx="4">
                  <c:v>0.90358263573660613</c:v>
                </c:pt>
                <c:pt idx="5">
                  <c:v>0.66939048044528948</c:v>
                </c:pt>
                <c:pt idx="6">
                  <c:v>0.49589666466475968</c:v>
                </c:pt>
                <c:pt idx="7">
                  <c:v>0.36736928475894581</c:v>
                </c:pt>
                <c:pt idx="8">
                  <c:v>0.27215385986823742</c:v>
                </c:pt>
                <c:pt idx="9">
                  <c:v>0.20161653821924927</c:v>
                </c:pt>
                <c:pt idx="10">
                  <c:v>0.14936120510359183</c:v>
                </c:pt>
                <c:pt idx="11">
                  <c:v>0.11064950220371998</c:v>
                </c:pt>
                <c:pt idx="12">
                  <c:v>8.1971167341877704E-2</c:v>
                </c:pt>
                <c:pt idx="13">
                  <c:v>6.0725734337413143E-2</c:v>
                </c:pt>
                <c:pt idx="14">
                  <c:v>4.4986730461433151E-2</c:v>
                </c:pt>
                <c:pt idx="15">
                  <c:v>3.3326989614726917E-2</c:v>
                </c:pt>
                <c:pt idx="16">
                  <c:v>2.468924114706007E-2</c:v>
                </c:pt>
                <c:pt idx="17">
                  <c:v>1.8290239696546914E-2</c:v>
                </c:pt>
                <c:pt idx="18">
                  <c:v>1.3549742827837998E-2</c:v>
                </c:pt>
                <c:pt idx="19">
                  <c:v>1.0037896372413825E-2</c:v>
                </c:pt>
                <c:pt idx="20">
                  <c:v>7.4362565299990755E-3</c:v>
                </c:pt>
                <c:pt idx="21">
                  <c:v>5.5089143310867172E-3</c:v>
                </c:pt>
                <c:pt idx="22">
                  <c:v>4.0811041126436786E-3</c:v>
                </c:pt>
                <c:pt idx="23">
                  <c:v>3.023356287145534E-3</c:v>
                </c:pt>
                <c:pt idx="24">
                  <c:v>2.2397574251300395E-3</c:v>
                </c:pt>
                <c:pt idx="25">
                  <c:v>1.659253110443501E-3</c:v>
                </c:pt>
                <c:pt idx="26">
                  <c:v>1.2292049369393592E-3</c:v>
                </c:pt>
                <c:pt idx="27">
                  <c:v>9.1061741423659865E-4</c:v>
                </c:pt>
                <c:pt idx="28">
                  <c:v>6.746019725365458E-4</c:v>
                </c:pt>
                <c:pt idx="29">
                  <c:v>4.9975743296290065E-4</c:v>
                </c:pt>
                <c:pt idx="30">
                  <c:v>3.7022941226003868E-4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24-478B-89AB-D561E9221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6827056"/>
        <c:axId val="566823448"/>
      </c:lineChart>
      <c:catAx>
        <c:axId val="566827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66823448"/>
        <c:crosses val="autoZero"/>
        <c:auto val="1"/>
        <c:lblAlgn val="ctr"/>
        <c:lblOffset val="100"/>
        <c:noMultiLvlLbl val="0"/>
      </c:catAx>
      <c:valAx>
        <c:axId val="566823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6682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exponencial!$A$5:$A$35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</c:numCache>
            </c:numRef>
          </c:xVal>
          <c:yVal>
            <c:numRef>
              <c:f>exponencial!$C$5:$C$35</c:f>
              <c:numCache>
                <c:formatCode>General</c:formatCode>
                <c:ptCount val="31"/>
                <c:pt idx="0">
                  <c:v>0</c:v>
                </c:pt>
                <c:pt idx="1">
                  <c:v>0.25918177931828212</c:v>
                </c:pt>
                <c:pt idx="2">
                  <c:v>0.45118836390597361</c:v>
                </c:pt>
                <c:pt idx="3">
                  <c:v>0.59343034025940078</c:v>
                </c:pt>
                <c:pt idx="4">
                  <c:v>0.69880578808779803</c:v>
                </c:pt>
                <c:pt idx="5">
                  <c:v>0.77686983985157021</c:v>
                </c:pt>
                <c:pt idx="6">
                  <c:v>0.83470111177841344</c:v>
                </c:pt>
                <c:pt idx="7">
                  <c:v>0.87754357174701803</c:v>
                </c:pt>
                <c:pt idx="8">
                  <c:v>0.90928204671058754</c:v>
                </c:pt>
                <c:pt idx="9">
                  <c:v>0.93279448726025027</c:v>
                </c:pt>
                <c:pt idx="10">
                  <c:v>0.95021293163213605</c:v>
                </c:pt>
                <c:pt idx="11">
                  <c:v>0.96311683259876002</c:v>
                </c:pt>
                <c:pt idx="12">
                  <c:v>0.97267627755270747</c:v>
                </c:pt>
                <c:pt idx="13">
                  <c:v>0.97975808855419566</c:v>
                </c:pt>
                <c:pt idx="14">
                  <c:v>0.9850044231795223</c:v>
                </c:pt>
                <c:pt idx="15">
                  <c:v>0.98889100346175773</c:v>
                </c:pt>
                <c:pt idx="16">
                  <c:v>0.99177025295097998</c:v>
                </c:pt>
                <c:pt idx="17">
                  <c:v>0.99390325343448438</c:v>
                </c:pt>
                <c:pt idx="18">
                  <c:v>0.99548341905738735</c:v>
                </c:pt>
                <c:pt idx="19">
                  <c:v>0.99665403454252877</c:v>
                </c:pt>
                <c:pt idx="20">
                  <c:v>0.99752124782333362</c:v>
                </c:pt>
                <c:pt idx="21">
                  <c:v>0.9981636952229711</c:v>
                </c:pt>
                <c:pt idx="22">
                  <c:v>0.99863963196245209</c:v>
                </c:pt>
                <c:pt idx="23">
                  <c:v>0.99899221457095144</c:v>
                </c:pt>
                <c:pt idx="24">
                  <c:v>0.99925341419162328</c:v>
                </c:pt>
                <c:pt idx="25">
                  <c:v>0.99944691562985222</c:v>
                </c:pt>
                <c:pt idx="26">
                  <c:v>0.99959026502102022</c:v>
                </c:pt>
                <c:pt idx="27">
                  <c:v>0.9996964608619211</c:v>
                </c:pt>
                <c:pt idx="28">
                  <c:v>0.99977513267582119</c:v>
                </c:pt>
                <c:pt idx="29">
                  <c:v>0.99983341418901239</c:v>
                </c:pt>
                <c:pt idx="30">
                  <c:v>0.99987659019591335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78-41E1-B374-293DD89E93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9648376"/>
        <c:axId val="569650672"/>
      </c:scatterChart>
      <c:valAx>
        <c:axId val="569648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69650672"/>
        <c:crosses val="autoZero"/>
        <c:crossBetween val="midCat"/>
      </c:valAx>
      <c:valAx>
        <c:axId val="56965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69648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C"/>
              <a:t>Histograma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expo!$D$23:$D$45</c:f>
              <c:strCache>
                <c:ptCount val="23"/>
                <c:pt idx="0">
                  <c:v>14,31</c:v>
                </c:pt>
                <c:pt idx="1">
                  <c:v>15,14181818</c:v>
                </c:pt>
                <c:pt idx="2">
                  <c:v>15,97363636</c:v>
                </c:pt>
                <c:pt idx="3">
                  <c:v>16,80545455</c:v>
                </c:pt>
                <c:pt idx="4">
                  <c:v>17,63727273</c:v>
                </c:pt>
                <c:pt idx="5">
                  <c:v>18,46909091</c:v>
                </c:pt>
                <c:pt idx="6">
                  <c:v>19,30090909</c:v>
                </c:pt>
                <c:pt idx="7">
                  <c:v>20,13272727</c:v>
                </c:pt>
                <c:pt idx="8">
                  <c:v>20,96454545</c:v>
                </c:pt>
                <c:pt idx="9">
                  <c:v>21,79636364</c:v>
                </c:pt>
                <c:pt idx="10">
                  <c:v>22,62818182</c:v>
                </c:pt>
                <c:pt idx="11">
                  <c:v>23,46</c:v>
                </c:pt>
                <c:pt idx="12">
                  <c:v>24,29181818</c:v>
                </c:pt>
                <c:pt idx="13">
                  <c:v>25,12363636</c:v>
                </c:pt>
                <c:pt idx="14">
                  <c:v>25,95545455</c:v>
                </c:pt>
                <c:pt idx="15">
                  <c:v>26,78727273</c:v>
                </c:pt>
                <c:pt idx="16">
                  <c:v>27,61909091</c:v>
                </c:pt>
                <c:pt idx="17">
                  <c:v>28,45090909</c:v>
                </c:pt>
                <c:pt idx="18">
                  <c:v>29,28272727</c:v>
                </c:pt>
                <c:pt idx="19">
                  <c:v>30,11454545</c:v>
                </c:pt>
                <c:pt idx="20">
                  <c:v>30,94636364</c:v>
                </c:pt>
                <c:pt idx="21">
                  <c:v>31,77818182</c:v>
                </c:pt>
                <c:pt idx="22">
                  <c:v>y mayor...</c:v>
                </c:pt>
              </c:strCache>
            </c:strRef>
          </c:cat>
          <c:val>
            <c:numRef>
              <c:f>expo!$E$23:$E$45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4</c:v>
                </c:pt>
                <c:pt idx="7">
                  <c:v>9</c:v>
                </c:pt>
                <c:pt idx="8">
                  <c:v>21</c:v>
                </c:pt>
                <c:pt idx="9">
                  <c:v>33</c:v>
                </c:pt>
                <c:pt idx="10">
                  <c:v>38</c:v>
                </c:pt>
                <c:pt idx="11">
                  <c:v>53</c:v>
                </c:pt>
                <c:pt idx="12">
                  <c:v>42</c:v>
                </c:pt>
                <c:pt idx="13">
                  <c:v>53</c:v>
                </c:pt>
                <c:pt idx="14">
                  <c:v>53</c:v>
                </c:pt>
                <c:pt idx="15">
                  <c:v>35</c:v>
                </c:pt>
                <c:pt idx="16">
                  <c:v>44</c:v>
                </c:pt>
                <c:pt idx="17">
                  <c:v>39</c:v>
                </c:pt>
                <c:pt idx="18">
                  <c:v>30</c:v>
                </c:pt>
                <c:pt idx="19">
                  <c:v>17</c:v>
                </c:pt>
                <c:pt idx="20">
                  <c:v>8</c:v>
                </c:pt>
                <c:pt idx="21">
                  <c:v>6</c:v>
                </c:pt>
                <c:pt idx="2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13-4E41-AB28-1627276EB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4027608"/>
        <c:axId val="574029248"/>
      </c:barChart>
      <c:catAx>
        <c:axId val="574027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4029248"/>
        <c:crosses val="autoZero"/>
        <c:auto val="1"/>
        <c:lblAlgn val="ctr"/>
        <c:lblOffset val="100"/>
        <c:noMultiLvlLbl val="0"/>
      </c:catAx>
      <c:valAx>
        <c:axId val="5740292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4027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 b="1"/>
              <a:t>Mal ajuste entre poa y pea</a:t>
            </a:r>
          </a:p>
        </c:rich>
      </c:tx>
      <c:layout>
        <c:manualLayout>
          <c:xMode val="edge"/>
          <c:yMode val="edge"/>
          <c:x val="0.25797530864197532"/>
          <c:y val="5.26315789473684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val>
            <c:numRef>
              <c:f>expo!$M$5:$M$504</c:f>
              <c:numCache>
                <c:formatCode>General</c:formatCode>
                <c:ptCount val="500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1.8000000000000002E-2</c:v>
                </c:pt>
                <c:pt idx="9">
                  <c:v>2.0000000000000004E-2</c:v>
                </c:pt>
                <c:pt idx="10">
                  <c:v>2.2000000000000006E-2</c:v>
                </c:pt>
                <c:pt idx="11">
                  <c:v>2.4000000000000007E-2</c:v>
                </c:pt>
                <c:pt idx="12">
                  <c:v>2.6000000000000009E-2</c:v>
                </c:pt>
                <c:pt idx="13">
                  <c:v>2.8000000000000011E-2</c:v>
                </c:pt>
                <c:pt idx="14">
                  <c:v>3.0000000000000013E-2</c:v>
                </c:pt>
                <c:pt idx="15">
                  <c:v>3.2000000000000015E-2</c:v>
                </c:pt>
                <c:pt idx="16">
                  <c:v>3.4000000000000016E-2</c:v>
                </c:pt>
                <c:pt idx="17">
                  <c:v>3.6000000000000018E-2</c:v>
                </c:pt>
                <c:pt idx="18">
                  <c:v>3.800000000000002E-2</c:v>
                </c:pt>
                <c:pt idx="19">
                  <c:v>4.0000000000000022E-2</c:v>
                </c:pt>
                <c:pt idx="20">
                  <c:v>4.2000000000000023E-2</c:v>
                </c:pt>
                <c:pt idx="21">
                  <c:v>4.4000000000000025E-2</c:v>
                </c:pt>
                <c:pt idx="22">
                  <c:v>4.6000000000000027E-2</c:v>
                </c:pt>
                <c:pt idx="23">
                  <c:v>4.8000000000000029E-2</c:v>
                </c:pt>
                <c:pt idx="24">
                  <c:v>5.0000000000000031E-2</c:v>
                </c:pt>
                <c:pt idx="25">
                  <c:v>5.2000000000000032E-2</c:v>
                </c:pt>
                <c:pt idx="26">
                  <c:v>5.4000000000000034E-2</c:v>
                </c:pt>
                <c:pt idx="27">
                  <c:v>5.6000000000000036E-2</c:v>
                </c:pt>
                <c:pt idx="28">
                  <c:v>5.8000000000000038E-2</c:v>
                </c:pt>
                <c:pt idx="29">
                  <c:v>6.0000000000000039E-2</c:v>
                </c:pt>
                <c:pt idx="30">
                  <c:v>6.2000000000000041E-2</c:v>
                </c:pt>
                <c:pt idx="31">
                  <c:v>6.4000000000000043E-2</c:v>
                </c:pt>
                <c:pt idx="32">
                  <c:v>6.6000000000000045E-2</c:v>
                </c:pt>
                <c:pt idx="33">
                  <c:v>6.8000000000000047E-2</c:v>
                </c:pt>
                <c:pt idx="34">
                  <c:v>7.0000000000000048E-2</c:v>
                </c:pt>
                <c:pt idx="35">
                  <c:v>7.200000000000005E-2</c:v>
                </c:pt>
                <c:pt idx="36">
                  <c:v>7.4000000000000052E-2</c:v>
                </c:pt>
                <c:pt idx="37">
                  <c:v>7.6000000000000054E-2</c:v>
                </c:pt>
                <c:pt idx="38">
                  <c:v>7.8000000000000055E-2</c:v>
                </c:pt>
                <c:pt idx="39">
                  <c:v>8.0000000000000057E-2</c:v>
                </c:pt>
                <c:pt idx="40">
                  <c:v>8.2000000000000059E-2</c:v>
                </c:pt>
                <c:pt idx="41">
                  <c:v>8.4000000000000061E-2</c:v>
                </c:pt>
                <c:pt idx="42">
                  <c:v>8.6000000000000063E-2</c:v>
                </c:pt>
                <c:pt idx="43">
                  <c:v>8.8000000000000064E-2</c:v>
                </c:pt>
                <c:pt idx="44">
                  <c:v>9.0000000000000066E-2</c:v>
                </c:pt>
                <c:pt idx="45">
                  <c:v>9.2000000000000068E-2</c:v>
                </c:pt>
                <c:pt idx="46">
                  <c:v>9.400000000000007E-2</c:v>
                </c:pt>
                <c:pt idx="47">
                  <c:v>9.6000000000000071E-2</c:v>
                </c:pt>
                <c:pt idx="48">
                  <c:v>9.8000000000000073E-2</c:v>
                </c:pt>
                <c:pt idx="49">
                  <c:v>0.10000000000000007</c:v>
                </c:pt>
                <c:pt idx="50">
                  <c:v>0.10200000000000008</c:v>
                </c:pt>
                <c:pt idx="51">
                  <c:v>0.10400000000000008</c:v>
                </c:pt>
                <c:pt idx="52">
                  <c:v>0.10600000000000008</c:v>
                </c:pt>
                <c:pt idx="53">
                  <c:v>0.10800000000000008</c:v>
                </c:pt>
                <c:pt idx="54">
                  <c:v>0.11000000000000008</c:v>
                </c:pt>
                <c:pt idx="55">
                  <c:v>0.11200000000000009</c:v>
                </c:pt>
                <c:pt idx="56">
                  <c:v>0.11400000000000009</c:v>
                </c:pt>
                <c:pt idx="57">
                  <c:v>0.11600000000000009</c:v>
                </c:pt>
                <c:pt idx="58">
                  <c:v>0.11800000000000009</c:v>
                </c:pt>
                <c:pt idx="59">
                  <c:v>0.12000000000000009</c:v>
                </c:pt>
                <c:pt idx="60">
                  <c:v>0.12200000000000009</c:v>
                </c:pt>
                <c:pt idx="61">
                  <c:v>0.1240000000000001</c:v>
                </c:pt>
                <c:pt idx="62">
                  <c:v>0.12600000000000008</c:v>
                </c:pt>
                <c:pt idx="63">
                  <c:v>0.12800000000000009</c:v>
                </c:pt>
                <c:pt idx="64">
                  <c:v>0.13000000000000009</c:v>
                </c:pt>
                <c:pt idx="65">
                  <c:v>0.13200000000000009</c:v>
                </c:pt>
                <c:pt idx="66">
                  <c:v>0.13400000000000009</c:v>
                </c:pt>
                <c:pt idx="67">
                  <c:v>0.13600000000000009</c:v>
                </c:pt>
                <c:pt idx="68">
                  <c:v>0.13800000000000009</c:v>
                </c:pt>
                <c:pt idx="69">
                  <c:v>0.1400000000000001</c:v>
                </c:pt>
                <c:pt idx="70">
                  <c:v>0.1420000000000001</c:v>
                </c:pt>
                <c:pt idx="71">
                  <c:v>0.1440000000000001</c:v>
                </c:pt>
                <c:pt idx="72">
                  <c:v>0.1460000000000001</c:v>
                </c:pt>
                <c:pt idx="73">
                  <c:v>0.1480000000000001</c:v>
                </c:pt>
                <c:pt idx="74">
                  <c:v>0.15000000000000011</c:v>
                </c:pt>
                <c:pt idx="75">
                  <c:v>0.15200000000000011</c:v>
                </c:pt>
                <c:pt idx="76">
                  <c:v>0.15400000000000011</c:v>
                </c:pt>
                <c:pt idx="77">
                  <c:v>0.15600000000000011</c:v>
                </c:pt>
                <c:pt idx="78">
                  <c:v>0.15800000000000011</c:v>
                </c:pt>
                <c:pt idx="79">
                  <c:v>0.16000000000000011</c:v>
                </c:pt>
                <c:pt idx="80">
                  <c:v>0.16200000000000012</c:v>
                </c:pt>
                <c:pt idx="81">
                  <c:v>0.16400000000000012</c:v>
                </c:pt>
                <c:pt idx="82">
                  <c:v>0.16600000000000012</c:v>
                </c:pt>
                <c:pt idx="83">
                  <c:v>0.16800000000000012</c:v>
                </c:pt>
                <c:pt idx="84">
                  <c:v>0.17000000000000012</c:v>
                </c:pt>
                <c:pt idx="85">
                  <c:v>0.17200000000000013</c:v>
                </c:pt>
                <c:pt idx="86">
                  <c:v>0.17400000000000013</c:v>
                </c:pt>
                <c:pt idx="87">
                  <c:v>0.17600000000000013</c:v>
                </c:pt>
                <c:pt idx="88">
                  <c:v>0.17800000000000013</c:v>
                </c:pt>
                <c:pt idx="89">
                  <c:v>0.18000000000000013</c:v>
                </c:pt>
                <c:pt idx="90">
                  <c:v>0.18200000000000013</c:v>
                </c:pt>
                <c:pt idx="91">
                  <c:v>0.18400000000000014</c:v>
                </c:pt>
                <c:pt idx="92">
                  <c:v>0.18600000000000014</c:v>
                </c:pt>
                <c:pt idx="93">
                  <c:v>0.18800000000000014</c:v>
                </c:pt>
                <c:pt idx="94">
                  <c:v>0.19000000000000014</c:v>
                </c:pt>
                <c:pt idx="95">
                  <c:v>0.19200000000000014</c:v>
                </c:pt>
                <c:pt idx="96">
                  <c:v>0.19400000000000014</c:v>
                </c:pt>
                <c:pt idx="97">
                  <c:v>0.19600000000000015</c:v>
                </c:pt>
                <c:pt idx="98">
                  <c:v>0.19800000000000015</c:v>
                </c:pt>
                <c:pt idx="99">
                  <c:v>0.20000000000000015</c:v>
                </c:pt>
                <c:pt idx="100">
                  <c:v>0.20200000000000015</c:v>
                </c:pt>
                <c:pt idx="101">
                  <c:v>0.20400000000000015</c:v>
                </c:pt>
                <c:pt idx="102">
                  <c:v>0.20600000000000016</c:v>
                </c:pt>
                <c:pt idx="103">
                  <c:v>0.20800000000000016</c:v>
                </c:pt>
                <c:pt idx="104">
                  <c:v>0.21000000000000016</c:v>
                </c:pt>
                <c:pt idx="105">
                  <c:v>0.21200000000000016</c:v>
                </c:pt>
                <c:pt idx="106">
                  <c:v>0.21400000000000016</c:v>
                </c:pt>
                <c:pt idx="107">
                  <c:v>0.21600000000000016</c:v>
                </c:pt>
                <c:pt idx="108">
                  <c:v>0.21800000000000017</c:v>
                </c:pt>
                <c:pt idx="109">
                  <c:v>0.22000000000000017</c:v>
                </c:pt>
                <c:pt idx="110">
                  <c:v>0.22200000000000017</c:v>
                </c:pt>
                <c:pt idx="111">
                  <c:v>0.22400000000000017</c:v>
                </c:pt>
                <c:pt idx="112">
                  <c:v>0.22600000000000017</c:v>
                </c:pt>
                <c:pt idx="113">
                  <c:v>0.22800000000000017</c:v>
                </c:pt>
                <c:pt idx="114">
                  <c:v>0.23000000000000018</c:v>
                </c:pt>
                <c:pt idx="115">
                  <c:v>0.23200000000000018</c:v>
                </c:pt>
                <c:pt idx="116">
                  <c:v>0.23400000000000018</c:v>
                </c:pt>
                <c:pt idx="117">
                  <c:v>0.23600000000000018</c:v>
                </c:pt>
                <c:pt idx="118">
                  <c:v>0.23800000000000018</c:v>
                </c:pt>
                <c:pt idx="119">
                  <c:v>0.24000000000000019</c:v>
                </c:pt>
                <c:pt idx="120">
                  <c:v>0.24200000000000019</c:v>
                </c:pt>
                <c:pt idx="121">
                  <c:v>0.24400000000000019</c:v>
                </c:pt>
                <c:pt idx="122">
                  <c:v>0.24600000000000019</c:v>
                </c:pt>
                <c:pt idx="123">
                  <c:v>0.24800000000000019</c:v>
                </c:pt>
                <c:pt idx="124">
                  <c:v>0.25000000000000017</c:v>
                </c:pt>
                <c:pt idx="125">
                  <c:v>0.25200000000000017</c:v>
                </c:pt>
                <c:pt idx="126">
                  <c:v>0.25400000000000017</c:v>
                </c:pt>
                <c:pt idx="127">
                  <c:v>0.25600000000000017</c:v>
                </c:pt>
                <c:pt idx="128">
                  <c:v>0.25800000000000017</c:v>
                </c:pt>
                <c:pt idx="129">
                  <c:v>0.26000000000000018</c:v>
                </c:pt>
                <c:pt idx="130">
                  <c:v>0.26200000000000018</c:v>
                </c:pt>
                <c:pt idx="131">
                  <c:v>0.26400000000000018</c:v>
                </c:pt>
                <c:pt idx="132">
                  <c:v>0.26600000000000018</c:v>
                </c:pt>
                <c:pt idx="133">
                  <c:v>0.26800000000000018</c:v>
                </c:pt>
                <c:pt idx="134">
                  <c:v>0.27000000000000018</c:v>
                </c:pt>
                <c:pt idx="135">
                  <c:v>0.27200000000000019</c:v>
                </c:pt>
                <c:pt idx="136">
                  <c:v>0.27400000000000019</c:v>
                </c:pt>
                <c:pt idx="137">
                  <c:v>0.27600000000000019</c:v>
                </c:pt>
                <c:pt idx="138">
                  <c:v>0.27800000000000019</c:v>
                </c:pt>
                <c:pt idx="139">
                  <c:v>0.28000000000000019</c:v>
                </c:pt>
                <c:pt idx="140">
                  <c:v>0.28200000000000019</c:v>
                </c:pt>
                <c:pt idx="141">
                  <c:v>0.2840000000000002</c:v>
                </c:pt>
                <c:pt idx="142">
                  <c:v>0.2860000000000002</c:v>
                </c:pt>
                <c:pt idx="143">
                  <c:v>0.2880000000000002</c:v>
                </c:pt>
                <c:pt idx="144">
                  <c:v>0.2900000000000002</c:v>
                </c:pt>
                <c:pt idx="145">
                  <c:v>0.2920000000000002</c:v>
                </c:pt>
                <c:pt idx="146">
                  <c:v>0.29400000000000021</c:v>
                </c:pt>
                <c:pt idx="147">
                  <c:v>0.29600000000000021</c:v>
                </c:pt>
                <c:pt idx="148">
                  <c:v>0.29800000000000021</c:v>
                </c:pt>
                <c:pt idx="149">
                  <c:v>0.30000000000000021</c:v>
                </c:pt>
                <c:pt idx="150">
                  <c:v>0.30200000000000021</c:v>
                </c:pt>
                <c:pt idx="151">
                  <c:v>0.30400000000000021</c:v>
                </c:pt>
                <c:pt idx="152">
                  <c:v>0.30600000000000022</c:v>
                </c:pt>
                <c:pt idx="153">
                  <c:v>0.30800000000000022</c:v>
                </c:pt>
                <c:pt idx="154">
                  <c:v>0.31000000000000022</c:v>
                </c:pt>
                <c:pt idx="155">
                  <c:v>0.31200000000000022</c:v>
                </c:pt>
                <c:pt idx="156">
                  <c:v>0.31400000000000022</c:v>
                </c:pt>
                <c:pt idx="157">
                  <c:v>0.31600000000000023</c:v>
                </c:pt>
                <c:pt idx="158">
                  <c:v>0.31800000000000023</c:v>
                </c:pt>
                <c:pt idx="159">
                  <c:v>0.32000000000000023</c:v>
                </c:pt>
                <c:pt idx="160">
                  <c:v>0.32200000000000023</c:v>
                </c:pt>
                <c:pt idx="161">
                  <c:v>0.32400000000000023</c:v>
                </c:pt>
                <c:pt idx="162">
                  <c:v>0.32600000000000023</c:v>
                </c:pt>
                <c:pt idx="163">
                  <c:v>0.32800000000000024</c:v>
                </c:pt>
                <c:pt idx="164">
                  <c:v>0.33000000000000024</c:v>
                </c:pt>
                <c:pt idx="165">
                  <c:v>0.33200000000000024</c:v>
                </c:pt>
                <c:pt idx="166">
                  <c:v>0.33400000000000024</c:v>
                </c:pt>
                <c:pt idx="167">
                  <c:v>0.33600000000000024</c:v>
                </c:pt>
                <c:pt idx="168">
                  <c:v>0.33800000000000024</c:v>
                </c:pt>
                <c:pt idx="169">
                  <c:v>0.34000000000000025</c:v>
                </c:pt>
                <c:pt idx="170">
                  <c:v>0.34200000000000025</c:v>
                </c:pt>
                <c:pt idx="171">
                  <c:v>0.34400000000000025</c:v>
                </c:pt>
                <c:pt idx="172">
                  <c:v>0.34600000000000025</c:v>
                </c:pt>
                <c:pt idx="173">
                  <c:v>0.34800000000000025</c:v>
                </c:pt>
                <c:pt idx="174">
                  <c:v>0.35000000000000026</c:v>
                </c:pt>
                <c:pt idx="175">
                  <c:v>0.35200000000000026</c:v>
                </c:pt>
                <c:pt idx="176">
                  <c:v>0.35400000000000026</c:v>
                </c:pt>
                <c:pt idx="177">
                  <c:v>0.35600000000000026</c:v>
                </c:pt>
                <c:pt idx="178">
                  <c:v>0.35800000000000026</c:v>
                </c:pt>
                <c:pt idx="179">
                  <c:v>0.36000000000000026</c:v>
                </c:pt>
                <c:pt idx="180">
                  <c:v>0.36200000000000027</c:v>
                </c:pt>
                <c:pt idx="181">
                  <c:v>0.36400000000000027</c:v>
                </c:pt>
                <c:pt idx="182">
                  <c:v>0.36600000000000027</c:v>
                </c:pt>
                <c:pt idx="183">
                  <c:v>0.36800000000000027</c:v>
                </c:pt>
                <c:pt idx="184">
                  <c:v>0.37000000000000027</c:v>
                </c:pt>
                <c:pt idx="185">
                  <c:v>0.37200000000000027</c:v>
                </c:pt>
                <c:pt idx="186">
                  <c:v>0.37400000000000028</c:v>
                </c:pt>
                <c:pt idx="187">
                  <c:v>0.37600000000000028</c:v>
                </c:pt>
                <c:pt idx="188">
                  <c:v>0.37800000000000028</c:v>
                </c:pt>
                <c:pt idx="189">
                  <c:v>0.38000000000000028</c:v>
                </c:pt>
                <c:pt idx="190">
                  <c:v>0.38200000000000028</c:v>
                </c:pt>
                <c:pt idx="191">
                  <c:v>0.38400000000000029</c:v>
                </c:pt>
                <c:pt idx="192">
                  <c:v>0.38600000000000029</c:v>
                </c:pt>
                <c:pt idx="193">
                  <c:v>0.38800000000000029</c:v>
                </c:pt>
                <c:pt idx="194">
                  <c:v>0.39000000000000029</c:v>
                </c:pt>
                <c:pt idx="195">
                  <c:v>0.39200000000000029</c:v>
                </c:pt>
                <c:pt idx="196">
                  <c:v>0.39400000000000029</c:v>
                </c:pt>
                <c:pt idx="197">
                  <c:v>0.3960000000000003</c:v>
                </c:pt>
                <c:pt idx="198">
                  <c:v>0.3980000000000003</c:v>
                </c:pt>
                <c:pt idx="199">
                  <c:v>0.4000000000000003</c:v>
                </c:pt>
                <c:pt idx="200">
                  <c:v>0.4020000000000003</c:v>
                </c:pt>
                <c:pt idx="201">
                  <c:v>0.4040000000000003</c:v>
                </c:pt>
                <c:pt idx="202">
                  <c:v>0.40600000000000031</c:v>
                </c:pt>
                <c:pt idx="203">
                  <c:v>0.40800000000000031</c:v>
                </c:pt>
                <c:pt idx="204">
                  <c:v>0.41000000000000031</c:v>
                </c:pt>
                <c:pt idx="205">
                  <c:v>0.41200000000000031</c:v>
                </c:pt>
                <c:pt idx="206">
                  <c:v>0.41400000000000031</c:v>
                </c:pt>
                <c:pt idx="207">
                  <c:v>0.41600000000000031</c:v>
                </c:pt>
                <c:pt idx="208">
                  <c:v>0.41800000000000032</c:v>
                </c:pt>
                <c:pt idx="209">
                  <c:v>0.42000000000000032</c:v>
                </c:pt>
                <c:pt idx="210">
                  <c:v>0.42200000000000032</c:v>
                </c:pt>
                <c:pt idx="211">
                  <c:v>0.42400000000000032</c:v>
                </c:pt>
                <c:pt idx="212">
                  <c:v>0.42600000000000032</c:v>
                </c:pt>
                <c:pt idx="213">
                  <c:v>0.42800000000000032</c:v>
                </c:pt>
                <c:pt idx="214">
                  <c:v>0.43000000000000033</c:v>
                </c:pt>
                <c:pt idx="215">
                  <c:v>0.43200000000000033</c:v>
                </c:pt>
                <c:pt idx="216">
                  <c:v>0.43400000000000033</c:v>
                </c:pt>
                <c:pt idx="217">
                  <c:v>0.43600000000000033</c:v>
                </c:pt>
                <c:pt idx="218">
                  <c:v>0.43800000000000033</c:v>
                </c:pt>
                <c:pt idx="219">
                  <c:v>0.44000000000000034</c:v>
                </c:pt>
                <c:pt idx="220">
                  <c:v>0.44200000000000034</c:v>
                </c:pt>
                <c:pt idx="221">
                  <c:v>0.44400000000000034</c:v>
                </c:pt>
                <c:pt idx="222">
                  <c:v>0.44600000000000034</c:v>
                </c:pt>
                <c:pt idx="223">
                  <c:v>0.44800000000000034</c:v>
                </c:pt>
                <c:pt idx="224">
                  <c:v>0.45000000000000034</c:v>
                </c:pt>
                <c:pt idx="225">
                  <c:v>0.45200000000000035</c:v>
                </c:pt>
                <c:pt idx="226">
                  <c:v>0.45400000000000035</c:v>
                </c:pt>
                <c:pt idx="227">
                  <c:v>0.45600000000000035</c:v>
                </c:pt>
                <c:pt idx="228">
                  <c:v>0.45800000000000035</c:v>
                </c:pt>
                <c:pt idx="229">
                  <c:v>0.46000000000000035</c:v>
                </c:pt>
                <c:pt idx="230">
                  <c:v>0.46200000000000035</c:v>
                </c:pt>
                <c:pt idx="231">
                  <c:v>0.46400000000000036</c:v>
                </c:pt>
                <c:pt idx="232">
                  <c:v>0.46600000000000036</c:v>
                </c:pt>
                <c:pt idx="233">
                  <c:v>0.46800000000000036</c:v>
                </c:pt>
                <c:pt idx="234">
                  <c:v>0.47000000000000036</c:v>
                </c:pt>
                <c:pt idx="235">
                  <c:v>0.47200000000000036</c:v>
                </c:pt>
                <c:pt idx="236">
                  <c:v>0.47400000000000037</c:v>
                </c:pt>
                <c:pt idx="237">
                  <c:v>0.47600000000000037</c:v>
                </c:pt>
                <c:pt idx="238">
                  <c:v>0.47800000000000037</c:v>
                </c:pt>
                <c:pt idx="239">
                  <c:v>0.48000000000000037</c:v>
                </c:pt>
                <c:pt idx="240">
                  <c:v>0.48200000000000037</c:v>
                </c:pt>
                <c:pt idx="241">
                  <c:v>0.48400000000000037</c:v>
                </c:pt>
                <c:pt idx="242">
                  <c:v>0.48600000000000038</c:v>
                </c:pt>
                <c:pt idx="243">
                  <c:v>0.48800000000000038</c:v>
                </c:pt>
                <c:pt idx="244">
                  <c:v>0.49000000000000038</c:v>
                </c:pt>
                <c:pt idx="245">
                  <c:v>0.49200000000000038</c:v>
                </c:pt>
                <c:pt idx="246">
                  <c:v>0.49400000000000038</c:v>
                </c:pt>
                <c:pt idx="247">
                  <c:v>0.49600000000000039</c:v>
                </c:pt>
                <c:pt idx="248">
                  <c:v>0.49800000000000039</c:v>
                </c:pt>
                <c:pt idx="249">
                  <c:v>0.50000000000000033</c:v>
                </c:pt>
                <c:pt idx="250">
                  <c:v>0.50200000000000033</c:v>
                </c:pt>
                <c:pt idx="251">
                  <c:v>0.50400000000000034</c:v>
                </c:pt>
                <c:pt idx="252">
                  <c:v>0.50600000000000034</c:v>
                </c:pt>
                <c:pt idx="253">
                  <c:v>0.50800000000000034</c:v>
                </c:pt>
                <c:pt idx="254">
                  <c:v>0.51000000000000034</c:v>
                </c:pt>
                <c:pt idx="255">
                  <c:v>0.51200000000000034</c:v>
                </c:pt>
                <c:pt idx="256">
                  <c:v>0.51400000000000035</c:v>
                </c:pt>
                <c:pt idx="257">
                  <c:v>0.51600000000000035</c:v>
                </c:pt>
                <c:pt idx="258">
                  <c:v>0.51800000000000035</c:v>
                </c:pt>
                <c:pt idx="259">
                  <c:v>0.52000000000000035</c:v>
                </c:pt>
                <c:pt idx="260">
                  <c:v>0.52200000000000035</c:v>
                </c:pt>
                <c:pt idx="261">
                  <c:v>0.52400000000000035</c:v>
                </c:pt>
                <c:pt idx="262">
                  <c:v>0.52600000000000036</c:v>
                </c:pt>
                <c:pt idx="263">
                  <c:v>0.52800000000000036</c:v>
                </c:pt>
                <c:pt idx="264">
                  <c:v>0.53000000000000036</c:v>
                </c:pt>
                <c:pt idx="265">
                  <c:v>0.53200000000000036</c:v>
                </c:pt>
                <c:pt idx="266">
                  <c:v>0.53400000000000036</c:v>
                </c:pt>
                <c:pt idx="267">
                  <c:v>0.53600000000000037</c:v>
                </c:pt>
                <c:pt idx="268">
                  <c:v>0.53800000000000037</c:v>
                </c:pt>
                <c:pt idx="269">
                  <c:v>0.54000000000000037</c:v>
                </c:pt>
                <c:pt idx="270">
                  <c:v>0.54200000000000037</c:v>
                </c:pt>
                <c:pt idx="271">
                  <c:v>0.54400000000000037</c:v>
                </c:pt>
                <c:pt idx="272">
                  <c:v>0.54600000000000037</c:v>
                </c:pt>
                <c:pt idx="273">
                  <c:v>0.54800000000000038</c:v>
                </c:pt>
                <c:pt idx="274">
                  <c:v>0.55000000000000038</c:v>
                </c:pt>
                <c:pt idx="275">
                  <c:v>0.55200000000000038</c:v>
                </c:pt>
                <c:pt idx="276">
                  <c:v>0.55400000000000038</c:v>
                </c:pt>
                <c:pt idx="277">
                  <c:v>0.55600000000000038</c:v>
                </c:pt>
                <c:pt idx="278">
                  <c:v>0.55800000000000038</c:v>
                </c:pt>
                <c:pt idx="279">
                  <c:v>0.56000000000000039</c:v>
                </c:pt>
                <c:pt idx="280">
                  <c:v>0.56200000000000039</c:v>
                </c:pt>
                <c:pt idx="281">
                  <c:v>0.56400000000000039</c:v>
                </c:pt>
                <c:pt idx="282">
                  <c:v>0.56600000000000039</c:v>
                </c:pt>
                <c:pt idx="283">
                  <c:v>0.56800000000000039</c:v>
                </c:pt>
                <c:pt idx="284">
                  <c:v>0.5700000000000004</c:v>
                </c:pt>
                <c:pt idx="285">
                  <c:v>0.5720000000000004</c:v>
                </c:pt>
                <c:pt idx="286">
                  <c:v>0.5740000000000004</c:v>
                </c:pt>
                <c:pt idx="287">
                  <c:v>0.5760000000000004</c:v>
                </c:pt>
                <c:pt idx="288">
                  <c:v>0.5780000000000004</c:v>
                </c:pt>
                <c:pt idx="289">
                  <c:v>0.5800000000000004</c:v>
                </c:pt>
                <c:pt idx="290">
                  <c:v>0.58200000000000041</c:v>
                </c:pt>
                <c:pt idx="291">
                  <c:v>0.58400000000000041</c:v>
                </c:pt>
                <c:pt idx="292">
                  <c:v>0.58600000000000041</c:v>
                </c:pt>
                <c:pt idx="293">
                  <c:v>0.58800000000000041</c:v>
                </c:pt>
                <c:pt idx="294">
                  <c:v>0.59000000000000041</c:v>
                </c:pt>
                <c:pt idx="295">
                  <c:v>0.59200000000000041</c:v>
                </c:pt>
                <c:pt idx="296">
                  <c:v>0.59400000000000042</c:v>
                </c:pt>
                <c:pt idx="297">
                  <c:v>0.59600000000000042</c:v>
                </c:pt>
                <c:pt idx="298">
                  <c:v>0.59800000000000042</c:v>
                </c:pt>
                <c:pt idx="299">
                  <c:v>0.60000000000000042</c:v>
                </c:pt>
                <c:pt idx="300">
                  <c:v>0.60200000000000042</c:v>
                </c:pt>
                <c:pt idx="301">
                  <c:v>0.60400000000000043</c:v>
                </c:pt>
                <c:pt idx="302">
                  <c:v>0.60600000000000043</c:v>
                </c:pt>
                <c:pt idx="303">
                  <c:v>0.60800000000000043</c:v>
                </c:pt>
                <c:pt idx="304">
                  <c:v>0.61000000000000043</c:v>
                </c:pt>
                <c:pt idx="305">
                  <c:v>0.61200000000000043</c:v>
                </c:pt>
                <c:pt idx="306">
                  <c:v>0.61400000000000043</c:v>
                </c:pt>
                <c:pt idx="307">
                  <c:v>0.61600000000000044</c:v>
                </c:pt>
                <c:pt idx="308">
                  <c:v>0.61800000000000044</c:v>
                </c:pt>
                <c:pt idx="309">
                  <c:v>0.62000000000000044</c:v>
                </c:pt>
                <c:pt idx="310">
                  <c:v>0.62200000000000044</c:v>
                </c:pt>
                <c:pt idx="311">
                  <c:v>0.62400000000000044</c:v>
                </c:pt>
                <c:pt idx="312">
                  <c:v>0.62600000000000044</c:v>
                </c:pt>
                <c:pt idx="313">
                  <c:v>0.62800000000000045</c:v>
                </c:pt>
                <c:pt idx="314">
                  <c:v>0.63000000000000045</c:v>
                </c:pt>
                <c:pt idx="315">
                  <c:v>0.63200000000000045</c:v>
                </c:pt>
                <c:pt idx="316">
                  <c:v>0.63400000000000045</c:v>
                </c:pt>
                <c:pt idx="317">
                  <c:v>0.63600000000000045</c:v>
                </c:pt>
                <c:pt idx="318">
                  <c:v>0.63800000000000046</c:v>
                </c:pt>
                <c:pt idx="319">
                  <c:v>0.64000000000000046</c:v>
                </c:pt>
                <c:pt idx="320">
                  <c:v>0.64200000000000046</c:v>
                </c:pt>
                <c:pt idx="321">
                  <c:v>0.64400000000000046</c:v>
                </c:pt>
                <c:pt idx="322">
                  <c:v>0.64600000000000046</c:v>
                </c:pt>
                <c:pt idx="323">
                  <c:v>0.64800000000000046</c:v>
                </c:pt>
                <c:pt idx="324">
                  <c:v>0.65000000000000047</c:v>
                </c:pt>
                <c:pt idx="325">
                  <c:v>0.65200000000000047</c:v>
                </c:pt>
                <c:pt idx="326">
                  <c:v>0.65400000000000047</c:v>
                </c:pt>
                <c:pt idx="327">
                  <c:v>0.65600000000000047</c:v>
                </c:pt>
                <c:pt idx="328">
                  <c:v>0.65800000000000047</c:v>
                </c:pt>
                <c:pt idx="329">
                  <c:v>0.66000000000000048</c:v>
                </c:pt>
                <c:pt idx="330">
                  <c:v>0.66200000000000048</c:v>
                </c:pt>
                <c:pt idx="331">
                  <c:v>0.66400000000000048</c:v>
                </c:pt>
                <c:pt idx="332">
                  <c:v>0.66600000000000048</c:v>
                </c:pt>
                <c:pt idx="333">
                  <c:v>0.66800000000000048</c:v>
                </c:pt>
                <c:pt idx="334">
                  <c:v>0.67000000000000048</c:v>
                </c:pt>
                <c:pt idx="335">
                  <c:v>0.67200000000000049</c:v>
                </c:pt>
                <c:pt idx="336">
                  <c:v>0.67400000000000049</c:v>
                </c:pt>
                <c:pt idx="337">
                  <c:v>0.67600000000000049</c:v>
                </c:pt>
                <c:pt idx="338">
                  <c:v>0.67800000000000049</c:v>
                </c:pt>
                <c:pt idx="339">
                  <c:v>0.68000000000000049</c:v>
                </c:pt>
                <c:pt idx="340">
                  <c:v>0.68200000000000049</c:v>
                </c:pt>
                <c:pt idx="341">
                  <c:v>0.6840000000000005</c:v>
                </c:pt>
                <c:pt idx="342">
                  <c:v>0.6860000000000005</c:v>
                </c:pt>
                <c:pt idx="343">
                  <c:v>0.6880000000000005</c:v>
                </c:pt>
                <c:pt idx="344">
                  <c:v>0.6900000000000005</c:v>
                </c:pt>
                <c:pt idx="345">
                  <c:v>0.6920000000000005</c:v>
                </c:pt>
                <c:pt idx="346">
                  <c:v>0.69400000000000051</c:v>
                </c:pt>
                <c:pt idx="347">
                  <c:v>0.69600000000000051</c:v>
                </c:pt>
                <c:pt idx="348">
                  <c:v>0.69800000000000051</c:v>
                </c:pt>
                <c:pt idx="349">
                  <c:v>0.70000000000000051</c:v>
                </c:pt>
                <c:pt idx="350">
                  <c:v>0.70200000000000051</c:v>
                </c:pt>
                <c:pt idx="351">
                  <c:v>0.70400000000000051</c:v>
                </c:pt>
                <c:pt idx="352">
                  <c:v>0.70600000000000052</c:v>
                </c:pt>
                <c:pt idx="353">
                  <c:v>0.70800000000000052</c:v>
                </c:pt>
                <c:pt idx="354">
                  <c:v>0.71000000000000052</c:v>
                </c:pt>
                <c:pt idx="355">
                  <c:v>0.71200000000000052</c:v>
                </c:pt>
                <c:pt idx="356">
                  <c:v>0.71400000000000052</c:v>
                </c:pt>
                <c:pt idx="357">
                  <c:v>0.71600000000000052</c:v>
                </c:pt>
                <c:pt idx="358">
                  <c:v>0.71800000000000053</c:v>
                </c:pt>
                <c:pt idx="359">
                  <c:v>0.72000000000000053</c:v>
                </c:pt>
                <c:pt idx="360">
                  <c:v>0.72200000000000053</c:v>
                </c:pt>
                <c:pt idx="361">
                  <c:v>0.72400000000000053</c:v>
                </c:pt>
                <c:pt idx="362">
                  <c:v>0.72600000000000053</c:v>
                </c:pt>
                <c:pt idx="363">
                  <c:v>0.72800000000000054</c:v>
                </c:pt>
                <c:pt idx="364">
                  <c:v>0.73000000000000054</c:v>
                </c:pt>
                <c:pt idx="365">
                  <c:v>0.73200000000000054</c:v>
                </c:pt>
                <c:pt idx="366">
                  <c:v>0.73400000000000054</c:v>
                </c:pt>
                <c:pt idx="367">
                  <c:v>0.73600000000000054</c:v>
                </c:pt>
                <c:pt idx="368">
                  <c:v>0.73800000000000054</c:v>
                </c:pt>
                <c:pt idx="369">
                  <c:v>0.74000000000000055</c:v>
                </c:pt>
                <c:pt idx="370">
                  <c:v>0.74200000000000055</c:v>
                </c:pt>
                <c:pt idx="371">
                  <c:v>0.74400000000000055</c:v>
                </c:pt>
                <c:pt idx="372">
                  <c:v>0.74600000000000055</c:v>
                </c:pt>
                <c:pt idx="373">
                  <c:v>0.74800000000000055</c:v>
                </c:pt>
                <c:pt idx="374">
                  <c:v>0.75000000000000056</c:v>
                </c:pt>
                <c:pt idx="375">
                  <c:v>0.75200000000000056</c:v>
                </c:pt>
                <c:pt idx="376">
                  <c:v>0.75400000000000056</c:v>
                </c:pt>
                <c:pt idx="377">
                  <c:v>0.75600000000000056</c:v>
                </c:pt>
                <c:pt idx="378">
                  <c:v>0.75800000000000056</c:v>
                </c:pt>
                <c:pt idx="379">
                  <c:v>0.76000000000000056</c:v>
                </c:pt>
                <c:pt idx="380">
                  <c:v>0.76200000000000057</c:v>
                </c:pt>
                <c:pt idx="381">
                  <c:v>0.76400000000000057</c:v>
                </c:pt>
                <c:pt idx="382">
                  <c:v>0.76600000000000057</c:v>
                </c:pt>
                <c:pt idx="383">
                  <c:v>0.76800000000000057</c:v>
                </c:pt>
                <c:pt idx="384">
                  <c:v>0.77000000000000057</c:v>
                </c:pt>
                <c:pt idx="385">
                  <c:v>0.77200000000000057</c:v>
                </c:pt>
                <c:pt idx="386">
                  <c:v>0.77400000000000058</c:v>
                </c:pt>
                <c:pt idx="387">
                  <c:v>0.77600000000000058</c:v>
                </c:pt>
                <c:pt idx="388">
                  <c:v>0.77800000000000058</c:v>
                </c:pt>
                <c:pt idx="389">
                  <c:v>0.78000000000000058</c:v>
                </c:pt>
                <c:pt idx="390">
                  <c:v>0.78200000000000058</c:v>
                </c:pt>
                <c:pt idx="391">
                  <c:v>0.78400000000000059</c:v>
                </c:pt>
                <c:pt idx="392">
                  <c:v>0.78600000000000059</c:v>
                </c:pt>
                <c:pt idx="393">
                  <c:v>0.78800000000000059</c:v>
                </c:pt>
                <c:pt idx="394">
                  <c:v>0.79000000000000059</c:v>
                </c:pt>
                <c:pt idx="395">
                  <c:v>0.79200000000000059</c:v>
                </c:pt>
                <c:pt idx="396">
                  <c:v>0.79400000000000059</c:v>
                </c:pt>
                <c:pt idx="397">
                  <c:v>0.7960000000000006</c:v>
                </c:pt>
                <c:pt idx="398">
                  <c:v>0.7980000000000006</c:v>
                </c:pt>
                <c:pt idx="399">
                  <c:v>0.8000000000000006</c:v>
                </c:pt>
                <c:pt idx="400">
                  <c:v>0.8020000000000006</c:v>
                </c:pt>
                <c:pt idx="401">
                  <c:v>0.8040000000000006</c:v>
                </c:pt>
                <c:pt idx="402">
                  <c:v>0.8060000000000006</c:v>
                </c:pt>
                <c:pt idx="403">
                  <c:v>0.80800000000000061</c:v>
                </c:pt>
                <c:pt idx="404">
                  <c:v>0.81000000000000061</c:v>
                </c:pt>
                <c:pt idx="405">
                  <c:v>0.81200000000000061</c:v>
                </c:pt>
                <c:pt idx="406">
                  <c:v>0.81400000000000061</c:v>
                </c:pt>
                <c:pt idx="407">
                  <c:v>0.81600000000000061</c:v>
                </c:pt>
                <c:pt idx="408">
                  <c:v>0.81800000000000062</c:v>
                </c:pt>
                <c:pt idx="409">
                  <c:v>0.82000000000000062</c:v>
                </c:pt>
                <c:pt idx="410">
                  <c:v>0.82200000000000062</c:v>
                </c:pt>
                <c:pt idx="411">
                  <c:v>0.82400000000000062</c:v>
                </c:pt>
                <c:pt idx="412">
                  <c:v>0.82600000000000062</c:v>
                </c:pt>
                <c:pt idx="413">
                  <c:v>0.82800000000000062</c:v>
                </c:pt>
                <c:pt idx="414">
                  <c:v>0.83000000000000063</c:v>
                </c:pt>
                <c:pt idx="415">
                  <c:v>0.83200000000000063</c:v>
                </c:pt>
                <c:pt idx="416">
                  <c:v>0.83400000000000063</c:v>
                </c:pt>
                <c:pt idx="417">
                  <c:v>0.83600000000000063</c:v>
                </c:pt>
                <c:pt idx="418">
                  <c:v>0.83800000000000063</c:v>
                </c:pt>
                <c:pt idx="419">
                  <c:v>0.84000000000000064</c:v>
                </c:pt>
                <c:pt idx="420">
                  <c:v>0.84200000000000064</c:v>
                </c:pt>
                <c:pt idx="421">
                  <c:v>0.84400000000000064</c:v>
                </c:pt>
                <c:pt idx="422">
                  <c:v>0.84600000000000064</c:v>
                </c:pt>
                <c:pt idx="423">
                  <c:v>0.84800000000000064</c:v>
                </c:pt>
                <c:pt idx="424">
                  <c:v>0.85000000000000064</c:v>
                </c:pt>
                <c:pt idx="425">
                  <c:v>0.85200000000000065</c:v>
                </c:pt>
                <c:pt idx="426">
                  <c:v>0.85400000000000065</c:v>
                </c:pt>
                <c:pt idx="427">
                  <c:v>0.85600000000000065</c:v>
                </c:pt>
                <c:pt idx="428">
                  <c:v>0.85800000000000065</c:v>
                </c:pt>
                <c:pt idx="429">
                  <c:v>0.86000000000000065</c:v>
                </c:pt>
                <c:pt idx="430">
                  <c:v>0.86200000000000065</c:v>
                </c:pt>
                <c:pt idx="431">
                  <c:v>0.86400000000000066</c:v>
                </c:pt>
                <c:pt idx="432">
                  <c:v>0.86600000000000066</c:v>
                </c:pt>
                <c:pt idx="433">
                  <c:v>0.86800000000000066</c:v>
                </c:pt>
                <c:pt idx="434">
                  <c:v>0.87000000000000066</c:v>
                </c:pt>
                <c:pt idx="435">
                  <c:v>0.87200000000000066</c:v>
                </c:pt>
                <c:pt idx="436">
                  <c:v>0.87400000000000067</c:v>
                </c:pt>
                <c:pt idx="437">
                  <c:v>0.87600000000000067</c:v>
                </c:pt>
                <c:pt idx="438">
                  <c:v>0.87800000000000067</c:v>
                </c:pt>
                <c:pt idx="439">
                  <c:v>0.88000000000000067</c:v>
                </c:pt>
                <c:pt idx="440">
                  <c:v>0.88200000000000067</c:v>
                </c:pt>
                <c:pt idx="441">
                  <c:v>0.88400000000000067</c:v>
                </c:pt>
                <c:pt idx="442">
                  <c:v>0.88600000000000068</c:v>
                </c:pt>
                <c:pt idx="443">
                  <c:v>0.88800000000000068</c:v>
                </c:pt>
                <c:pt idx="444">
                  <c:v>0.89000000000000068</c:v>
                </c:pt>
                <c:pt idx="445">
                  <c:v>0.89200000000000068</c:v>
                </c:pt>
                <c:pt idx="446">
                  <c:v>0.89400000000000068</c:v>
                </c:pt>
                <c:pt idx="447">
                  <c:v>0.89600000000000068</c:v>
                </c:pt>
                <c:pt idx="448">
                  <c:v>0.89800000000000069</c:v>
                </c:pt>
                <c:pt idx="449">
                  <c:v>0.90000000000000069</c:v>
                </c:pt>
                <c:pt idx="450">
                  <c:v>0.90200000000000069</c:v>
                </c:pt>
                <c:pt idx="451">
                  <c:v>0.90400000000000069</c:v>
                </c:pt>
                <c:pt idx="452">
                  <c:v>0.90600000000000069</c:v>
                </c:pt>
                <c:pt idx="453">
                  <c:v>0.9080000000000007</c:v>
                </c:pt>
                <c:pt idx="454">
                  <c:v>0.9100000000000007</c:v>
                </c:pt>
                <c:pt idx="455">
                  <c:v>0.9120000000000007</c:v>
                </c:pt>
                <c:pt idx="456">
                  <c:v>0.9140000000000007</c:v>
                </c:pt>
                <c:pt idx="457">
                  <c:v>0.9160000000000007</c:v>
                </c:pt>
                <c:pt idx="458">
                  <c:v>0.9180000000000007</c:v>
                </c:pt>
                <c:pt idx="459">
                  <c:v>0.92000000000000071</c:v>
                </c:pt>
                <c:pt idx="460">
                  <c:v>0.92200000000000071</c:v>
                </c:pt>
                <c:pt idx="461">
                  <c:v>0.92400000000000071</c:v>
                </c:pt>
                <c:pt idx="462">
                  <c:v>0.92600000000000071</c:v>
                </c:pt>
                <c:pt idx="463">
                  <c:v>0.92800000000000071</c:v>
                </c:pt>
                <c:pt idx="464">
                  <c:v>0.93000000000000071</c:v>
                </c:pt>
                <c:pt idx="465">
                  <c:v>0.93200000000000072</c:v>
                </c:pt>
                <c:pt idx="466">
                  <c:v>0.93400000000000072</c:v>
                </c:pt>
                <c:pt idx="467">
                  <c:v>0.93600000000000072</c:v>
                </c:pt>
                <c:pt idx="468">
                  <c:v>0.93800000000000072</c:v>
                </c:pt>
                <c:pt idx="469">
                  <c:v>0.94000000000000072</c:v>
                </c:pt>
                <c:pt idx="470">
                  <c:v>0.94200000000000073</c:v>
                </c:pt>
                <c:pt idx="471">
                  <c:v>0.94400000000000073</c:v>
                </c:pt>
                <c:pt idx="472">
                  <c:v>0.94600000000000073</c:v>
                </c:pt>
                <c:pt idx="473">
                  <c:v>0.94800000000000073</c:v>
                </c:pt>
                <c:pt idx="474">
                  <c:v>0.95000000000000073</c:v>
                </c:pt>
                <c:pt idx="475">
                  <c:v>0.95200000000000073</c:v>
                </c:pt>
                <c:pt idx="476">
                  <c:v>0.95400000000000074</c:v>
                </c:pt>
                <c:pt idx="477">
                  <c:v>0.95600000000000074</c:v>
                </c:pt>
                <c:pt idx="478">
                  <c:v>0.95800000000000074</c:v>
                </c:pt>
                <c:pt idx="479">
                  <c:v>0.96000000000000074</c:v>
                </c:pt>
                <c:pt idx="480">
                  <c:v>0.96200000000000074</c:v>
                </c:pt>
                <c:pt idx="481">
                  <c:v>0.96400000000000075</c:v>
                </c:pt>
                <c:pt idx="482">
                  <c:v>0.96600000000000075</c:v>
                </c:pt>
                <c:pt idx="483">
                  <c:v>0.96800000000000075</c:v>
                </c:pt>
                <c:pt idx="484">
                  <c:v>0.97000000000000075</c:v>
                </c:pt>
                <c:pt idx="485">
                  <c:v>0.97200000000000075</c:v>
                </c:pt>
                <c:pt idx="486">
                  <c:v>0.97400000000000075</c:v>
                </c:pt>
                <c:pt idx="487">
                  <c:v>0.97600000000000076</c:v>
                </c:pt>
                <c:pt idx="488">
                  <c:v>0.97800000000000076</c:v>
                </c:pt>
                <c:pt idx="489">
                  <c:v>0.98000000000000076</c:v>
                </c:pt>
                <c:pt idx="490">
                  <c:v>0.98200000000000076</c:v>
                </c:pt>
                <c:pt idx="491">
                  <c:v>0.98400000000000076</c:v>
                </c:pt>
                <c:pt idx="492">
                  <c:v>0.98600000000000076</c:v>
                </c:pt>
                <c:pt idx="493">
                  <c:v>0.98800000000000077</c:v>
                </c:pt>
                <c:pt idx="494">
                  <c:v>0.99000000000000077</c:v>
                </c:pt>
                <c:pt idx="495">
                  <c:v>0.99200000000000077</c:v>
                </c:pt>
                <c:pt idx="496">
                  <c:v>0.99400000000000077</c:v>
                </c:pt>
                <c:pt idx="497">
                  <c:v>0.99600000000000077</c:v>
                </c:pt>
                <c:pt idx="498">
                  <c:v>0.99800000000000078</c:v>
                </c:pt>
                <c:pt idx="499">
                  <c:v>1.0000000000000007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0-4970-8B97-EB26E78F03F1}"/>
            </c:ext>
          </c:extLst>
        </c:ser>
        <c:ser>
          <c:idx val="1"/>
          <c:order val="1"/>
          <c:tx>
            <c:v>pea</c:v>
          </c:tx>
          <c:spPr>
            <a:solidFill>
              <a:schemeClr val="accent2"/>
            </a:solidFill>
            <a:ln w="25400">
              <a:noFill/>
            </a:ln>
            <a:effectLst/>
            <a:sp3d/>
          </c:spPr>
          <c:val>
            <c:numRef>
              <c:f>expo!$N$5:$N$504</c:f>
              <c:numCache>
                <c:formatCode>General</c:formatCode>
                <c:ptCount val="500"/>
                <c:pt idx="0">
                  <c:v>0.43675540673019708</c:v>
                </c:pt>
                <c:pt idx="1">
                  <c:v>0.45563689939258911</c:v>
                </c:pt>
                <c:pt idx="2">
                  <c:v>0.4826752477921018</c:v>
                </c:pt>
                <c:pt idx="3">
                  <c:v>0.49436986271635064</c:v>
                </c:pt>
                <c:pt idx="4">
                  <c:v>0.50480788116066955</c:v>
                </c:pt>
                <c:pt idx="5">
                  <c:v>0.50915883969089171</c:v>
                </c:pt>
                <c:pt idx="6">
                  <c:v>0.5128857082811904</c:v>
                </c:pt>
                <c:pt idx="7">
                  <c:v>0.51948435669640525</c:v>
                </c:pt>
                <c:pt idx="8">
                  <c:v>0.51967707542880304</c:v>
                </c:pt>
                <c:pt idx="9">
                  <c:v>0.51967707542880304</c:v>
                </c:pt>
                <c:pt idx="10">
                  <c:v>0.52160001674699541</c:v>
                </c:pt>
                <c:pt idx="11">
                  <c:v>0.52485136573913493</c:v>
                </c:pt>
                <c:pt idx="12">
                  <c:v>0.53185165048875227</c:v>
                </c:pt>
                <c:pt idx="13">
                  <c:v>0.53203940911378189</c:v>
                </c:pt>
                <c:pt idx="14">
                  <c:v>0.53856373459006368</c:v>
                </c:pt>
                <c:pt idx="15">
                  <c:v>0.53985764335710673</c:v>
                </c:pt>
                <c:pt idx="16">
                  <c:v>0.54169979309549166</c:v>
                </c:pt>
                <c:pt idx="17">
                  <c:v>0.5424345863556147</c:v>
                </c:pt>
                <c:pt idx="18">
                  <c:v>0.54261810051948323</c:v>
                </c:pt>
                <c:pt idx="19">
                  <c:v>0.54463190511893633</c:v>
                </c:pt>
                <c:pt idx="20">
                  <c:v>0.54953736892348182</c:v>
                </c:pt>
                <c:pt idx="21">
                  <c:v>0.55043997200355088</c:v>
                </c:pt>
                <c:pt idx="22">
                  <c:v>0.55152070870884273</c:v>
                </c:pt>
                <c:pt idx="23">
                  <c:v>0.55170057873332323</c:v>
                </c:pt>
                <c:pt idx="24">
                  <c:v>0.55652989508056694</c:v>
                </c:pt>
                <c:pt idx="25">
                  <c:v>0.55724091122075559</c:v>
                </c:pt>
                <c:pt idx="26">
                  <c:v>0.55777342511860373</c:v>
                </c:pt>
                <c:pt idx="27">
                  <c:v>0.55777342511860373</c:v>
                </c:pt>
                <c:pt idx="28">
                  <c:v>0.55901346818663211</c:v>
                </c:pt>
                <c:pt idx="29">
                  <c:v>0.55936712711119418</c:v>
                </c:pt>
                <c:pt idx="30">
                  <c:v>0.55936712711119418</c:v>
                </c:pt>
                <c:pt idx="31">
                  <c:v>0.56042640304684943</c:v>
                </c:pt>
                <c:pt idx="32">
                  <c:v>0.56113117191123829</c:v>
                </c:pt>
                <c:pt idx="33">
                  <c:v>0.56113117191123829</c:v>
                </c:pt>
                <c:pt idx="34">
                  <c:v>0.56130718750077579</c:v>
                </c:pt>
                <c:pt idx="35">
                  <c:v>0.56201054420241492</c:v>
                </c:pt>
                <c:pt idx="36">
                  <c:v>0.56306346539632279</c:v>
                </c:pt>
                <c:pt idx="37">
                  <c:v>0.56411385538080094</c:v>
                </c:pt>
                <c:pt idx="38">
                  <c:v>0.56463810307163698</c:v>
                </c:pt>
                <c:pt idx="39">
                  <c:v>0.56533611931242844</c:v>
                </c:pt>
                <c:pt idx="40">
                  <c:v>0.56533611931242844</c:v>
                </c:pt>
                <c:pt idx="41">
                  <c:v>0.56672879619753735</c:v>
                </c:pt>
                <c:pt idx="42">
                  <c:v>0.56707626764377483</c:v>
                </c:pt>
                <c:pt idx="43">
                  <c:v>0.56724989885451116</c:v>
                </c:pt>
                <c:pt idx="44">
                  <c:v>0.56794372760005563</c:v>
                </c:pt>
                <c:pt idx="45">
                  <c:v>0.56967343654268787</c:v>
                </c:pt>
                <c:pt idx="46">
                  <c:v>0.5700185464693267</c:v>
                </c:pt>
                <c:pt idx="47">
                  <c:v>0.571739949010729</c:v>
                </c:pt>
                <c:pt idx="48">
                  <c:v>0.57208340165188543</c:v>
                </c:pt>
                <c:pt idx="49">
                  <c:v>0.57242657885358317</c:v>
                </c:pt>
                <c:pt idx="50">
                  <c:v>0.57311210782200361</c:v>
                </c:pt>
                <c:pt idx="51">
                  <c:v>0.57345446002998479</c:v>
                </c:pt>
                <c:pt idx="52">
                  <c:v>0.57345446002998479</c:v>
                </c:pt>
                <c:pt idx="53">
                  <c:v>0.57447987019284685</c:v>
                </c:pt>
                <c:pt idx="54">
                  <c:v>0.57516210711685101</c:v>
                </c:pt>
                <c:pt idx="55">
                  <c:v>0.57584325020959348</c:v>
                </c:pt>
                <c:pt idx="56">
                  <c:v>0.57584325020959348</c:v>
                </c:pt>
                <c:pt idx="57">
                  <c:v>0.57618341211739543</c:v>
                </c:pt>
                <c:pt idx="58">
                  <c:v>0.57618341211739543</c:v>
                </c:pt>
                <c:pt idx="59">
                  <c:v>0.57652330122481521</c:v>
                </c:pt>
                <c:pt idx="60">
                  <c:v>0.5766931435467566</c:v>
                </c:pt>
                <c:pt idx="61">
                  <c:v>0.57703262386375731</c:v>
                </c:pt>
                <c:pt idx="62">
                  <c:v>0.57720226191344515</c:v>
                </c:pt>
                <c:pt idx="63">
                  <c:v>0.5778801340236055</c:v>
                </c:pt>
                <c:pt idx="64">
                  <c:v>0.57804943216535087</c:v>
                </c:pt>
                <c:pt idx="65">
                  <c:v>0.57855691930061526</c:v>
                </c:pt>
                <c:pt idx="66">
                  <c:v>0.57889490492133566</c:v>
                </c:pt>
                <c:pt idx="67">
                  <c:v>0.57889490492133566</c:v>
                </c:pt>
                <c:pt idx="68">
                  <c:v>0.57906379607245784</c:v>
                </c:pt>
                <c:pt idx="69">
                  <c:v>0.57940137519211521</c:v>
                </c:pt>
                <c:pt idx="70">
                  <c:v>0.5797386835827143</c:v>
                </c:pt>
                <c:pt idx="71">
                  <c:v>0.57990723632247299</c:v>
                </c:pt>
                <c:pt idx="72">
                  <c:v>0.57990723632247299</c:v>
                </c:pt>
                <c:pt idx="73">
                  <c:v>0.58058077154398557</c:v>
                </c:pt>
                <c:pt idx="74">
                  <c:v>0.58192460407894786</c:v>
                </c:pt>
                <c:pt idx="75">
                  <c:v>0.58209228011920033</c:v>
                </c:pt>
                <c:pt idx="76">
                  <c:v>0.58259490485236665</c:v>
                </c:pt>
                <c:pt idx="77">
                  <c:v>0.58276231205742679</c:v>
                </c:pt>
                <c:pt idx="78">
                  <c:v>0.58309692507020472</c:v>
                </c:pt>
                <c:pt idx="79">
                  <c:v>0.58426595876802145</c:v>
                </c:pt>
                <c:pt idx="80">
                  <c:v>0.58443269576931844</c:v>
                </c:pt>
                <c:pt idx="81">
                  <c:v>0.58443269576931844</c:v>
                </c:pt>
                <c:pt idx="82">
                  <c:v>0.58459936589798822</c:v>
                </c:pt>
                <c:pt idx="83">
                  <c:v>0.58493250564471677</c:v>
                </c:pt>
                <c:pt idx="84">
                  <c:v>0.58509897531638377</c:v>
                </c:pt>
                <c:pt idx="85">
                  <c:v>0.58526537822264046</c:v>
                </c:pt>
                <c:pt idx="86">
                  <c:v>0.58609639220960075</c:v>
                </c:pt>
                <c:pt idx="87">
                  <c:v>0.58676000435020881</c:v>
                </c:pt>
                <c:pt idx="88">
                  <c:v>0.58725701513193429</c:v>
                </c:pt>
                <c:pt idx="89">
                  <c:v>0.58725701513193429</c:v>
                </c:pt>
                <c:pt idx="90">
                  <c:v>0.5887444637720084</c:v>
                </c:pt>
                <c:pt idx="91">
                  <c:v>0.58890940459493046</c:v>
                </c:pt>
                <c:pt idx="92">
                  <c:v>0.58956850662947646</c:v>
                </c:pt>
                <c:pt idx="93">
                  <c:v>0.58973311695640496</c:v>
                </c:pt>
                <c:pt idx="94">
                  <c:v>0.59006213957767195</c:v>
                </c:pt>
                <c:pt idx="95">
                  <c:v>0.59039089833195413</c:v>
                </c:pt>
                <c:pt idx="96">
                  <c:v>0.5905551788251121</c:v>
                </c:pt>
                <c:pt idx="97">
                  <c:v>0.59071939343086588</c:v>
                </c:pt>
                <c:pt idx="98">
                  <c:v>0.59088354217564065</c:v>
                </c:pt>
                <c:pt idx="99">
                  <c:v>0.59088354217564065</c:v>
                </c:pt>
                <c:pt idx="100">
                  <c:v>0.59137559350818503</c:v>
                </c:pt>
                <c:pt idx="101">
                  <c:v>0.59137559350818503</c:v>
                </c:pt>
                <c:pt idx="102">
                  <c:v>0.59284819956091206</c:v>
                </c:pt>
                <c:pt idx="103">
                  <c:v>0.59366401966180193</c:v>
                </c:pt>
                <c:pt idx="104">
                  <c:v>0.59366401966180193</c:v>
                </c:pt>
                <c:pt idx="105">
                  <c:v>0.59382698741560902</c:v>
                </c:pt>
                <c:pt idx="106">
                  <c:v>0.59382698741560902</c:v>
                </c:pt>
                <c:pt idx="107">
                  <c:v>0.59398988980850775</c:v>
                </c:pt>
                <c:pt idx="108">
                  <c:v>0.59415272686671217</c:v>
                </c:pt>
                <c:pt idx="109">
                  <c:v>0.59431549861642574</c:v>
                </c:pt>
                <c:pt idx="110">
                  <c:v>0.59431549861642574</c:v>
                </c:pt>
                <c:pt idx="111">
                  <c:v>0.59464084629514247</c:v>
                </c:pt>
                <c:pt idx="112">
                  <c:v>0.59561532464942879</c:v>
                </c:pt>
                <c:pt idx="113">
                  <c:v>0.59593962990384508</c:v>
                </c:pt>
                <c:pt idx="114">
                  <c:v>0.59610168498659266</c:v>
                </c:pt>
                <c:pt idx="115">
                  <c:v>0.59626367507447364</c:v>
                </c:pt>
                <c:pt idx="116">
                  <c:v>0.59739578802170978</c:v>
                </c:pt>
                <c:pt idx="117">
                  <c:v>0.59755725908820212</c:v>
                </c:pt>
                <c:pt idx="118">
                  <c:v>0.59755725908820212</c:v>
                </c:pt>
                <c:pt idx="119">
                  <c:v>0.59788000696524812</c:v>
                </c:pt>
                <c:pt idx="120">
                  <c:v>0.59788000696524812</c:v>
                </c:pt>
                <c:pt idx="121">
                  <c:v>0.59820249600747988</c:v>
                </c:pt>
                <c:pt idx="122">
                  <c:v>0.59820249600747988</c:v>
                </c:pt>
                <c:pt idx="123">
                  <c:v>0.59884669841764704</c:v>
                </c:pt>
                <c:pt idx="124">
                  <c:v>0.59981106595584022</c:v>
                </c:pt>
                <c:pt idx="125">
                  <c:v>0.59997156833523912</c:v>
                </c:pt>
                <c:pt idx="126">
                  <c:v>0.60045268934391949</c:v>
                </c:pt>
                <c:pt idx="127">
                  <c:v>0.6006129343896649</c:v>
                </c:pt>
                <c:pt idx="128">
                  <c:v>0.60141319609993849</c:v>
                </c:pt>
                <c:pt idx="129">
                  <c:v>0.60157305591859078</c:v>
                </c:pt>
                <c:pt idx="130">
                  <c:v>0.60173285162282331</c:v>
                </c:pt>
                <c:pt idx="131">
                  <c:v>0.60221185430609281</c:v>
                </c:pt>
                <c:pt idx="132">
                  <c:v>0.60269028088467602</c:v>
                </c:pt>
                <c:pt idx="133">
                  <c:v>0.60316813205146391</c:v>
                </c:pt>
                <c:pt idx="134">
                  <c:v>0.60364540849851389</c:v>
                </c:pt>
                <c:pt idx="135">
                  <c:v>0.60380437305152812</c:v>
                </c:pt>
                <c:pt idx="136">
                  <c:v>0.60380437305152812</c:v>
                </c:pt>
                <c:pt idx="137">
                  <c:v>0.60412211091705137</c:v>
                </c:pt>
                <c:pt idx="138">
                  <c:v>0.60428088428068993</c:v>
                </c:pt>
                <c:pt idx="139">
                  <c:v>0.60443959396564972</c:v>
                </c:pt>
                <c:pt idx="140">
                  <c:v>0.60475682240167972</c:v>
                </c:pt>
                <c:pt idx="141">
                  <c:v>0.60523218810378454</c:v>
                </c:pt>
                <c:pt idx="142">
                  <c:v>0.6053905162526394</c:v>
                </c:pt>
                <c:pt idx="143">
                  <c:v>0.60554878090137598</c:v>
                </c:pt>
                <c:pt idx="144">
                  <c:v>0.60570698207546214</c:v>
                </c:pt>
                <c:pt idx="145">
                  <c:v>0.60602319410150318</c:v>
                </c:pt>
                <c:pt idx="146">
                  <c:v>0.60602319410150318</c:v>
                </c:pt>
                <c:pt idx="147">
                  <c:v>0.60602319410150318</c:v>
                </c:pt>
                <c:pt idx="148">
                  <c:v>0.60618120500434269</c:v>
                </c:pt>
                <c:pt idx="149">
                  <c:v>0.60633915253430049</c:v>
                </c:pt>
                <c:pt idx="150">
                  <c:v>0.60665485757722881</c:v>
                </c:pt>
                <c:pt idx="151">
                  <c:v>0.60712794048009755</c:v>
                </c:pt>
                <c:pt idx="152">
                  <c:v>0.60712794048009755</c:v>
                </c:pt>
                <c:pt idx="153">
                  <c:v>0.6074430129370475</c:v>
                </c:pt>
                <c:pt idx="154">
                  <c:v>0.60807240001556617</c:v>
                </c:pt>
                <c:pt idx="155">
                  <c:v>0.60822958905053981</c:v>
                </c:pt>
                <c:pt idx="156">
                  <c:v>0.60838671504225572</c:v>
                </c:pt>
                <c:pt idx="157">
                  <c:v>0.60854377801599835</c:v>
                </c:pt>
                <c:pt idx="158">
                  <c:v>0.60854377801599835</c:v>
                </c:pt>
                <c:pt idx="159">
                  <c:v>0.60870077799704236</c:v>
                </c:pt>
                <c:pt idx="160">
                  <c:v>0.60870077799704236</c:v>
                </c:pt>
                <c:pt idx="161">
                  <c:v>0.60870077799704236</c:v>
                </c:pt>
                <c:pt idx="162">
                  <c:v>0.60885771501065156</c:v>
                </c:pt>
                <c:pt idx="163">
                  <c:v>0.60932814849936257</c:v>
                </c:pt>
                <c:pt idx="164">
                  <c:v>0.60932814849936257</c:v>
                </c:pt>
                <c:pt idx="165">
                  <c:v>0.60932814849936257</c:v>
                </c:pt>
                <c:pt idx="166">
                  <c:v>0.60948483389567354</c:v>
                </c:pt>
                <c:pt idx="167">
                  <c:v>0.60964145645071932</c:v>
                </c:pt>
                <c:pt idx="168">
                  <c:v>0.60979801618970364</c:v>
                </c:pt>
                <c:pt idx="169">
                  <c:v>0.60995451313781945</c:v>
                </c:pt>
                <c:pt idx="170">
                  <c:v>0.61026731876216989</c:v>
                </c:pt>
                <c:pt idx="171">
                  <c:v>0.6107360568964384</c:v>
                </c:pt>
                <c:pt idx="172">
                  <c:v>0.61089217762784109</c:v>
                </c:pt>
                <c:pt idx="173">
                  <c:v>0.61120423127136847</c:v>
                </c:pt>
                <c:pt idx="174">
                  <c:v>0.61136016423370831</c:v>
                </c:pt>
                <c:pt idx="175">
                  <c:v>0.61151603465655902</c:v>
                </c:pt>
                <c:pt idx="176">
                  <c:v>0.61182758798411307</c:v>
                </c:pt>
                <c:pt idx="177">
                  <c:v>0.61182758798411307</c:v>
                </c:pt>
                <c:pt idx="178">
                  <c:v>0.61276074962554472</c:v>
                </c:pt>
                <c:pt idx="179">
                  <c:v>0.61291605832049945</c:v>
                </c:pt>
                <c:pt idx="180">
                  <c:v>0.61353667045892513</c:v>
                </c:pt>
                <c:pt idx="181">
                  <c:v>0.61353667045892513</c:v>
                </c:pt>
                <c:pt idx="182">
                  <c:v>0.61400147648821912</c:v>
                </c:pt>
                <c:pt idx="183">
                  <c:v>0.61415628756918039</c:v>
                </c:pt>
                <c:pt idx="184">
                  <c:v>0.61415628756918039</c:v>
                </c:pt>
                <c:pt idx="185">
                  <c:v>0.61462034837442148</c:v>
                </c:pt>
                <c:pt idx="186">
                  <c:v>0.61508385104582763</c:v>
                </c:pt>
                <c:pt idx="187">
                  <c:v>0.61523822802260164</c:v>
                </c:pt>
                <c:pt idx="188">
                  <c:v>0.61539254308394042</c:v>
                </c:pt>
                <c:pt idx="189">
                  <c:v>0.61570098755963021</c:v>
                </c:pt>
                <c:pt idx="190">
                  <c:v>0.61616319052788127</c:v>
                </c:pt>
                <c:pt idx="191">
                  <c:v>0.61647101696577056</c:v>
                </c:pt>
                <c:pt idx="192">
                  <c:v>0.61677859653542422</c:v>
                </c:pt>
                <c:pt idx="193">
                  <c:v>0.61785318379878307</c:v>
                </c:pt>
                <c:pt idx="194">
                  <c:v>0.61785318379878307</c:v>
                </c:pt>
                <c:pt idx="195">
                  <c:v>0.61815965490910663</c:v>
                </c:pt>
                <c:pt idx="196">
                  <c:v>0.61846588023812954</c:v>
                </c:pt>
                <c:pt idx="197">
                  <c:v>0.61861890079625637</c:v>
                </c:pt>
                <c:pt idx="198">
                  <c:v>0.61907759434055509</c:v>
                </c:pt>
                <c:pt idx="199">
                  <c:v>0.61907759434055509</c:v>
                </c:pt>
                <c:pt idx="200">
                  <c:v>0.61953573620631497</c:v>
                </c:pt>
                <c:pt idx="201">
                  <c:v>0.62045036755547234</c:v>
                </c:pt>
                <c:pt idx="202">
                  <c:v>0.62060259220219538</c:v>
                </c:pt>
                <c:pt idx="203">
                  <c:v>0.62090685836350334</c:v>
                </c:pt>
                <c:pt idx="204">
                  <c:v>0.62121088051181861</c:v>
                </c:pt>
                <c:pt idx="205">
                  <c:v>0.62136280014226386</c:v>
                </c:pt>
                <c:pt idx="206">
                  <c:v>0.62166645663796283</c:v>
                </c:pt>
                <c:pt idx="207">
                  <c:v>0.62196986960960388</c:v>
                </c:pt>
                <c:pt idx="208">
                  <c:v>0.6221214848349399</c:v>
                </c:pt>
                <c:pt idx="209">
                  <c:v>0.62227303925248656</c:v>
                </c:pt>
                <c:pt idx="210">
                  <c:v>0.62227303925248656</c:v>
                </c:pt>
                <c:pt idx="211">
                  <c:v>0.62287864933239179</c:v>
                </c:pt>
                <c:pt idx="212">
                  <c:v>0.62302990007661552</c:v>
                </c:pt>
                <c:pt idx="213">
                  <c:v>0.62318109015923084</c:v>
                </c:pt>
                <c:pt idx="214">
                  <c:v>0.62318109015923084</c:v>
                </c:pt>
                <c:pt idx="215">
                  <c:v>0.62348328843694456</c:v>
                </c:pt>
                <c:pt idx="216">
                  <c:v>0.62378524436005067</c:v>
                </c:pt>
                <c:pt idx="217">
                  <c:v>0.62378524436005067</c:v>
                </c:pt>
                <c:pt idx="218">
                  <c:v>0.62438842991973043</c:v>
                </c:pt>
                <c:pt idx="219">
                  <c:v>0.62499064839129392</c:v>
                </c:pt>
                <c:pt idx="220">
                  <c:v>0.62499064839129392</c:v>
                </c:pt>
                <c:pt idx="221">
                  <c:v>0.62529139545367074</c:v>
                </c:pt>
                <c:pt idx="222">
                  <c:v>0.62589216619953292</c:v>
                </c:pt>
                <c:pt idx="223">
                  <c:v>0.62589216619953292</c:v>
                </c:pt>
                <c:pt idx="224">
                  <c:v>0.62604220832306168</c:v>
                </c:pt>
                <c:pt idx="225">
                  <c:v>0.62634211206364132</c:v>
                </c:pt>
                <c:pt idx="226">
                  <c:v>0.62649197372895249</c:v>
                </c:pt>
                <c:pt idx="227">
                  <c:v>0.62679151677019485</c:v>
                </c:pt>
                <c:pt idx="228">
                  <c:v>0.62724038097005275</c:v>
                </c:pt>
                <c:pt idx="229">
                  <c:v>0.62724038097005275</c:v>
                </c:pt>
                <c:pt idx="230">
                  <c:v>0.62768870531329179</c:v>
                </c:pt>
                <c:pt idx="231">
                  <c:v>0.6278380269051469</c:v>
                </c:pt>
                <c:pt idx="232">
                  <c:v>0.6278380269051469</c:v>
                </c:pt>
                <c:pt idx="233">
                  <c:v>0.62813649044920661</c:v>
                </c:pt>
                <c:pt idx="234">
                  <c:v>0.62843471463381106</c:v>
                </c:pt>
                <c:pt idx="235">
                  <c:v>0.6285837370263111</c:v>
                </c:pt>
                <c:pt idx="236">
                  <c:v>0.62873269965091994</c:v>
                </c:pt>
                <c:pt idx="237">
                  <c:v>0.62917922915706193</c:v>
                </c:pt>
                <c:pt idx="238">
                  <c:v>0.62932795294971999</c:v>
                </c:pt>
                <c:pt idx="239">
                  <c:v>0.62932795294971999</c:v>
                </c:pt>
                <c:pt idx="240">
                  <c:v>0.62947661709424529</c:v>
                </c:pt>
                <c:pt idx="241">
                  <c:v>0.62947661709424529</c:v>
                </c:pt>
                <c:pt idx="242">
                  <c:v>0.62962522161456103</c:v>
                </c:pt>
                <c:pt idx="243">
                  <c:v>0.62977376653458017</c:v>
                </c:pt>
                <c:pt idx="244">
                  <c:v>0.63021904393184802</c:v>
                </c:pt>
                <c:pt idx="245">
                  <c:v>0.63021904393184802</c:v>
                </c:pt>
                <c:pt idx="246">
                  <c:v>0.63036735068962257</c:v>
                </c:pt>
                <c:pt idx="247">
                  <c:v>0.63036735068962257</c:v>
                </c:pt>
                <c:pt idx="248">
                  <c:v>0.63066378578640558</c:v>
                </c:pt>
                <c:pt idx="249">
                  <c:v>0.63081191417311633</c:v>
                </c:pt>
                <c:pt idx="250">
                  <c:v>0.63081191417311633</c:v>
                </c:pt>
                <c:pt idx="251">
                  <c:v>0.63081191417311633</c:v>
                </c:pt>
                <c:pt idx="252">
                  <c:v>0.63155166544304031</c:v>
                </c:pt>
                <c:pt idx="253">
                  <c:v>0.63184715075235409</c:v>
                </c:pt>
                <c:pt idx="254">
                  <c:v>0.63228993445510617</c:v>
                </c:pt>
                <c:pt idx="255">
                  <c:v>0.63243741064804437</c:v>
                </c:pt>
                <c:pt idx="256">
                  <c:v>0.63258482769322044</c:v>
                </c:pt>
                <c:pt idx="257">
                  <c:v>0.63273218561435662</c:v>
                </c:pt>
                <c:pt idx="258">
                  <c:v>0.63317390487060488</c:v>
                </c:pt>
                <c:pt idx="259">
                  <c:v>0.63317390487060488</c:v>
                </c:pt>
                <c:pt idx="260">
                  <c:v>0.63361509286357953</c:v>
                </c:pt>
                <c:pt idx="261">
                  <c:v>0.63449587761477722</c:v>
                </c:pt>
                <c:pt idx="262">
                  <c:v>0.63478900174787545</c:v>
                </c:pt>
                <c:pt idx="263">
                  <c:v>0.63478900174787545</c:v>
                </c:pt>
                <c:pt idx="264">
                  <c:v>0.63508189080357735</c:v>
                </c:pt>
                <c:pt idx="265">
                  <c:v>0.63508189080357735</c:v>
                </c:pt>
                <c:pt idx="266">
                  <c:v>0.63595914939080522</c:v>
                </c:pt>
                <c:pt idx="267">
                  <c:v>0.63610515398451206</c:v>
                </c:pt>
                <c:pt idx="268">
                  <c:v>0.6362511000206662</c:v>
                </c:pt>
                <c:pt idx="269">
                  <c:v>0.6362511000206662</c:v>
                </c:pt>
                <c:pt idx="270">
                  <c:v>0.63639698752275264</c:v>
                </c:pt>
                <c:pt idx="271">
                  <c:v>0.63697995265980401</c:v>
                </c:pt>
                <c:pt idx="272">
                  <c:v>0.63712554784350561</c:v>
                </c:pt>
                <c:pt idx="273">
                  <c:v>0.63727108463385518</c:v>
                </c:pt>
                <c:pt idx="274">
                  <c:v>0.63727108463385518</c:v>
                </c:pt>
                <c:pt idx="275">
                  <c:v>0.63727108463385518</c:v>
                </c:pt>
                <c:pt idx="276">
                  <c:v>0.63741656305427186</c:v>
                </c:pt>
                <c:pt idx="277">
                  <c:v>0.63814308042639478</c:v>
                </c:pt>
                <c:pt idx="278">
                  <c:v>0.63843327960435037</c:v>
                </c:pt>
                <c:pt idx="279">
                  <c:v>0.63872324605064246</c:v>
                </c:pt>
                <c:pt idx="280">
                  <c:v>0.63944714518982915</c:v>
                </c:pt>
                <c:pt idx="281">
                  <c:v>0.63959175086523168</c:v>
                </c:pt>
                <c:pt idx="282">
                  <c:v>0.64016959383446292</c:v>
                </c:pt>
                <c:pt idx="283">
                  <c:v>0.64045816780506915</c:v>
                </c:pt>
                <c:pt idx="284">
                  <c:v>0.64045816780506915</c:v>
                </c:pt>
                <c:pt idx="285">
                  <c:v>0.64074651034738273</c:v>
                </c:pt>
                <c:pt idx="286">
                  <c:v>0.64074651034738273</c:v>
                </c:pt>
                <c:pt idx="287">
                  <c:v>0.64103462164700287</c:v>
                </c:pt>
                <c:pt idx="288">
                  <c:v>0.64146635542201436</c:v>
                </c:pt>
                <c:pt idx="289">
                  <c:v>0.64161015125981458</c:v>
                </c:pt>
                <c:pt idx="290">
                  <c:v>0.6418975699434607</c:v>
                </c:pt>
                <c:pt idx="291">
                  <c:v>0.6418975699434607</c:v>
                </c:pt>
                <c:pt idx="292">
                  <c:v>0.64218475812532216</c:v>
                </c:pt>
                <c:pt idx="293">
                  <c:v>0.64218475812532216</c:v>
                </c:pt>
                <c:pt idx="294">
                  <c:v>0.64304494150801794</c:v>
                </c:pt>
                <c:pt idx="295">
                  <c:v>0.64318810422780492</c:v>
                </c:pt>
                <c:pt idx="296">
                  <c:v>0.64333120952981937</c:v>
                </c:pt>
                <c:pt idx="297">
                  <c:v>0.64333120952981937</c:v>
                </c:pt>
                <c:pt idx="298">
                  <c:v>0.64347425743708975</c:v>
                </c:pt>
                <c:pt idx="299">
                  <c:v>0.64376018115946509</c:v>
                </c:pt>
                <c:pt idx="300">
                  <c:v>0.64376018115946509</c:v>
                </c:pt>
                <c:pt idx="301">
                  <c:v>0.6440458755789733</c:v>
                </c:pt>
                <c:pt idx="302">
                  <c:v>0.64418863685762484</c:v>
                </c:pt>
                <c:pt idx="303">
                  <c:v>0.64447398766758834</c:v>
                </c:pt>
                <c:pt idx="304">
                  <c:v>0.64475910963414429</c:v>
                </c:pt>
                <c:pt idx="305">
                  <c:v>0.64518636390401229</c:v>
                </c:pt>
                <c:pt idx="306">
                  <c:v>0.64518636390401229</c:v>
                </c:pt>
                <c:pt idx="307">
                  <c:v>0.64532866777099096</c:v>
                </c:pt>
                <c:pt idx="308">
                  <c:v>0.64589731273460771</c:v>
                </c:pt>
                <c:pt idx="309">
                  <c:v>0.64603933146381953</c:v>
                </c:pt>
                <c:pt idx="310">
                  <c:v>0.64618129323407514</c:v>
                </c:pt>
                <c:pt idx="311">
                  <c:v>0.64632319806821914</c:v>
                </c:pt>
                <c:pt idx="312">
                  <c:v>0.64646504598908616</c:v>
                </c:pt>
                <c:pt idx="313">
                  <c:v>0.64660683701950261</c:v>
                </c:pt>
                <c:pt idx="314">
                  <c:v>0.64674857118228535</c:v>
                </c:pt>
                <c:pt idx="315">
                  <c:v>0.6468902485002419</c:v>
                </c:pt>
                <c:pt idx="316">
                  <c:v>0.6468902485002419</c:v>
                </c:pt>
                <c:pt idx="317">
                  <c:v>0.64703186899617093</c:v>
                </c:pt>
                <c:pt idx="318">
                  <c:v>0.64703186899617093</c:v>
                </c:pt>
                <c:pt idx="319">
                  <c:v>0.64773911994271205</c:v>
                </c:pt>
                <c:pt idx="320">
                  <c:v>0.64802162336406166</c:v>
                </c:pt>
                <c:pt idx="321">
                  <c:v>0.6481627901034217</c:v>
                </c:pt>
                <c:pt idx="322">
                  <c:v>0.6484449537530943</c:v>
                </c:pt>
                <c:pt idx="323">
                  <c:v>0.64886777499545734</c:v>
                </c:pt>
                <c:pt idx="324">
                  <c:v>0.64900860237173508</c:v>
                </c:pt>
                <c:pt idx="325">
                  <c:v>0.64957134729188337</c:v>
                </c:pt>
                <c:pt idx="326">
                  <c:v>0.65013318996244007</c:v>
                </c:pt>
                <c:pt idx="327">
                  <c:v>0.65041377340626783</c:v>
                </c:pt>
                <c:pt idx="328">
                  <c:v>0.65041377340626783</c:v>
                </c:pt>
                <c:pt idx="329">
                  <c:v>0.65097426541404579</c:v>
                </c:pt>
                <c:pt idx="330">
                  <c:v>0.65125417433877097</c:v>
                </c:pt>
                <c:pt idx="331">
                  <c:v>0.65153385878432912</c:v>
                </c:pt>
                <c:pt idx="332">
                  <c:v>0.65167361688368453</c:v>
                </c:pt>
                <c:pt idx="333">
                  <c:v>0.65209255495790464</c:v>
                </c:pt>
                <c:pt idx="334">
                  <c:v>0.65278966568321284</c:v>
                </c:pt>
                <c:pt idx="335">
                  <c:v>0.65348537959057329</c:v>
                </c:pt>
                <c:pt idx="336">
                  <c:v>0.65376327467162065</c:v>
                </c:pt>
                <c:pt idx="337">
                  <c:v>0.65376327467162065</c:v>
                </c:pt>
                <c:pt idx="338">
                  <c:v>0.65376327467162065</c:v>
                </c:pt>
                <c:pt idx="339">
                  <c:v>0.65390213862692503</c:v>
                </c:pt>
                <c:pt idx="340">
                  <c:v>0.65404094688854753</c:v>
                </c:pt>
                <c:pt idx="341">
                  <c:v>0.65417969947882482</c:v>
                </c:pt>
                <c:pt idx="342">
                  <c:v>0.65528771871008784</c:v>
                </c:pt>
                <c:pt idx="343">
                  <c:v>0.65542597126194102</c:v>
                </c:pt>
                <c:pt idx="344">
                  <c:v>0.6558403963156344</c:v>
                </c:pt>
                <c:pt idx="345">
                  <c:v>0.65652999739881079</c:v>
                </c:pt>
                <c:pt idx="346">
                  <c:v>0.65666775171428504</c:v>
                </c:pt>
                <c:pt idx="347">
                  <c:v>0.65735569500505076</c:v>
                </c:pt>
                <c:pt idx="348">
                  <c:v>0.65776779914712824</c:v>
                </c:pt>
                <c:pt idx="349">
                  <c:v>0.65790505702177415</c:v>
                </c:pt>
                <c:pt idx="350">
                  <c:v>0.65831650043679657</c:v>
                </c:pt>
                <c:pt idx="351">
                  <c:v>0.65845353824573083</c:v>
                </c:pt>
                <c:pt idx="352">
                  <c:v>0.65927461168374424</c:v>
                </c:pt>
                <c:pt idx="353">
                  <c:v>0.65927461168374424</c:v>
                </c:pt>
                <c:pt idx="354">
                  <c:v>0.65941126522634397</c:v>
                </c:pt>
                <c:pt idx="355">
                  <c:v>0.65954786396178422</c:v>
                </c:pt>
                <c:pt idx="356">
                  <c:v>0.65968440791204619</c:v>
                </c:pt>
                <c:pt idx="357">
                  <c:v>0.65968440791204619</c:v>
                </c:pt>
                <c:pt idx="358">
                  <c:v>0.65982089709910241</c:v>
                </c:pt>
                <c:pt idx="359">
                  <c:v>0.66077478988257776</c:v>
                </c:pt>
                <c:pt idx="360">
                  <c:v>0.66131867006046752</c:v>
                </c:pt>
                <c:pt idx="361">
                  <c:v>0.66159028306058154</c:v>
                </c:pt>
                <c:pt idx="362">
                  <c:v>0.66159028306058154</c:v>
                </c:pt>
                <c:pt idx="363">
                  <c:v>0.66159028306058154</c:v>
                </c:pt>
                <c:pt idx="364">
                  <c:v>0.66199729419147424</c:v>
                </c:pt>
                <c:pt idx="365">
                  <c:v>0.66213285575730085</c:v>
                </c:pt>
                <c:pt idx="366">
                  <c:v>0.66226836295392322</c:v>
                </c:pt>
                <c:pt idx="367">
                  <c:v>0.66253921432676943</c:v>
                </c:pt>
                <c:pt idx="368">
                  <c:v>0.6626745585465782</c:v>
                </c:pt>
                <c:pt idx="369">
                  <c:v>0.6626745585465782</c:v>
                </c:pt>
                <c:pt idx="370">
                  <c:v>0.6626745585465782</c:v>
                </c:pt>
                <c:pt idx="371">
                  <c:v>0.66308026560087496</c:v>
                </c:pt>
                <c:pt idx="372">
                  <c:v>0.66308026560087496</c:v>
                </c:pt>
                <c:pt idx="373">
                  <c:v>0.66362044940683718</c:v>
                </c:pt>
                <c:pt idx="374">
                  <c:v>0.66375535997946522</c:v>
                </c:pt>
                <c:pt idx="375">
                  <c:v>0.66375535997946522</c:v>
                </c:pt>
                <c:pt idx="376">
                  <c:v>0.66389021644398061</c:v>
                </c:pt>
                <c:pt idx="377">
                  <c:v>0.66429446140581716</c:v>
                </c:pt>
                <c:pt idx="378">
                  <c:v>0.66442910165480451</c:v>
                </c:pt>
                <c:pt idx="379">
                  <c:v>0.66442910165480451</c:v>
                </c:pt>
                <c:pt idx="380">
                  <c:v>0.66456368790409703</c:v>
                </c:pt>
                <c:pt idx="381">
                  <c:v>0.66456368790409703</c:v>
                </c:pt>
                <c:pt idx="382">
                  <c:v>0.66456368790409703</c:v>
                </c:pt>
                <c:pt idx="383">
                  <c:v>0.66456368790409703</c:v>
                </c:pt>
                <c:pt idx="384">
                  <c:v>0.66469822017535229</c:v>
                </c:pt>
                <c:pt idx="385">
                  <c:v>0.66483269849021887</c:v>
                </c:pt>
                <c:pt idx="386">
                  <c:v>0.66496712287033688</c:v>
                </c:pt>
                <c:pt idx="387">
                  <c:v>0.66496712287033688</c:v>
                </c:pt>
                <c:pt idx="388">
                  <c:v>0.66523580991284459</c:v>
                </c:pt>
                <c:pt idx="389">
                  <c:v>0.66630840501497057</c:v>
                </c:pt>
                <c:pt idx="390">
                  <c:v>0.66684341314121776</c:v>
                </c:pt>
                <c:pt idx="391">
                  <c:v>0.66724410624308306</c:v>
                </c:pt>
                <c:pt idx="392">
                  <c:v>0.668177183680841</c:v>
                </c:pt>
                <c:pt idx="393">
                  <c:v>0.66857627263415953</c:v>
                </c:pt>
                <c:pt idx="394">
                  <c:v>0.66950561455760749</c:v>
                </c:pt>
                <c:pt idx="395">
                  <c:v>0.66950561455760749</c:v>
                </c:pt>
                <c:pt idx="396">
                  <c:v>0.66977066185610146</c:v>
                </c:pt>
                <c:pt idx="397">
                  <c:v>0.66977066185610146</c:v>
                </c:pt>
                <c:pt idx="398">
                  <c:v>0.67043235052276307</c:v>
                </c:pt>
                <c:pt idx="399">
                  <c:v>0.67056452906997921</c:v>
                </c:pt>
                <c:pt idx="400">
                  <c:v>0.67069665460480676</c:v>
                </c:pt>
                <c:pt idx="401">
                  <c:v>0.67148829574365543</c:v>
                </c:pt>
                <c:pt idx="402">
                  <c:v>0.67175175298702205</c:v>
                </c:pt>
                <c:pt idx="403">
                  <c:v>0.67201499894501227</c:v>
                </c:pt>
                <c:pt idx="404">
                  <c:v>0.67227803378707107</c:v>
                </c:pt>
                <c:pt idx="405">
                  <c:v>0.67240947209254065</c:v>
                </c:pt>
                <c:pt idx="406">
                  <c:v>0.6725408576825076</c:v>
                </c:pt>
                <c:pt idx="407">
                  <c:v>0.6728034708004953</c:v>
                </c:pt>
                <c:pt idx="408">
                  <c:v>0.67372095928029907</c:v>
                </c:pt>
                <c:pt idx="409">
                  <c:v>0.67398262598965086</c:v>
                </c:pt>
                <c:pt idx="410">
                  <c:v>0.6741133806402736</c:v>
                </c:pt>
                <c:pt idx="411">
                  <c:v>0.67476636769423726</c:v>
                </c:pt>
                <c:pt idx="412">
                  <c:v>0.67489680801230922</c:v>
                </c:pt>
                <c:pt idx="413">
                  <c:v>0.6751575317237053</c:v>
                </c:pt>
                <c:pt idx="414">
                  <c:v>0.6758084265863995</c:v>
                </c:pt>
                <c:pt idx="415">
                  <c:v>0.6758084265863995</c:v>
                </c:pt>
                <c:pt idx="416">
                  <c:v>0.67593844896954769</c:v>
                </c:pt>
                <c:pt idx="417">
                  <c:v>0.67632820331690113</c:v>
                </c:pt>
                <c:pt idx="418">
                  <c:v>0.67658777908910284</c:v>
                </c:pt>
                <c:pt idx="419">
                  <c:v>0.67684714668876</c:v>
                </c:pt>
                <c:pt idx="420">
                  <c:v>0.67710630628282131</c:v>
                </c:pt>
                <c:pt idx="421">
                  <c:v>0.67788253869890736</c:v>
                </c:pt>
                <c:pt idx="422">
                  <c:v>0.67801172922514774</c:v>
                </c:pt>
                <c:pt idx="423">
                  <c:v>0.67865690506193799</c:v>
                </c:pt>
                <c:pt idx="424">
                  <c:v>0.67878578501576303</c:v>
                </c:pt>
                <c:pt idx="425">
                  <c:v>0.67904338987584401</c:v>
                </c:pt>
                <c:pt idx="426">
                  <c:v>0.67904338987584401</c:v>
                </c:pt>
                <c:pt idx="427">
                  <c:v>0.67917211482355344</c:v>
                </c:pt>
                <c:pt idx="428">
                  <c:v>0.67917211482355344</c:v>
                </c:pt>
                <c:pt idx="429">
                  <c:v>0.67930078814399719</c:v>
                </c:pt>
                <c:pt idx="430">
                  <c:v>0.67930078814399719</c:v>
                </c:pt>
                <c:pt idx="431">
                  <c:v>0.67994338106164975</c:v>
                </c:pt>
                <c:pt idx="432">
                  <c:v>0.68007174505303458</c:v>
                </c:pt>
                <c:pt idx="433">
                  <c:v>0.68032831860895771</c:v>
                </c:pt>
                <c:pt idx="434">
                  <c:v>0.68045652821478364</c:v>
                </c:pt>
                <c:pt idx="435">
                  <c:v>0.68084084859126981</c:v>
                </c:pt>
                <c:pt idx="436">
                  <c:v>0.68135255683365892</c:v>
                </c:pt>
                <c:pt idx="437">
                  <c:v>0.68135255683365892</c:v>
                </c:pt>
                <c:pt idx="438">
                  <c:v>0.68173579954126262</c:v>
                </c:pt>
                <c:pt idx="439">
                  <c:v>0.68237351336654328</c:v>
                </c:pt>
                <c:pt idx="440">
                  <c:v>0.68250090271324404</c:v>
                </c:pt>
                <c:pt idx="441">
                  <c:v>0.68351817990944164</c:v>
                </c:pt>
                <c:pt idx="442">
                  <c:v>0.68364511016872598</c:v>
                </c:pt>
                <c:pt idx="443">
                  <c:v>0.68440562338175104</c:v>
                </c:pt>
                <c:pt idx="444">
                  <c:v>0.68465872128787919</c:v>
                </c:pt>
                <c:pt idx="445">
                  <c:v>0.68465872128787919</c:v>
                </c:pt>
                <c:pt idx="446">
                  <c:v>0.6851643083304888</c:v>
                </c:pt>
                <c:pt idx="447">
                  <c:v>0.68529057838279128</c:v>
                </c:pt>
                <c:pt idx="448">
                  <c:v>0.6854167977924045</c:v>
                </c:pt>
                <c:pt idx="449">
                  <c:v>0.6864247323681163</c:v>
                </c:pt>
                <c:pt idx="450">
                  <c:v>0.6865504969065479</c:v>
                </c:pt>
                <c:pt idx="451">
                  <c:v>0.68692748796308634</c:v>
                </c:pt>
                <c:pt idx="452">
                  <c:v>0.68742943748942043</c:v>
                </c:pt>
                <c:pt idx="453">
                  <c:v>0.68780537142914833</c:v>
                </c:pt>
                <c:pt idx="454">
                  <c:v>0.68793058223948922</c:v>
                </c:pt>
                <c:pt idx="455">
                  <c:v>0.68805574283196735</c:v>
                </c:pt>
                <c:pt idx="456">
                  <c:v>0.68855588342594476</c:v>
                </c:pt>
                <c:pt idx="457">
                  <c:v>0.68868079323105791</c:v>
                </c:pt>
                <c:pt idx="458">
                  <c:v>0.6888056529390314</c:v>
                </c:pt>
                <c:pt idx="459">
                  <c:v>0.68942920072475133</c:v>
                </c:pt>
                <c:pt idx="460">
                  <c:v>0.68942920072475133</c:v>
                </c:pt>
                <c:pt idx="461">
                  <c:v>0.68955376027154269</c:v>
                </c:pt>
                <c:pt idx="462">
                  <c:v>0.69017580905615583</c:v>
                </c:pt>
                <c:pt idx="463">
                  <c:v>0.69054843988801984</c:v>
                </c:pt>
                <c:pt idx="464">
                  <c:v>0.69067255054546539</c:v>
                </c:pt>
                <c:pt idx="465">
                  <c:v>0.6912923575824228</c:v>
                </c:pt>
                <c:pt idx="466">
                  <c:v>0.69141616987939436</c:v>
                </c:pt>
                <c:pt idx="467">
                  <c:v>0.69166364552235549</c:v>
                </c:pt>
                <c:pt idx="468">
                  <c:v>0.69191092269673882</c:v>
                </c:pt>
                <c:pt idx="469">
                  <c:v>0.69240488227631025</c:v>
                </c:pt>
                <c:pt idx="470">
                  <c:v>0.69277483216384317</c:v>
                </c:pt>
                <c:pt idx="471">
                  <c:v>0.6943728136222771</c:v>
                </c:pt>
                <c:pt idx="472">
                  <c:v>0.69486282604923533</c:v>
                </c:pt>
                <c:pt idx="473">
                  <c:v>0.69608442270742166</c:v>
                </c:pt>
                <c:pt idx="474">
                  <c:v>0.69657169090952287</c:v>
                </c:pt>
                <c:pt idx="475">
                  <c:v>0.69681503196811123</c:v>
                </c:pt>
                <c:pt idx="476">
                  <c:v>0.69742253116359887</c:v>
                </c:pt>
                <c:pt idx="477">
                  <c:v>0.69887556745044832</c:v>
                </c:pt>
                <c:pt idx="478">
                  <c:v>0.69996076367209237</c:v>
                </c:pt>
                <c:pt idx="479">
                  <c:v>0.70044181693217122</c:v>
                </c:pt>
                <c:pt idx="480">
                  <c:v>0.70056195968740664</c:v>
                </c:pt>
                <c:pt idx="481">
                  <c:v>0.70080210066149595</c:v>
                </c:pt>
                <c:pt idx="482">
                  <c:v>0.70140161086914121</c:v>
                </c:pt>
                <c:pt idx="483">
                  <c:v>0.7019999198234026</c:v>
                </c:pt>
                <c:pt idx="484">
                  <c:v>0.70414392283460026</c:v>
                </c:pt>
                <c:pt idx="485">
                  <c:v>0.70485515715741442</c:v>
                </c:pt>
                <c:pt idx="486">
                  <c:v>0.70521013288727508</c:v>
                </c:pt>
                <c:pt idx="487">
                  <c:v>0.70603675017352974</c:v>
                </c:pt>
                <c:pt idx="488">
                  <c:v>0.70650806179731296</c:v>
                </c:pt>
                <c:pt idx="489">
                  <c:v>0.71048382302178026</c:v>
                </c:pt>
                <c:pt idx="490">
                  <c:v>0.71371750742209628</c:v>
                </c:pt>
                <c:pt idx="491">
                  <c:v>0.71680149249044578</c:v>
                </c:pt>
                <c:pt idx="492">
                  <c:v>0.71680149249044578</c:v>
                </c:pt>
                <c:pt idx="493">
                  <c:v>0.71782208702580963</c:v>
                </c:pt>
                <c:pt idx="494">
                  <c:v>0.71940237274972696</c:v>
                </c:pt>
                <c:pt idx="495">
                  <c:v>0.71951491106099952</c:v>
                </c:pt>
                <c:pt idx="496">
                  <c:v>0.72253644345857415</c:v>
                </c:pt>
                <c:pt idx="497">
                  <c:v>0.72397962476389222</c:v>
                </c:pt>
                <c:pt idx="498">
                  <c:v>0.72464317430644276</c:v>
                </c:pt>
                <c:pt idx="499">
                  <c:v>0.72967767469264089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30-4970-8B97-EB26E78F0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955216"/>
        <c:axId val="523956856"/>
        <c:axId val="452554072"/>
      </c:line3DChart>
      <c:catAx>
        <c:axId val="52395521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6856"/>
        <c:crosses val="autoZero"/>
        <c:auto val="1"/>
        <c:lblAlgn val="ctr"/>
        <c:lblOffset val="100"/>
        <c:noMultiLvlLbl val="0"/>
      </c:catAx>
      <c:valAx>
        <c:axId val="523956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5216"/>
        <c:crosses val="autoZero"/>
        <c:crossBetween val="between"/>
      </c:valAx>
      <c:serAx>
        <c:axId val="4525540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6856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rechaza</a:t>
            </a:r>
            <a:r>
              <a:rPr lang="es-EC" baseline="0"/>
              <a:t> hipotesis poa vs pea</a:t>
            </a:r>
            <a:endParaRPr lang="es-EC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val>
            <c:numRef>
              <c:f>expo!$M$5:$M$504</c:f>
              <c:numCache>
                <c:formatCode>General</c:formatCode>
                <c:ptCount val="500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1.8000000000000002E-2</c:v>
                </c:pt>
                <c:pt idx="9">
                  <c:v>2.0000000000000004E-2</c:v>
                </c:pt>
                <c:pt idx="10">
                  <c:v>2.2000000000000006E-2</c:v>
                </c:pt>
                <c:pt idx="11">
                  <c:v>2.4000000000000007E-2</c:v>
                </c:pt>
                <c:pt idx="12">
                  <c:v>2.6000000000000009E-2</c:v>
                </c:pt>
                <c:pt idx="13">
                  <c:v>2.8000000000000011E-2</c:v>
                </c:pt>
                <c:pt idx="14">
                  <c:v>3.0000000000000013E-2</c:v>
                </c:pt>
                <c:pt idx="15">
                  <c:v>3.2000000000000015E-2</c:v>
                </c:pt>
                <c:pt idx="16">
                  <c:v>3.4000000000000016E-2</c:v>
                </c:pt>
                <c:pt idx="17">
                  <c:v>3.6000000000000018E-2</c:v>
                </c:pt>
                <c:pt idx="18">
                  <c:v>3.800000000000002E-2</c:v>
                </c:pt>
                <c:pt idx="19">
                  <c:v>4.0000000000000022E-2</c:v>
                </c:pt>
                <c:pt idx="20">
                  <c:v>4.2000000000000023E-2</c:v>
                </c:pt>
                <c:pt idx="21">
                  <c:v>4.4000000000000025E-2</c:v>
                </c:pt>
                <c:pt idx="22">
                  <c:v>4.6000000000000027E-2</c:v>
                </c:pt>
                <c:pt idx="23">
                  <c:v>4.8000000000000029E-2</c:v>
                </c:pt>
                <c:pt idx="24">
                  <c:v>5.0000000000000031E-2</c:v>
                </c:pt>
                <c:pt idx="25">
                  <c:v>5.2000000000000032E-2</c:v>
                </c:pt>
                <c:pt idx="26">
                  <c:v>5.4000000000000034E-2</c:v>
                </c:pt>
                <c:pt idx="27">
                  <c:v>5.6000000000000036E-2</c:v>
                </c:pt>
                <c:pt idx="28">
                  <c:v>5.8000000000000038E-2</c:v>
                </c:pt>
                <c:pt idx="29">
                  <c:v>6.0000000000000039E-2</c:v>
                </c:pt>
                <c:pt idx="30">
                  <c:v>6.2000000000000041E-2</c:v>
                </c:pt>
                <c:pt idx="31">
                  <c:v>6.4000000000000043E-2</c:v>
                </c:pt>
                <c:pt idx="32">
                  <c:v>6.6000000000000045E-2</c:v>
                </c:pt>
                <c:pt idx="33">
                  <c:v>6.8000000000000047E-2</c:v>
                </c:pt>
                <c:pt idx="34">
                  <c:v>7.0000000000000048E-2</c:v>
                </c:pt>
                <c:pt idx="35">
                  <c:v>7.200000000000005E-2</c:v>
                </c:pt>
                <c:pt idx="36">
                  <c:v>7.4000000000000052E-2</c:v>
                </c:pt>
                <c:pt idx="37">
                  <c:v>7.6000000000000054E-2</c:v>
                </c:pt>
                <c:pt idx="38">
                  <c:v>7.8000000000000055E-2</c:v>
                </c:pt>
                <c:pt idx="39">
                  <c:v>8.0000000000000057E-2</c:v>
                </c:pt>
                <c:pt idx="40">
                  <c:v>8.2000000000000059E-2</c:v>
                </c:pt>
                <c:pt idx="41">
                  <c:v>8.4000000000000061E-2</c:v>
                </c:pt>
                <c:pt idx="42">
                  <c:v>8.6000000000000063E-2</c:v>
                </c:pt>
                <c:pt idx="43">
                  <c:v>8.8000000000000064E-2</c:v>
                </c:pt>
                <c:pt idx="44">
                  <c:v>9.0000000000000066E-2</c:v>
                </c:pt>
                <c:pt idx="45">
                  <c:v>9.2000000000000068E-2</c:v>
                </c:pt>
                <c:pt idx="46">
                  <c:v>9.400000000000007E-2</c:v>
                </c:pt>
                <c:pt idx="47">
                  <c:v>9.6000000000000071E-2</c:v>
                </c:pt>
                <c:pt idx="48">
                  <c:v>9.8000000000000073E-2</c:v>
                </c:pt>
                <c:pt idx="49">
                  <c:v>0.10000000000000007</c:v>
                </c:pt>
                <c:pt idx="50">
                  <c:v>0.10200000000000008</c:v>
                </c:pt>
                <c:pt idx="51">
                  <c:v>0.10400000000000008</c:v>
                </c:pt>
                <c:pt idx="52">
                  <c:v>0.10600000000000008</c:v>
                </c:pt>
                <c:pt idx="53">
                  <c:v>0.10800000000000008</c:v>
                </c:pt>
                <c:pt idx="54">
                  <c:v>0.11000000000000008</c:v>
                </c:pt>
                <c:pt idx="55">
                  <c:v>0.11200000000000009</c:v>
                </c:pt>
                <c:pt idx="56">
                  <c:v>0.11400000000000009</c:v>
                </c:pt>
                <c:pt idx="57">
                  <c:v>0.11600000000000009</c:v>
                </c:pt>
                <c:pt idx="58">
                  <c:v>0.11800000000000009</c:v>
                </c:pt>
                <c:pt idx="59">
                  <c:v>0.12000000000000009</c:v>
                </c:pt>
                <c:pt idx="60">
                  <c:v>0.12200000000000009</c:v>
                </c:pt>
                <c:pt idx="61">
                  <c:v>0.1240000000000001</c:v>
                </c:pt>
                <c:pt idx="62">
                  <c:v>0.12600000000000008</c:v>
                </c:pt>
                <c:pt idx="63">
                  <c:v>0.12800000000000009</c:v>
                </c:pt>
                <c:pt idx="64">
                  <c:v>0.13000000000000009</c:v>
                </c:pt>
                <c:pt idx="65">
                  <c:v>0.13200000000000009</c:v>
                </c:pt>
                <c:pt idx="66">
                  <c:v>0.13400000000000009</c:v>
                </c:pt>
                <c:pt idx="67">
                  <c:v>0.13600000000000009</c:v>
                </c:pt>
                <c:pt idx="68">
                  <c:v>0.13800000000000009</c:v>
                </c:pt>
                <c:pt idx="69">
                  <c:v>0.1400000000000001</c:v>
                </c:pt>
                <c:pt idx="70">
                  <c:v>0.1420000000000001</c:v>
                </c:pt>
                <c:pt idx="71">
                  <c:v>0.1440000000000001</c:v>
                </c:pt>
                <c:pt idx="72">
                  <c:v>0.1460000000000001</c:v>
                </c:pt>
                <c:pt idx="73">
                  <c:v>0.1480000000000001</c:v>
                </c:pt>
                <c:pt idx="74">
                  <c:v>0.15000000000000011</c:v>
                </c:pt>
                <c:pt idx="75">
                  <c:v>0.15200000000000011</c:v>
                </c:pt>
                <c:pt idx="76">
                  <c:v>0.15400000000000011</c:v>
                </c:pt>
                <c:pt idx="77">
                  <c:v>0.15600000000000011</c:v>
                </c:pt>
                <c:pt idx="78">
                  <c:v>0.15800000000000011</c:v>
                </c:pt>
                <c:pt idx="79">
                  <c:v>0.16000000000000011</c:v>
                </c:pt>
                <c:pt idx="80">
                  <c:v>0.16200000000000012</c:v>
                </c:pt>
                <c:pt idx="81">
                  <c:v>0.16400000000000012</c:v>
                </c:pt>
                <c:pt idx="82">
                  <c:v>0.16600000000000012</c:v>
                </c:pt>
                <c:pt idx="83">
                  <c:v>0.16800000000000012</c:v>
                </c:pt>
                <c:pt idx="84">
                  <c:v>0.17000000000000012</c:v>
                </c:pt>
                <c:pt idx="85">
                  <c:v>0.17200000000000013</c:v>
                </c:pt>
                <c:pt idx="86">
                  <c:v>0.17400000000000013</c:v>
                </c:pt>
                <c:pt idx="87">
                  <c:v>0.17600000000000013</c:v>
                </c:pt>
                <c:pt idx="88">
                  <c:v>0.17800000000000013</c:v>
                </c:pt>
                <c:pt idx="89">
                  <c:v>0.18000000000000013</c:v>
                </c:pt>
                <c:pt idx="90">
                  <c:v>0.18200000000000013</c:v>
                </c:pt>
                <c:pt idx="91">
                  <c:v>0.18400000000000014</c:v>
                </c:pt>
                <c:pt idx="92">
                  <c:v>0.18600000000000014</c:v>
                </c:pt>
                <c:pt idx="93">
                  <c:v>0.18800000000000014</c:v>
                </c:pt>
                <c:pt idx="94">
                  <c:v>0.19000000000000014</c:v>
                </c:pt>
                <c:pt idx="95">
                  <c:v>0.19200000000000014</c:v>
                </c:pt>
                <c:pt idx="96">
                  <c:v>0.19400000000000014</c:v>
                </c:pt>
                <c:pt idx="97">
                  <c:v>0.19600000000000015</c:v>
                </c:pt>
                <c:pt idx="98">
                  <c:v>0.19800000000000015</c:v>
                </c:pt>
                <c:pt idx="99">
                  <c:v>0.20000000000000015</c:v>
                </c:pt>
                <c:pt idx="100">
                  <c:v>0.20200000000000015</c:v>
                </c:pt>
                <c:pt idx="101">
                  <c:v>0.20400000000000015</c:v>
                </c:pt>
                <c:pt idx="102">
                  <c:v>0.20600000000000016</c:v>
                </c:pt>
                <c:pt idx="103">
                  <c:v>0.20800000000000016</c:v>
                </c:pt>
                <c:pt idx="104">
                  <c:v>0.21000000000000016</c:v>
                </c:pt>
                <c:pt idx="105">
                  <c:v>0.21200000000000016</c:v>
                </c:pt>
                <c:pt idx="106">
                  <c:v>0.21400000000000016</c:v>
                </c:pt>
                <c:pt idx="107">
                  <c:v>0.21600000000000016</c:v>
                </c:pt>
                <c:pt idx="108">
                  <c:v>0.21800000000000017</c:v>
                </c:pt>
                <c:pt idx="109">
                  <c:v>0.22000000000000017</c:v>
                </c:pt>
                <c:pt idx="110">
                  <c:v>0.22200000000000017</c:v>
                </c:pt>
                <c:pt idx="111">
                  <c:v>0.22400000000000017</c:v>
                </c:pt>
                <c:pt idx="112">
                  <c:v>0.22600000000000017</c:v>
                </c:pt>
                <c:pt idx="113">
                  <c:v>0.22800000000000017</c:v>
                </c:pt>
                <c:pt idx="114">
                  <c:v>0.23000000000000018</c:v>
                </c:pt>
                <c:pt idx="115">
                  <c:v>0.23200000000000018</c:v>
                </c:pt>
                <c:pt idx="116">
                  <c:v>0.23400000000000018</c:v>
                </c:pt>
                <c:pt idx="117">
                  <c:v>0.23600000000000018</c:v>
                </c:pt>
                <c:pt idx="118">
                  <c:v>0.23800000000000018</c:v>
                </c:pt>
                <c:pt idx="119">
                  <c:v>0.24000000000000019</c:v>
                </c:pt>
                <c:pt idx="120">
                  <c:v>0.24200000000000019</c:v>
                </c:pt>
                <c:pt idx="121">
                  <c:v>0.24400000000000019</c:v>
                </c:pt>
                <c:pt idx="122">
                  <c:v>0.24600000000000019</c:v>
                </c:pt>
                <c:pt idx="123">
                  <c:v>0.24800000000000019</c:v>
                </c:pt>
                <c:pt idx="124">
                  <c:v>0.25000000000000017</c:v>
                </c:pt>
                <c:pt idx="125">
                  <c:v>0.25200000000000017</c:v>
                </c:pt>
                <c:pt idx="126">
                  <c:v>0.25400000000000017</c:v>
                </c:pt>
                <c:pt idx="127">
                  <c:v>0.25600000000000017</c:v>
                </c:pt>
                <c:pt idx="128">
                  <c:v>0.25800000000000017</c:v>
                </c:pt>
                <c:pt idx="129">
                  <c:v>0.26000000000000018</c:v>
                </c:pt>
                <c:pt idx="130">
                  <c:v>0.26200000000000018</c:v>
                </c:pt>
                <c:pt idx="131">
                  <c:v>0.26400000000000018</c:v>
                </c:pt>
                <c:pt idx="132">
                  <c:v>0.26600000000000018</c:v>
                </c:pt>
                <c:pt idx="133">
                  <c:v>0.26800000000000018</c:v>
                </c:pt>
                <c:pt idx="134">
                  <c:v>0.27000000000000018</c:v>
                </c:pt>
                <c:pt idx="135">
                  <c:v>0.27200000000000019</c:v>
                </c:pt>
                <c:pt idx="136">
                  <c:v>0.27400000000000019</c:v>
                </c:pt>
                <c:pt idx="137">
                  <c:v>0.27600000000000019</c:v>
                </c:pt>
                <c:pt idx="138">
                  <c:v>0.27800000000000019</c:v>
                </c:pt>
                <c:pt idx="139">
                  <c:v>0.28000000000000019</c:v>
                </c:pt>
                <c:pt idx="140">
                  <c:v>0.28200000000000019</c:v>
                </c:pt>
                <c:pt idx="141">
                  <c:v>0.2840000000000002</c:v>
                </c:pt>
                <c:pt idx="142">
                  <c:v>0.2860000000000002</c:v>
                </c:pt>
                <c:pt idx="143">
                  <c:v>0.2880000000000002</c:v>
                </c:pt>
                <c:pt idx="144">
                  <c:v>0.2900000000000002</c:v>
                </c:pt>
                <c:pt idx="145">
                  <c:v>0.2920000000000002</c:v>
                </c:pt>
                <c:pt idx="146">
                  <c:v>0.29400000000000021</c:v>
                </c:pt>
                <c:pt idx="147">
                  <c:v>0.29600000000000021</c:v>
                </c:pt>
                <c:pt idx="148">
                  <c:v>0.29800000000000021</c:v>
                </c:pt>
                <c:pt idx="149">
                  <c:v>0.30000000000000021</c:v>
                </c:pt>
                <c:pt idx="150">
                  <c:v>0.30200000000000021</c:v>
                </c:pt>
                <c:pt idx="151">
                  <c:v>0.30400000000000021</c:v>
                </c:pt>
                <c:pt idx="152">
                  <c:v>0.30600000000000022</c:v>
                </c:pt>
                <c:pt idx="153">
                  <c:v>0.30800000000000022</c:v>
                </c:pt>
                <c:pt idx="154">
                  <c:v>0.31000000000000022</c:v>
                </c:pt>
                <c:pt idx="155">
                  <c:v>0.31200000000000022</c:v>
                </c:pt>
                <c:pt idx="156">
                  <c:v>0.31400000000000022</c:v>
                </c:pt>
                <c:pt idx="157">
                  <c:v>0.31600000000000023</c:v>
                </c:pt>
                <c:pt idx="158">
                  <c:v>0.31800000000000023</c:v>
                </c:pt>
                <c:pt idx="159">
                  <c:v>0.32000000000000023</c:v>
                </c:pt>
                <c:pt idx="160">
                  <c:v>0.32200000000000023</c:v>
                </c:pt>
                <c:pt idx="161">
                  <c:v>0.32400000000000023</c:v>
                </c:pt>
                <c:pt idx="162">
                  <c:v>0.32600000000000023</c:v>
                </c:pt>
                <c:pt idx="163">
                  <c:v>0.32800000000000024</c:v>
                </c:pt>
                <c:pt idx="164">
                  <c:v>0.33000000000000024</c:v>
                </c:pt>
                <c:pt idx="165">
                  <c:v>0.33200000000000024</c:v>
                </c:pt>
                <c:pt idx="166">
                  <c:v>0.33400000000000024</c:v>
                </c:pt>
                <c:pt idx="167">
                  <c:v>0.33600000000000024</c:v>
                </c:pt>
                <c:pt idx="168">
                  <c:v>0.33800000000000024</c:v>
                </c:pt>
                <c:pt idx="169">
                  <c:v>0.34000000000000025</c:v>
                </c:pt>
                <c:pt idx="170">
                  <c:v>0.34200000000000025</c:v>
                </c:pt>
                <c:pt idx="171">
                  <c:v>0.34400000000000025</c:v>
                </c:pt>
                <c:pt idx="172">
                  <c:v>0.34600000000000025</c:v>
                </c:pt>
                <c:pt idx="173">
                  <c:v>0.34800000000000025</c:v>
                </c:pt>
                <c:pt idx="174">
                  <c:v>0.35000000000000026</c:v>
                </c:pt>
                <c:pt idx="175">
                  <c:v>0.35200000000000026</c:v>
                </c:pt>
                <c:pt idx="176">
                  <c:v>0.35400000000000026</c:v>
                </c:pt>
                <c:pt idx="177">
                  <c:v>0.35600000000000026</c:v>
                </c:pt>
                <c:pt idx="178">
                  <c:v>0.35800000000000026</c:v>
                </c:pt>
                <c:pt idx="179">
                  <c:v>0.36000000000000026</c:v>
                </c:pt>
                <c:pt idx="180">
                  <c:v>0.36200000000000027</c:v>
                </c:pt>
                <c:pt idx="181">
                  <c:v>0.36400000000000027</c:v>
                </c:pt>
                <c:pt idx="182">
                  <c:v>0.36600000000000027</c:v>
                </c:pt>
                <c:pt idx="183">
                  <c:v>0.36800000000000027</c:v>
                </c:pt>
                <c:pt idx="184">
                  <c:v>0.37000000000000027</c:v>
                </c:pt>
                <c:pt idx="185">
                  <c:v>0.37200000000000027</c:v>
                </c:pt>
                <c:pt idx="186">
                  <c:v>0.37400000000000028</c:v>
                </c:pt>
                <c:pt idx="187">
                  <c:v>0.37600000000000028</c:v>
                </c:pt>
                <c:pt idx="188">
                  <c:v>0.37800000000000028</c:v>
                </c:pt>
                <c:pt idx="189">
                  <c:v>0.38000000000000028</c:v>
                </c:pt>
                <c:pt idx="190">
                  <c:v>0.38200000000000028</c:v>
                </c:pt>
                <c:pt idx="191">
                  <c:v>0.38400000000000029</c:v>
                </c:pt>
                <c:pt idx="192">
                  <c:v>0.38600000000000029</c:v>
                </c:pt>
                <c:pt idx="193">
                  <c:v>0.38800000000000029</c:v>
                </c:pt>
                <c:pt idx="194">
                  <c:v>0.39000000000000029</c:v>
                </c:pt>
                <c:pt idx="195">
                  <c:v>0.39200000000000029</c:v>
                </c:pt>
                <c:pt idx="196">
                  <c:v>0.39400000000000029</c:v>
                </c:pt>
                <c:pt idx="197">
                  <c:v>0.3960000000000003</c:v>
                </c:pt>
                <c:pt idx="198">
                  <c:v>0.3980000000000003</c:v>
                </c:pt>
                <c:pt idx="199">
                  <c:v>0.4000000000000003</c:v>
                </c:pt>
                <c:pt idx="200">
                  <c:v>0.4020000000000003</c:v>
                </c:pt>
                <c:pt idx="201">
                  <c:v>0.4040000000000003</c:v>
                </c:pt>
                <c:pt idx="202">
                  <c:v>0.40600000000000031</c:v>
                </c:pt>
                <c:pt idx="203">
                  <c:v>0.40800000000000031</c:v>
                </c:pt>
                <c:pt idx="204">
                  <c:v>0.41000000000000031</c:v>
                </c:pt>
                <c:pt idx="205">
                  <c:v>0.41200000000000031</c:v>
                </c:pt>
                <c:pt idx="206">
                  <c:v>0.41400000000000031</c:v>
                </c:pt>
                <c:pt idx="207">
                  <c:v>0.41600000000000031</c:v>
                </c:pt>
                <c:pt idx="208">
                  <c:v>0.41800000000000032</c:v>
                </c:pt>
                <c:pt idx="209">
                  <c:v>0.42000000000000032</c:v>
                </c:pt>
                <c:pt idx="210">
                  <c:v>0.42200000000000032</c:v>
                </c:pt>
                <c:pt idx="211">
                  <c:v>0.42400000000000032</c:v>
                </c:pt>
                <c:pt idx="212">
                  <c:v>0.42600000000000032</c:v>
                </c:pt>
                <c:pt idx="213">
                  <c:v>0.42800000000000032</c:v>
                </c:pt>
                <c:pt idx="214">
                  <c:v>0.43000000000000033</c:v>
                </c:pt>
                <c:pt idx="215">
                  <c:v>0.43200000000000033</c:v>
                </c:pt>
                <c:pt idx="216">
                  <c:v>0.43400000000000033</c:v>
                </c:pt>
                <c:pt idx="217">
                  <c:v>0.43600000000000033</c:v>
                </c:pt>
                <c:pt idx="218">
                  <c:v>0.43800000000000033</c:v>
                </c:pt>
                <c:pt idx="219">
                  <c:v>0.44000000000000034</c:v>
                </c:pt>
                <c:pt idx="220">
                  <c:v>0.44200000000000034</c:v>
                </c:pt>
                <c:pt idx="221">
                  <c:v>0.44400000000000034</c:v>
                </c:pt>
                <c:pt idx="222">
                  <c:v>0.44600000000000034</c:v>
                </c:pt>
                <c:pt idx="223">
                  <c:v>0.44800000000000034</c:v>
                </c:pt>
                <c:pt idx="224">
                  <c:v>0.45000000000000034</c:v>
                </c:pt>
                <c:pt idx="225">
                  <c:v>0.45200000000000035</c:v>
                </c:pt>
                <c:pt idx="226">
                  <c:v>0.45400000000000035</c:v>
                </c:pt>
                <c:pt idx="227">
                  <c:v>0.45600000000000035</c:v>
                </c:pt>
                <c:pt idx="228">
                  <c:v>0.45800000000000035</c:v>
                </c:pt>
                <c:pt idx="229">
                  <c:v>0.46000000000000035</c:v>
                </c:pt>
                <c:pt idx="230">
                  <c:v>0.46200000000000035</c:v>
                </c:pt>
                <c:pt idx="231">
                  <c:v>0.46400000000000036</c:v>
                </c:pt>
                <c:pt idx="232">
                  <c:v>0.46600000000000036</c:v>
                </c:pt>
                <c:pt idx="233">
                  <c:v>0.46800000000000036</c:v>
                </c:pt>
                <c:pt idx="234">
                  <c:v>0.47000000000000036</c:v>
                </c:pt>
                <c:pt idx="235">
                  <c:v>0.47200000000000036</c:v>
                </c:pt>
                <c:pt idx="236">
                  <c:v>0.47400000000000037</c:v>
                </c:pt>
                <c:pt idx="237">
                  <c:v>0.47600000000000037</c:v>
                </c:pt>
                <c:pt idx="238">
                  <c:v>0.47800000000000037</c:v>
                </c:pt>
                <c:pt idx="239">
                  <c:v>0.48000000000000037</c:v>
                </c:pt>
                <c:pt idx="240">
                  <c:v>0.48200000000000037</c:v>
                </c:pt>
                <c:pt idx="241">
                  <c:v>0.48400000000000037</c:v>
                </c:pt>
                <c:pt idx="242">
                  <c:v>0.48600000000000038</c:v>
                </c:pt>
                <c:pt idx="243">
                  <c:v>0.48800000000000038</c:v>
                </c:pt>
                <c:pt idx="244">
                  <c:v>0.49000000000000038</c:v>
                </c:pt>
                <c:pt idx="245">
                  <c:v>0.49200000000000038</c:v>
                </c:pt>
                <c:pt idx="246">
                  <c:v>0.49400000000000038</c:v>
                </c:pt>
                <c:pt idx="247">
                  <c:v>0.49600000000000039</c:v>
                </c:pt>
                <c:pt idx="248">
                  <c:v>0.49800000000000039</c:v>
                </c:pt>
                <c:pt idx="249">
                  <c:v>0.50000000000000033</c:v>
                </c:pt>
                <c:pt idx="250">
                  <c:v>0.50200000000000033</c:v>
                </c:pt>
                <c:pt idx="251">
                  <c:v>0.50400000000000034</c:v>
                </c:pt>
                <c:pt idx="252">
                  <c:v>0.50600000000000034</c:v>
                </c:pt>
                <c:pt idx="253">
                  <c:v>0.50800000000000034</c:v>
                </c:pt>
                <c:pt idx="254">
                  <c:v>0.51000000000000034</c:v>
                </c:pt>
                <c:pt idx="255">
                  <c:v>0.51200000000000034</c:v>
                </c:pt>
                <c:pt idx="256">
                  <c:v>0.51400000000000035</c:v>
                </c:pt>
                <c:pt idx="257">
                  <c:v>0.51600000000000035</c:v>
                </c:pt>
                <c:pt idx="258">
                  <c:v>0.51800000000000035</c:v>
                </c:pt>
                <c:pt idx="259">
                  <c:v>0.52000000000000035</c:v>
                </c:pt>
                <c:pt idx="260">
                  <c:v>0.52200000000000035</c:v>
                </c:pt>
                <c:pt idx="261">
                  <c:v>0.52400000000000035</c:v>
                </c:pt>
                <c:pt idx="262">
                  <c:v>0.52600000000000036</c:v>
                </c:pt>
                <c:pt idx="263">
                  <c:v>0.52800000000000036</c:v>
                </c:pt>
                <c:pt idx="264">
                  <c:v>0.53000000000000036</c:v>
                </c:pt>
                <c:pt idx="265">
                  <c:v>0.53200000000000036</c:v>
                </c:pt>
                <c:pt idx="266">
                  <c:v>0.53400000000000036</c:v>
                </c:pt>
                <c:pt idx="267">
                  <c:v>0.53600000000000037</c:v>
                </c:pt>
                <c:pt idx="268">
                  <c:v>0.53800000000000037</c:v>
                </c:pt>
                <c:pt idx="269">
                  <c:v>0.54000000000000037</c:v>
                </c:pt>
                <c:pt idx="270">
                  <c:v>0.54200000000000037</c:v>
                </c:pt>
                <c:pt idx="271">
                  <c:v>0.54400000000000037</c:v>
                </c:pt>
                <c:pt idx="272">
                  <c:v>0.54600000000000037</c:v>
                </c:pt>
                <c:pt idx="273">
                  <c:v>0.54800000000000038</c:v>
                </c:pt>
                <c:pt idx="274">
                  <c:v>0.55000000000000038</c:v>
                </c:pt>
                <c:pt idx="275">
                  <c:v>0.55200000000000038</c:v>
                </c:pt>
                <c:pt idx="276">
                  <c:v>0.55400000000000038</c:v>
                </c:pt>
                <c:pt idx="277">
                  <c:v>0.55600000000000038</c:v>
                </c:pt>
                <c:pt idx="278">
                  <c:v>0.55800000000000038</c:v>
                </c:pt>
                <c:pt idx="279">
                  <c:v>0.56000000000000039</c:v>
                </c:pt>
                <c:pt idx="280">
                  <c:v>0.56200000000000039</c:v>
                </c:pt>
                <c:pt idx="281">
                  <c:v>0.56400000000000039</c:v>
                </c:pt>
                <c:pt idx="282">
                  <c:v>0.56600000000000039</c:v>
                </c:pt>
                <c:pt idx="283">
                  <c:v>0.56800000000000039</c:v>
                </c:pt>
                <c:pt idx="284">
                  <c:v>0.5700000000000004</c:v>
                </c:pt>
                <c:pt idx="285">
                  <c:v>0.5720000000000004</c:v>
                </c:pt>
                <c:pt idx="286">
                  <c:v>0.5740000000000004</c:v>
                </c:pt>
                <c:pt idx="287">
                  <c:v>0.5760000000000004</c:v>
                </c:pt>
                <c:pt idx="288">
                  <c:v>0.5780000000000004</c:v>
                </c:pt>
                <c:pt idx="289">
                  <c:v>0.5800000000000004</c:v>
                </c:pt>
                <c:pt idx="290">
                  <c:v>0.58200000000000041</c:v>
                </c:pt>
                <c:pt idx="291">
                  <c:v>0.58400000000000041</c:v>
                </c:pt>
                <c:pt idx="292">
                  <c:v>0.58600000000000041</c:v>
                </c:pt>
                <c:pt idx="293">
                  <c:v>0.58800000000000041</c:v>
                </c:pt>
                <c:pt idx="294">
                  <c:v>0.59000000000000041</c:v>
                </c:pt>
                <c:pt idx="295">
                  <c:v>0.59200000000000041</c:v>
                </c:pt>
                <c:pt idx="296">
                  <c:v>0.59400000000000042</c:v>
                </c:pt>
                <c:pt idx="297">
                  <c:v>0.59600000000000042</c:v>
                </c:pt>
                <c:pt idx="298">
                  <c:v>0.59800000000000042</c:v>
                </c:pt>
                <c:pt idx="299">
                  <c:v>0.60000000000000042</c:v>
                </c:pt>
                <c:pt idx="300">
                  <c:v>0.60200000000000042</c:v>
                </c:pt>
                <c:pt idx="301">
                  <c:v>0.60400000000000043</c:v>
                </c:pt>
                <c:pt idx="302">
                  <c:v>0.60600000000000043</c:v>
                </c:pt>
                <c:pt idx="303">
                  <c:v>0.60800000000000043</c:v>
                </c:pt>
                <c:pt idx="304">
                  <c:v>0.61000000000000043</c:v>
                </c:pt>
                <c:pt idx="305">
                  <c:v>0.61200000000000043</c:v>
                </c:pt>
                <c:pt idx="306">
                  <c:v>0.61400000000000043</c:v>
                </c:pt>
                <c:pt idx="307">
                  <c:v>0.61600000000000044</c:v>
                </c:pt>
                <c:pt idx="308">
                  <c:v>0.61800000000000044</c:v>
                </c:pt>
                <c:pt idx="309">
                  <c:v>0.62000000000000044</c:v>
                </c:pt>
                <c:pt idx="310">
                  <c:v>0.62200000000000044</c:v>
                </c:pt>
                <c:pt idx="311">
                  <c:v>0.62400000000000044</c:v>
                </c:pt>
                <c:pt idx="312">
                  <c:v>0.62600000000000044</c:v>
                </c:pt>
                <c:pt idx="313">
                  <c:v>0.62800000000000045</c:v>
                </c:pt>
                <c:pt idx="314">
                  <c:v>0.63000000000000045</c:v>
                </c:pt>
                <c:pt idx="315">
                  <c:v>0.63200000000000045</c:v>
                </c:pt>
                <c:pt idx="316">
                  <c:v>0.63400000000000045</c:v>
                </c:pt>
                <c:pt idx="317">
                  <c:v>0.63600000000000045</c:v>
                </c:pt>
                <c:pt idx="318">
                  <c:v>0.63800000000000046</c:v>
                </c:pt>
                <c:pt idx="319">
                  <c:v>0.64000000000000046</c:v>
                </c:pt>
                <c:pt idx="320">
                  <c:v>0.64200000000000046</c:v>
                </c:pt>
                <c:pt idx="321">
                  <c:v>0.64400000000000046</c:v>
                </c:pt>
                <c:pt idx="322">
                  <c:v>0.64600000000000046</c:v>
                </c:pt>
                <c:pt idx="323">
                  <c:v>0.64800000000000046</c:v>
                </c:pt>
                <c:pt idx="324">
                  <c:v>0.65000000000000047</c:v>
                </c:pt>
                <c:pt idx="325">
                  <c:v>0.65200000000000047</c:v>
                </c:pt>
                <c:pt idx="326">
                  <c:v>0.65400000000000047</c:v>
                </c:pt>
                <c:pt idx="327">
                  <c:v>0.65600000000000047</c:v>
                </c:pt>
                <c:pt idx="328">
                  <c:v>0.65800000000000047</c:v>
                </c:pt>
                <c:pt idx="329">
                  <c:v>0.66000000000000048</c:v>
                </c:pt>
                <c:pt idx="330">
                  <c:v>0.66200000000000048</c:v>
                </c:pt>
                <c:pt idx="331">
                  <c:v>0.66400000000000048</c:v>
                </c:pt>
                <c:pt idx="332">
                  <c:v>0.66600000000000048</c:v>
                </c:pt>
                <c:pt idx="333">
                  <c:v>0.66800000000000048</c:v>
                </c:pt>
                <c:pt idx="334">
                  <c:v>0.67000000000000048</c:v>
                </c:pt>
                <c:pt idx="335">
                  <c:v>0.67200000000000049</c:v>
                </c:pt>
                <c:pt idx="336">
                  <c:v>0.67400000000000049</c:v>
                </c:pt>
                <c:pt idx="337">
                  <c:v>0.67600000000000049</c:v>
                </c:pt>
                <c:pt idx="338">
                  <c:v>0.67800000000000049</c:v>
                </c:pt>
                <c:pt idx="339">
                  <c:v>0.68000000000000049</c:v>
                </c:pt>
                <c:pt idx="340">
                  <c:v>0.68200000000000049</c:v>
                </c:pt>
                <c:pt idx="341">
                  <c:v>0.6840000000000005</c:v>
                </c:pt>
                <c:pt idx="342">
                  <c:v>0.6860000000000005</c:v>
                </c:pt>
                <c:pt idx="343">
                  <c:v>0.6880000000000005</c:v>
                </c:pt>
                <c:pt idx="344">
                  <c:v>0.6900000000000005</c:v>
                </c:pt>
                <c:pt idx="345">
                  <c:v>0.6920000000000005</c:v>
                </c:pt>
                <c:pt idx="346">
                  <c:v>0.69400000000000051</c:v>
                </c:pt>
                <c:pt idx="347">
                  <c:v>0.69600000000000051</c:v>
                </c:pt>
                <c:pt idx="348">
                  <c:v>0.69800000000000051</c:v>
                </c:pt>
                <c:pt idx="349">
                  <c:v>0.70000000000000051</c:v>
                </c:pt>
                <c:pt idx="350">
                  <c:v>0.70200000000000051</c:v>
                </c:pt>
                <c:pt idx="351">
                  <c:v>0.70400000000000051</c:v>
                </c:pt>
                <c:pt idx="352">
                  <c:v>0.70600000000000052</c:v>
                </c:pt>
                <c:pt idx="353">
                  <c:v>0.70800000000000052</c:v>
                </c:pt>
                <c:pt idx="354">
                  <c:v>0.71000000000000052</c:v>
                </c:pt>
                <c:pt idx="355">
                  <c:v>0.71200000000000052</c:v>
                </c:pt>
                <c:pt idx="356">
                  <c:v>0.71400000000000052</c:v>
                </c:pt>
                <c:pt idx="357">
                  <c:v>0.71600000000000052</c:v>
                </c:pt>
                <c:pt idx="358">
                  <c:v>0.71800000000000053</c:v>
                </c:pt>
                <c:pt idx="359">
                  <c:v>0.72000000000000053</c:v>
                </c:pt>
                <c:pt idx="360">
                  <c:v>0.72200000000000053</c:v>
                </c:pt>
                <c:pt idx="361">
                  <c:v>0.72400000000000053</c:v>
                </c:pt>
                <c:pt idx="362">
                  <c:v>0.72600000000000053</c:v>
                </c:pt>
                <c:pt idx="363">
                  <c:v>0.72800000000000054</c:v>
                </c:pt>
                <c:pt idx="364">
                  <c:v>0.73000000000000054</c:v>
                </c:pt>
                <c:pt idx="365">
                  <c:v>0.73200000000000054</c:v>
                </c:pt>
                <c:pt idx="366">
                  <c:v>0.73400000000000054</c:v>
                </c:pt>
                <c:pt idx="367">
                  <c:v>0.73600000000000054</c:v>
                </c:pt>
                <c:pt idx="368">
                  <c:v>0.73800000000000054</c:v>
                </c:pt>
                <c:pt idx="369">
                  <c:v>0.74000000000000055</c:v>
                </c:pt>
                <c:pt idx="370">
                  <c:v>0.74200000000000055</c:v>
                </c:pt>
                <c:pt idx="371">
                  <c:v>0.74400000000000055</c:v>
                </c:pt>
                <c:pt idx="372">
                  <c:v>0.74600000000000055</c:v>
                </c:pt>
                <c:pt idx="373">
                  <c:v>0.74800000000000055</c:v>
                </c:pt>
                <c:pt idx="374">
                  <c:v>0.75000000000000056</c:v>
                </c:pt>
                <c:pt idx="375">
                  <c:v>0.75200000000000056</c:v>
                </c:pt>
                <c:pt idx="376">
                  <c:v>0.75400000000000056</c:v>
                </c:pt>
                <c:pt idx="377">
                  <c:v>0.75600000000000056</c:v>
                </c:pt>
                <c:pt idx="378">
                  <c:v>0.75800000000000056</c:v>
                </c:pt>
                <c:pt idx="379">
                  <c:v>0.76000000000000056</c:v>
                </c:pt>
                <c:pt idx="380">
                  <c:v>0.76200000000000057</c:v>
                </c:pt>
                <c:pt idx="381">
                  <c:v>0.76400000000000057</c:v>
                </c:pt>
                <c:pt idx="382">
                  <c:v>0.76600000000000057</c:v>
                </c:pt>
                <c:pt idx="383">
                  <c:v>0.76800000000000057</c:v>
                </c:pt>
                <c:pt idx="384">
                  <c:v>0.77000000000000057</c:v>
                </c:pt>
                <c:pt idx="385">
                  <c:v>0.77200000000000057</c:v>
                </c:pt>
                <c:pt idx="386">
                  <c:v>0.77400000000000058</c:v>
                </c:pt>
                <c:pt idx="387">
                  <c:v>0.77600000000000058</c:v>
                </c:pt>
                <c:pt idx="388">
                  <c:v>0.77800000000000058</c:v>
                </c:pt>
                <c:pt idx="389">
                  <c:v>0.78000000000000058</c:v>
                </c:pt>
                <c:pt idx="390">
                  <c:v>0.78200000000000058</c:v>
                </c:pt>
                <c:pt idx="391">
                  <c:v>0.78400000000000059</c:v>
                </c:pt>
                <c:pt idx="392">
                  <c:v>0.78600000000000059</c:v>
                </c:pt>
                <c:pt idx="393">
                  <c:v>0.78800000000000059</c:v>
                </c:pt>
                <c:pt idx="394">
                  <c:v>0.79000000000000059</c:v>
                </c:pt>
                <c:pt idx="395">
                  <c:v>0.79200000000000059</c:v>
                </c:pt>
                <c:pt idx="396">
                  <c:v>0.79400000000000059</c:v>
                </c:pt>
                <c:pt idx="397">
                  <c:v>0.7960000000000006</c:v>
                </c:pt>
                <c:pt idx="398">
                  <c:v>0.7980000000000006</c:v>
                </c:pt>
                <c:pt idx="399">
                  <c:v>0.8000000000000006</c:v>
                </c:pt>
                <c:pt idx="400">
                  <c:v>0.8020000000000006</c:v>
                </c:pt>
                <c:pt idx="401">
                  <c:v>0.8040000000000006</c:v>
                </c:pt>
                <c:pt idx="402">
                  <c:v>0.8060000000000006</c:v>
                </c:pt>
                <c:pt idx="403">
                  <c:v>0.80800000000000061</c:v>
                </c:pt>
                <c:pt idx="404">
                  <c:v>0.81000000000000061</c:v>
                </c:pt>
                <c:pt idx="405">
                  <c:v>0.81200000000000061</c:v>
                </c:pt>
                <c:pt idx="406">
                  <c:v>0.81400000000000061</c:v>
                </c:pt>
                <c:pt idx="407">
                  <c:v>0.81600000000000061</c:v>
                </c:pt>
                <c:pt idx="408">
                  <c:v>0.81800000000000062</c:v>
                </c:pt>
                <c:pt idx="409">
                  <c:v>0.82000000000000062</c:v>
                </c:pt>
                <c:pt idx="410">
                  <c:v>0.82200000000000062</c:v>
                </c:pt>
                <c:pt idx="411">
                  <c:v>0.82400000000000062</c:v>
                </c:pt>
                <c:pt idx="412">
                  <c:v>0.82600000000000062</c:v>
                </c:pt>
                <c:pt idx="413">
                  <c:v>0.82800000000000062</c:v>
                </c:pt>
                <c:pt idx="414">
                  <c:v>0.83000000000000063</c:v>
                </c:pt>
                <c:pt idx="415">
                  <c:v>0.83200000000000063</c:v>
                </c:pt>
                <c:pt idx="416">
                  <c:v>0.83400000000000063</c:v>
                </c:pt>
                <c:pt idx="417">
                  <c:v>0.83600000000000063</c:v>
                </c:pt>
                <c:pt idx="418">
                  <c:v>0.83800000000000063</c:v>
                </c:pt>
                <c:pt idx="419">
                  <c:v>0.84000000000000064</c:v>
                </c:pt>
                <c:pt idx="420">
                  <c:v>0.84200000000000064</c:v>
                </c:pt>
                <c:pt idx="421">
                  <c:v>0.84400000000000064</c:v>
                </c:pt>
                <c:pt idx="422">
                  <c:v>0.84600000000000064</c:v>
                </c:pt>
                <c:pt idx="423">
                  <c:v>0.84800000000000064</c:v>
                </c:pt>
                <c:pt idx="424">
                  <c:v>0.85000000000000064</c:v>
                </c:pt>
                <c:pt idx="425">
                  <c:v>0.85200000000000065</c:v>
                </c:pt>
                <c:pt idx="426">
                  <c:v>0.85400000000000065</c:v>
                </c:pt>
                <c:pt idx="427">
                  <c:v>0.85600000000000065</c:v>
                </c:pt>
                <c:pt idx="428">
                  <c:v>0.85800000000000065</c:v>
                </c:pt>
                <c:pt idx="429">
                  <c:v>0.86000000000000065</c:v>
                </c:pt>
                <c:pt idx="430">
                  <c:v>0.86200000000000065</c:v>
                </c:pt>
                <c:pt idx="431">
                  <c:v>0.86400000000000066</c:v>
                </c:pt>
                <c:pt idx="432">
                  <c:v>0.86600000000000066</c:v>
                </c:pt>
                <c:pt idx="433">
                  <c:v>0.86800000000000066</c:v>
                </c:pt>
                <c:pt idx="434">
                  <c:v>0.87000000000000066</c:v>
                </c:pt>
                <c:pt idx="435">
                  <c:v>0.87200000000000066</c:v>
                </c:pt>
                <c:pt idx="436">
                  <c:v>0.87400000000000067</c:v>
                </c:pt>
                <c:pt idx="437">
                  <c:v>0.87600000000000067</c:v>
                </c:pt>
                <c:pt idx="438">
                  <c:v>0.87800000000000067</c:v>
                </c:pt>
                <c:pt idx="439">
                  <c:v>0.88000000000000067</c:v>
                </c:pt>
                <c:pt idx="440">
                  <c:v>0.88200000000000067</c:v>
                </c:pt>
                <c:pt idx="441">
                  <c:v>0.88400000000000067</c:v>
                </c:pt>
                <c:pt idx="442">
                  <c:v>0.88600000000000068</c:v>
                </c:pt>
                <c:pt idx="443">
                  <c:v>0.88800000000000068</c:v>
                </c:pt>
                <c:pt idx="444">
                  <c:v>0.89000000000000068</c:v>
                </c:pt>
                <c:pt idx="445">
                  <c:v>0.89200000000000068</c:v>
                </c:pt>
                <c:pt idx="446">
                  <c:v>0.89400000000000068</c:v>
                </c:pt>
                <c:pt idx="447">
                  <c:v>0.89600000000000068</c:v>
                </c:pt>
                <c:pt idx="448">
                  <c:v>0.89800000000000069</c:v>
                </c:pt>
                <c:pt idx="449">
                  <c:v>0.90000000000000069</c:v>
                </c:pt>
                <c:pt idx="450">
                  <c:v>0.90200000000000069</c:v>
                </c:pt>
                <c:pt idx="451">
                  <c:v>0.90400000000000069</c:v>
                </c:pt>
                <c:pt idx="452">
                  <c:v>0.90600000000000069</c:v>
                </c:pt>
                <c:pt idx="453">
                  <c:v>0.9080000000000007</c:v>
                </c:pt>
                <c:pt idx="454">
                  <c:v>0.9100000000000007</c:v>
                </c:pt>
                <c:pt idx="455">
                  <c:v>0.9120000000000007</c:v>
                </c:pt>
                <c:pt idx="456">
                  <c:v>0.9140000000000007</c:v>
                </c:pt>
                <c:pt idx="457">
                  <c:v>0.9160000000000007</c:v>
                </c:pt>
                <c:pt idx="458">
                  <c:v>0.9180000000000007</c:v>
                </c:pt>
                <c:pt idx="459">
                  <c:v>0.92000000000000071</c:v>
                </c:pt>
                <c:pt idx="460">
                  <c:v>0.92200000000000071</c:v>
                </c:pt>
                <c:pt idx="461">
                  <c:v>0.92400000000000071</c:v>
                </c:pt>
                <c:pt idx="462">
                  <c:v>0.92600000000000071</c:v>
                </c:pt>
                <c:pt idx="463">
                  <c:v>0.92800000000000071</c:v>
                </c:pt>
                <c:pt idx="464">
                  <c:v>0.93000000000000071</c:v>
                </c:pt>
                <c:pt idx="465">
                  <c:v>0.93200000000000072</c:v>
                </c:pt>
                <c:pt idx="466">
                  <c:v>0.93400000000000072</c:v>
                </c:pt>
                <c:pt idx="467">
                  <c:v>0.93600000000000072</c:v>
                </c:pt>
                <c:pt idx="468">
                  <c:v>0.93800000000000072</c:v>
                </c:pt>
                <c:pt idx="469">
                  <c:v>0.94000000000000072</c:v>
                </c:pt>
                <c:pt idx="470">
                  <c:v>0.94200000000000073</c:v>
                </c:pt>
                <c:pt idx="471">
                  <c:v>0.94400000000000073</c:v>
                </c:pt>
                <c:pt idx="472">
                  <c:v>0.94600000000000073</c:v>
                </c:pt>
                <c:pt idx="473">
                  <c:v>0.94800000000000073</c:v>
                </c:pt>
                <c:pt idx="474">
                  <c:v>0.95000000000000073</c:v>
                </c:pt>
                <c:pt idx="475">
                  <c:v>0.95200000000000073</c:v>
                </c:pt>
                <c:pt idx="476">
                  <c:v>0.95400000000000074</c:v>
                </c:pt>
                <c:pt idx="477">
                  <c:v>0.95600000000000074</c:v>
                </c:pt>
                <c:pt idx="478">
                  <c:v>0.95800000000000074</c:v>
                </c:pt>
                <c:pt idx="479">
                  <c:v>0.96000000000000074</c:v>
                </c:pt>
                <c:pt idx="480">
                  <c:v>0.96200000000000074</c:v>
                </c:pt>
                <c:pt idx="481">
                  <c:v>0.96400000000000075</c:v>
                </c:pt>
                <c:pt idx="482">
                  <c:v>0.96600000000000075</c:v>
                </c:pt>
                <c:pt idx="483">
                  <c:v>0.96800000000000075</c:v>
                </c:pt>
                <c:pt idx="484">
                  <c:v>0.97000000000000075</c:v>
                </c:pt>
                <c:pt idx="485">
                  <c:v>0.97200000000000075</c:v>
                </c:pt>
                <c:pt idx="486">
                  <c:v>0.97400000000000075</c:v>
                </c:pt>
                <c:pt idx="487">
                  <c:v>0.97600000000000076</c:v>
                </c:pt>
                <c:pt idx="488">
                  <c:v>0.97800000000000076</c:v>
                </c:pt>
                <c:pt idx="489">
                  <c:v>0.98000000000000076</c:v>
                </c:pt>
                <c:pt idx="490">
                  <c:v>0.98200000000000076</c:v>
                </c:pt>
                <c:pt idx="491">
                  <c:v>0.98400000000000076</c:v>
                </c:pt>
                <c:pt idx="492">
                  <c:v>0.98600000000000076</c:v>
                </c:pt>
                <c:pt idx="493">
                  <c:v>0.98800000000000077</c:v>
                </c:pt>
                <c:pt idx="494">
                  <c:v>0.99000000000000077</c:v>
                </c:pt>
                <c:pt idx="495">
                  <c:v>0.99200000000000077</c:v>
                </c:pt>
                <c:pt idx="496">
                  <c:v>0.99400000000000077</c:v>
                </c:pt>
                <c:pt idx="497">
                  <c:v>0.99600000000000077</c:v>
                </c:pt>
                <c:pt idx="498">
                  <c:v>0.99800000000000078</c:v>
                </c:pt>
                <c:pt idx="499">
                  <c:v>1.0000000000000007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30-4338-987F-DDC9BC3CD2BC}"/>
            </c:ext>
          </c:extLst>
        </c:ser>
        <c:ser>
          <c:idx val="1"/>
          <c:order val="1"/>
          <c:tx>
            <c:v>pea</c:v>
          </c:tx>
          <c:spPr>
            <a:solidFill>
              <a:schemeClr val="accent2"/>
            </a:solidFill>
            <a:ln w="25400">
              <a:noFill/>
            </a:ln>
            <a:effectLst/>
            <a:sp3d/>
          </c:spPr>
          <c:val>
            <c:numRef>
              <c:f>expo!$N$5:$N$504</c:f>
              <c:numCache>
                <c:formatCode>General</c:formatCode>
                <c:ptCount val="500"/>
                <c:pt idx="0">
                  <c:v>0.43675540673019708</c:v>
                </c:pt>
                <c:pt idx="1">
                  <c:v>0.45563689939258911</c:v>
                </c:pt>
                <c:pt idx="2">
                  <c:v>0.4826752477921018</c:v>
                </c:pt>
                <c:pt idx="3">
                  <c:v>0.49436986271635064</c:v>
                </c:pt>
                <c:pt idx="4">
                  <c:v>0.50480788116066955</c:v>
                </c:pt>
                <c:pt idx="5">
                  <c:v>0.50915883969089171</c:v>
                </c:pt>
                <c:pt idx="6">
                  <c:v>0.5128857082811904</c:v>
                </c:pt>
                <c:pt idx="7">
                  <c:v>0.51948435669640525</c:v>
                </c:pt>
                <c:pt idx="8">
                  <c:v>0.51967707542880304</c:v>
                </c:pt>
                <c:pt idx="9">
                  <c:v>0.51967707542880304</c:v>
                </c:pt>
                <c:pt idx="10">
                  <c:v>0.52160001674699541</c:v>
                </c:pt>
                <c:pt idx="11">
                  <c:v>0.52485136573913493</c:v>
                </c:pt>
                <c:pt idx="12">
                  <c:v>0.53185165048875227</c:v>
                </c:pt>
                <c:pt idx="13">
                  <c:v>0.53203940911378189</c:v>
                </c:pt>
                <c:pt idx="14">
                  <c:v>0.53856373459006368</c:v>
                </c:pt>
                <c:pt idx="15">
                  <c:v>0.53985764335710673</c:v>
                </c:pt>
                <c:pt idx="16">
                  <c:v>0.54169979309549166</c:v>
                </c:pt>
                <c:pt idx="17">
                  <c:v>0.5424345863556147</c:v>
                </c:pt>
                <c:pt idx="18">
                  <c:v>0.54261810051948323</c:v>
                </c:pt>
                <c:pt idx="19">
                  <c:v>0.54463190511893633</c:v>
                </c:pt>
                <c:pt idx="20">
                  <c:v>0.54953736892348182</c:v>
                </c:pt>
                <c:pt idx="21">
                  <c:v>0.55043997200355088</c:v>
                </c:pt>
                <c:pt idx="22">
                  <c:v>0.55152070870884273</c:v>
                </c:pt>
                <c:pt idx="23">
                  <c:v>0.55170057873332323</c:v>
                </c:pt>
                <c:pt idx="24">
                  <c:v>0.55652989508056694</c:v>
                </c:pt>
                <c:pt idx="25">
                  <c:v>0.55724091122075559</c:v>
                </c:pt>
                <c:pt idx="26">
                  <c:v>0.55777342511860373</c:v>
                </c:pt>
                <c:pt idx="27">
                  <c:v>0.55777342511860373</c:v>
                </c:pt>
                <c:pt idx="28">
                  <c:v>0.55901346818663211</c:v>
                </c:pt>
                <c:pt idx="29">
                  <c:v>0.55936712711119418</c:v>
                </c:pt>
                <c:pt idx="30">
                  <c:v>0.55936712711119418</c:v>
                </c:pt>
                <c:pt idx="31">
                  <c:v>0.56042640304684943</c:v>
                </c:pt>
                <c:pt idx="32">
                  <c:v>0.56113117191123829</c:v>
                </c:pt>
                <c:pt idx="33">
                  <c:v>0.56113117191123829</c:v>
                </c:pt>
                <c:pt idx="34">
                  <c:v>0.56130718750077579</c:v>
                </c:pt>
                <c:pt idx="35">
                  <c:v>0.56201054420241492</c:v>
                </c:pt>
                <c:pt idx="36">
                  <c:v>0.56306346539632279</c:v>
                </c:pt>
                <c:pt idx="37">
                  <c:v>0.56411385538080094</c:v>
                </c:pt>
                <c:pt idx="38">
                  <c:v>0.56463810307163698</c:v>
                </c:pt>
                <c:pt idx="39">
                  <c:v>0.56533611931242844</c:v>
                </c:pt>
                <c:pt idx="40">
                  <c:v>0.56533611931242844</c:v>
                </c:pt>
                <c:pt idx="41">
                  <c:v>0.56672879619753735</c:v>
                </c:pt>
                <c:pt idx="42">
                  <c:v>0.56707626764377483</c:v>
                </c:pt>
                <c:pt idx="43">
                  <c:v>0.56724989885451116</c:v>
                </c:pt>
                <c:pt idx="44">
                  <c:v>0.56794372760005563</c:v>
                </c:pt>
                <c:pt idx="45">
                  <c:v>0.56967343654268787</c:v>
                </c:pt>
                <c:pt idx="46">
                  <c:v>0.5700185464693267</c:v>
                </c:pt>
                <c:pt idx="47">
                  <c:v>0.571739949010729</c:v>
                </c:pt>
                <c:pt idx="48">
                  <c:v>0.57208340165188543</c:v>
                </c:pt>
                <c:pt idx="49">
                  <c:v>0.57242657885358317</c:v>
                </c:pt>
                <c:pt idx="50">
                  <c:v>0.57311210782200361</c:v>
                </c:pt>
                <c:pt idx="51">
                  <c:v>0.57345446002998479</c:v>
                </c:pt>
                <c:pt idx="52">
                  <c:v>0.57345446002998479</c:v>
                </c:pt>
                <c:pt idx="53">
                  <c:v>0.57447987019284685</c:v>
                </c:pt>
                <c:pt idx="54">
                  <c:v>0.57516210711685101</c:v>
                </c:pt>
                <c:pt idx="55">
                  <c:v>0.57584325020959348</c:v>
                </c:pt>
                <c:pt idx="56">
                  <c:v>0.57584325020959348</c:v>
                </c:pt>
                <c:pt idx="57">
                  <c:v>0.57618341211739543</c:v>
                </c:pt>
                <c:pt idx="58">
                  <c:v>0.57618341211739543</c:v>
                </c:pt>
                <c:pt idx="59">
                  <c:v>0.57652330122481521</c:v>
                </c:pt>
                <c:pt idx="60">
                  <c:v>0.5766931435467566</c:v>
                </c:pt>
                <c:pt idx="61">
                  <c:v>0.57703262386375731</c:v>
                </c:pt>
                <c:pt idx="62">
                  <c:v>0.57720226191344515</c:v>
                </c:pt>
                <c:pt idx="63">
                  <c:v>0.5778801340236055</c:v>
                </c:pt>
                <c:pt idx="64">
                  <c:v>0.57804943216535087</c:v>
                </c:pt>
                <c:pt idx="65">
                  <c:v>0.57855691930061526</c:v>
                </c:pt>
                <c:pt idx="66">
                  <c:v>0.57889490492133566</c:v>
                </c:pt>
                <c:pt idx="67">
                  <c:v>0.57889490492133566</c:v>
                </c:pt>
                <c:pt idx="68">
                  <c:v>0.57906379607245784</c:v>
                </c:pt>
                <c:pt idx="69">
                  <c:v>0.57940137519211521</c:v>
                </c:pt>
                <c:pt idx="70">
                  <c:v>0.5797386835827143</c:v>
                </c:pt>
                <c:pt idx="71">
                  <c:v>0.57990723632247299</c:v>
                </c:pt>
                <c:pt idx="72">
                  <c:v>0.57990723632247299</c:v>
                </c:pt>
                <c:pt idx="73">
                  <c:v>0.58058077154398557</c:v>
                </c:pt>
                <c:pt idx="74">
                  <c:v>0.58192460407894786</c:v>
                </c:pt>
                <c:pt idx="75">
                  <c:v>0.58209228011920033</c:v>
                </c:pt>
                <c:pt idx="76">
                  <c:v>0.58259490485236665</c:v>
                </c:pt>
                <c:pt idx="77">
                  <c:v>0.58276231205742679</c:v>
                </c:pt>
                <c:pt idx="78">
                  <c:v>0.58309692507020472</c:v>
                </c:pt>
                <c:pt idx="79">
                  <c:v>0.58426595876802145</c:v>
                </c:pt>
                <c:pt idx="80">
                  <c:v>0.58443269576931844</c:v>
                </c:pt>
                <c:pt idx="81">
                  <c:v>0.58443269576931844</c:v>
                </c:pt>
                <c:pt idx="82">
                  <c:v>0.58459936589798822</c:v>
                </c:pt>
                <c:pt idx="83">
                  <c:v>0.58493250564471677</c:v>
                </c:pt>
                <c:pt idx="84">
                  <c:v>0.58509897531638377</c:v>
                </c:pt>
                <c:pt idx="85">
                  <c:v>0.58526537822264046</c:v>
                </c:pt>
                <c:pt idx="86">
                  <c:v>0.58609639220960075</c:v>
                </c:pt>
                <c:pt idx="87">
                  <c:v>0.58676000435020881</c:v>
                </c:pt>
                <c:pt idx="88">
                  <c:v>0.58725701513193429</c:v>
                </c:pt>
                <c:pt idx="89">
                  <c:v>0.58725701513193429</c:v>
                </c:pt>
                <c:pt idx="90">
                  <c:v>0.5887444637720084</c:v>
                </c:pt>
                <c:pt idx="91">
                  <c:v>0.58890940459493046</c:v>
                </c:pt>
                <c:pt idx="92">
                  <c:v>0.58956850662947646</c:v>
                </c:pt>
                <c:pt idx="93">
                  <c:v>0.58973311695640496</c:v>
                </c:pt>
                <c:pt idx="94">
                  <c:v>0.59006213957767195</c:v>
                </c:pt>
                <c:pt idx="95">
                  <c:v>0.59039089833195413</c:v>
                </c:pt>
                <c:pt idx="96">
                  <c:v>0.5905551788251121</c:v>
                </c:pt>
                <c:pt idx="97">
                  <c:v>0.59071939343086588</c:v>
                </c:pt>
                <c:pt idx="98">
                  <c:v>0.59088354217564065</c:v>
                </c:pt>
                <c:pt idx="99">
                  <c:v>0.59088354217564065</c:v>
                </c:pt>
                <c:pt idx="100">
                  <c:v>0.59137559350818503</c:v>
                </c:pt>
                <c:pt idx="101">
                  <c:v>0.59137559350818503</c:v>
                </c:pt>
                <c:pt idx="102">
                  <c:v>0.59284819956091206</c:v>
                </c:pt>
                <c:pt idx="103">
                  <c:v>0.59366401966180193</c:v>
                </c:pt>
                <c:pt idx="104">
                  <c:v>0.59366401966180193</c:v>
                </c:pt>
                <c:pt idx="105">
                  <c:v>0.59382698741560902</c:v>
                </c:pt>
                <c:pt idx="106">
                  <c:v>0.59382698741560902</c:v>
                </c:pt>
                <c:pt idx="107">
                  <c:v>0.59398988980850775</c:v>
                </c:pt>
                <c:pt idx="108">
                  <c:v>0.59415272686671217</c:v>
                </c:pt>
                <c:pt idx="109">
                  <c:v>0.59431549861642574</c:v>
                </c:pt>
                <c:pt idx="110">
                  <c:v>0.59431549861642574</c:v>
                </c:pt>
                <c:pt idx="111">
                  <c:v>0.59464084629514247</c:v>
                </c:pt>
                <c:pt idx="112">
                  <c:v>0.59561532464942879</c:v>
                </c:pt>
                <c:pt idx="113">
                  <c:v>0.59593962990384508</c:v>
                </c:pt>
                <c:pt idx="114">
                  <c:v>0.59610168498659266</c:v>
                </c:pt>
                <c:pt idx="115">
                  <c:v>0.59626367507447364</c:v>
                </c:pt>
                <c:pt idx="116">
                  <c:v>0.59739578802170978</c:v>
                </c:pt>
                <c:pt idx="117">
                  <c:v>0.59755725908820212</c:v>
                </c:pt>
                <c:pt idx="118">
                  <c:v>0.59755725908820212</c:v>
                </c:pt>
                <c:pt idx="119">
                  <c:v>0.59788000696524812</c:v>
                </c:pt>
                <c:pt idx="120">
                  <c:v>0.59788000696524812</c:v>
                </c:pt>
                <c:pt idx="121">
                  <c:v>0.59820249600747988</c:v>
                </c:pt>
                <c:pt idx="122">
                  <c:v>0.59820249600747988</c:v>
                </c:pt>
                <c:pt idx="123">
                  <c:v>0.59884669841764704</c:v>
                </c:pt>
                <c:pt idx="124">
                  <c:v>0.59981106595584022</c:v>
                </c:pt>
                <c:pt idx="125">
                  <c:v>0.59997156833523912</c:v>
                </c:pt>
                <c:pt idx="126">
                  <c:v>0.60045268934391949</c:v>
                </c:pt>
                <c:pt idx="127">
                  <c:v>0.6006129343896649</c:v>
                </c:pt>
                <c:pt idx="128">
                  <c:v>0.60141319609993849</c:v>
                </c:pt>
                <c:pt idx="129">
                  <c:v>0.60157305591859078</c:v>
                </c:pt>
                <c:pt idx="130">
                  <c:v>0.60173285162282331</c:v>
                </c:pt>
                <c:pt idx="131">
                  <c:v>0.60221185430609281</c:v>
                </c:pt>
                <c:pt idx="132">
                  <c:v>0.60269028088467602</c:v>
                </c:pt>
                <c:pt idx="133">
                  <c:v>0.60316813205146391</c:v>
                </c:pt>
                <c:pt idx="134">
                  <c:v>0.60364540849851389</c:v>
                </c:pt>
                <c:pt idx="135">
                  <c:v>0.60380437305152812</c:v>
                </c:pt>
                <c:pt idx="136">
                  <c:v>0.60380437305152812</c:v>
                </c:pt>
                <c:pt idx="137">
                  <c:v>0.60412211091705137</c:v>
                </c:pt>
                <c:pt idx="138">
                  <c:v>0.60428088428068993</c:v>
                </c:pt>
                <c:pt idx="139">
                  <c:v>0.60443959396564972</c:v>
                </c:pt>
                <c:pt idx="140">
                  <c:v>0.60475682240167972</c:v>
                </c:pt>
                <c:pt idx="141">
                  <c:v>0.60523218810378454</c:v>
                </c:pt>
                <c:pt idx="142">
                  <c:v>0.6053905162526394</c:v>
                </c:pt>
                <c:pt idx="143">
                  <c:v>0.60554878090137598</c:v>
                </c:pt>
                <c:pt idx="144">
                  <c:v>0.60570698207546214</c:v>
                </c:pt>
                <c:pt idx="145">
                  <c:v>0.60602319410150318</c:v>
                </c:pt>
                <c:pt idx="146">
                  <c:v>0.60602319410150318</c:v>
                </c:pt>
                <c:pt idx="147">
                  <c:v>0.60602319410150318</c:v>
                </c:pt>
                <c:pt idx="148">
                  <c:v>0.60618120500434269</c:v>
                </c:pt>
                <c:pt idx="149">
                  <c:v>0.60633915253430049</c:v>
                </c:pt>
                <c:pt idx="150">
                  <c:v>0.60665485757722881</c:v>
                </c:pt>
                <c:pt idx="151">
                  <c:v>0.60712794048009755</c:v>
                </c:pt>
                <c:pt idx="152">
                  <c:v>0.60712794048009755</c:v>
                </c:pt>
                <c:pt idx="153">
                  <c:v>0.6074430129370475</c:v>
                </c:pt>
                <c:pt idx="154">
                  <c:v>0.60807240001556617</c:v>
                </c:pt>
                <c:pt idx="155">
                  <c:v>0.60822958905053981</c:v>
                </c:pt>
                <c:pt idx="156">
                  <c:v>0.60838671504225572</c:v>
                </c:pt>
                <c:pt idx="157">
                  <c:v>0.60854377801599835</c:v>
                </c:pt>
                <c:pt idx="158">
                  <c:v>0.60854377801599835</c:v>
                </c:pt>
                <c:pt idx="159">
                  <c:v>0.60870077799704236</c:v>
                </c:pt>
                <c:pt idx="160">
                  <c:v>0.60870077799704236</c:v>
                </c:pt>
                <c:pt idx="161">
                  <c:v>0.60870077799704236</c:v>
                </c:pt>
                <c:pt idx="162">
                  <c:v>0.60885771501065156</c:v>
                </c:pt>
                <c:pt idx="163">
                  <c:v>0.60932814849936257</c:v>
                </c:pt>
                <c:pt idx="164">
                  <c:v>0.60932814849936257</c:v>
                </c:pt>
                <c:pt idx="165">
                  <c:v>0.60932814849936257</c:v>
                </c:pt>
                <c:pt idx="166">
                  <c:v>0.60948483389567354</c:v>
                </c:pt>
                <c:pt idx="167">
                  <c:v>0.60964145645071932</c:v>
                </c:pt>
                <c:pt idx="168">
                  <c:v>0.60979801618970364</c:v>
                </c:pt>
                <c:pt idx="169">
                  <c:v>0.60995451313781945</c:v>
                </c:pt>
                <c:pt idx="170">
                  <c:v>0.61026731876216989</c:v>
                </c:pt>
                <c:pt idx="171">
                  <c:v>0.6107360568964384</c:v>
                </c:pt>
                <c:pt idx="172">
                  <c:v>0.61089217762784109</c:v>
                </c:pt>
                <c:pt idx="173">
                  <c:v>0.61120423127136847</c:v>
                </c:pt>
                <c:pt idx="174">
                  <c:v>0.61136016423370831</c:v>
                </c:pt>
                <c:pt idx="175">
                  <c:v>0.61151603465655902</c:v>
                </c:pt>
                <c:pt idx="176">
                  <c:v>0.61182758798411307</c:v>
                </c:pt>
                <c:pt idx="177">
                  <c:v>0.61182758798411307</c:v>
                </c:pt>
                <c:pt idx="178">
                  <c:v>0.61276074962554472</c:v>
                </c:pt>
                <c:pt idx="179">
                  <c:v>0.61291605832049945</c:v>
                </c:pt>
                <c:pt idx="180">
                  <c:v>0.61353667045892513</c:v>
                </c:pt>
                <c:pt idx="181">
                  <c:v>0.61353667045892513</c:v>
                </c:pt>
                <c:pt idx="182">
                  <c:v>0.61400147648821912</c:v>
                </c:pt>
                <c:pt idx="183">
                  <c:v>0.61415628756918039</c:v>
                </c:pt>
                <c:pt idx="184">
                  <c:v>0.61415628756918039</c:v>
                </c:pt>
                <c:pt idx="185">
                  <c:v>0.61462034837442148</c:v>
                </c:pt>
                <c:pt idx="186">
                  <c:v>0.61508385104582763</c:v>
                </c:pt>
                <c:pt idx="187">
                  <c:v>0.61523822802260164</c:v>
                </c:pt>
                <c:pt idx="188">
                  <c:v>0.61539254308394042</c:v>
                </c:pt>
                <c:pt idx="189">
                  <c:v>0.61570098755963021</c:v>
                </c:pt>
                <c:pt idx="190">
                  <c:v>0.61616319052788127</c:v>
                </c:pt>
                <c:pt idx="191">
                  <c:v>0.61647101696577056</c:v>
                </c:pt>
                <c:pt idx="192">
                  <c:v>0.61677859653542422</c:v>
                </c:pt>
                <c:pt idx="193">
                  <c:v>0.61785318379878307</c:v>
                </c:pt>
                <c:pt idx="194">
                  <c:v>0.61785318379878307</c:v>
                </c:pt>
                <c:pt idx="195">
                  <c:v>0.61815965490910663</c:v>
                </c:pt>
                <c:pt idx="196">
                  <c:v>0.61846588023812954</c:v>
                </c:pt>
                <c:pt idx="197">
                  <c:v>0.61861890079625637</c:v>
                </c:pt>
                <c:pt idx="198">
                  <c:v>0.61907759434055509</c:v>
                </c:pt>
                <c:pt idx="199">
                  <c:v>0.61907759434055509</c:v>
                </c:pt>
                <c:pt idx="200">
                  <c:v>0.61953573620631497</c:v>
                </c:pt>
                <c:pt idx="201">
                  <c:v>0.62045036755547234</c:v>
                </c:pt>
                <c:pt idx="202">
                  <c:v>0.62060259220219538</c:v>
                </c:pt>
                <c:pt idx="203">
                  <c:v>0.62090685836350334</c:v>
                </c:pt>
                <c:pt idx="204">
                  <c:v>0.62121088051181861</c:v>
                </c:pt>
                <c:pt idx="205">
                  <c:v>0.62136280014226386</c:v>
                </c:pt>
                <c:pt idx="206">
                  <c:v>0.62166645663796283</c:v>
                </c:pt>
                <c:pt idx="207">
                  <c:v>0.62196986960960388</c:v>
                </c:pt>
                <c:pt idx="208">
                  <c:v>0.6221214848349399</c:v>
                </c:pt>
                <c:pt idx="209">
                  <c:v>0.62227303925248656</c:v>
                </c:pt>
                <c:pt idx="210">
                  <c:v>0.62227303925248656</c:v>
                </c:pt>
                <c:pt idx="211">
                  <c:v>0.62287864933239179</c:v>
                </c:pt>
                <c:pt idx="212">
                  <c:v>0.62302990007661552</c:v>
                </c:pt>
                <c:pt idx="213">
                  <c:v>0.62318109015923084</c:v>
                </c:pt>
                <c:pt idx="214">
                  <c:v>0.62318109015923084</c:v>
                </c:pt>
                <c:pt idx="215">
                  <c:v>0.62348328843694456</c:v>
                </c:pt>
                <c:pt idx="216">
                  <c:v>0.62378524436005067</c:v>
                </c:pt>
                <c:pt idx="217">
                  <c:v>0.62378524436005067</c:v>
                </c:pt>
                <c:pt idx="218">
                  <c:v>0.62438842991973043</c:v>
                </c:pt>
                <c:pt idx="219">
                  <c:v>0.62499064839129392</c:v>
                </c:pt>
                <c:pt idx="220">
                  <c:v>0.62499064839129392</c:v>
                </c:pt>
                <c:pt idx="221">
                  <c:v>0.62529139545367074</c:v>
                </c:pt>
                <c:pt idx="222">
                  <c:v>0.62589216619953292</c:v>
                </c:pt>
                <c:pt idx="223">
                  <c:v>0.62589216619953292</c:v>
                </c:pt>
                <c:pt idx="224">
                  <c:v>0.62604220832306168</c:v>
                </c:pt>
                <c:pt idx="225">
                  <c:v>0.62634211206364132</c:v>
                </c:pt>
                <c:pt idx="226">
                  <c:v>0.62649197372895249</c:v>
                </c:pt>
                <c:pt idx="227">
                  <c:v>0.62679151677019485</c:v>
                </c:pt>
                <c:pt idx="228">
                  <c:v>0.62724038097005275</c:v>
                </c:pt>
                <c:pt idx="229">
                  <c:v>0.62724038097005275</c:v>
                </c:pt>
                <c:pt idx="230">
                  <c:v>0.62768870531329179</c:v>
                </c:pt>
                <c:pt idx="231">
                  <c:v>0.6278380269051469</c:v>
                </c:pt>
                <c:pt idx="232">
                  <c:v>0.6278380269051469</c:v>
                </c:pt>
                <c:pt idx="233">
                  <c:v>0.62813649044920661</c:v>
                </c:pt>
                <c:pt idx="234">
                  <c:v>0.62843471463381106</c:v>
                </c:pt>
                <c:pt idx="235">
                  <c:v>0.6285837370263111</c:v>
                </c:pt>
                <c:pt idx="236">
                  <c:v>0.62873269965091994</c:v>
                </c:pt>
                <c:pt idx="237">
                  <c:v>0.62917922915706193</c:v>
                </c:pt>
                <c:pt idx="238">
                  <c:v>0.62932795294971999</c:v>
                </c:pt>
                <c:pt idx="239">
                  <c:v>0.62932795294971999</c:v>
                </c:pt>
                <c:pt idx="240">
                  <c:v>0.62947661709424529</c:v>
                </c:pt>
                <c:pt idx="241">
                  <c:v>0.62947661709424529</c:v>
                </c:pt>
                <c:pt idx="242">
                  <c:v>0.62962522161456103</c:v>
                </c:pt>
                <c:pt idx="243">
                  <c:v>0.62977376653458017</c:v>
                </c:pt>
                <c:pt idx="244">
                  <c:v>0.63021904393184802</c:v>
                </c:pt>
                <c:pt idx="245">
                  <c:v>0.63021904393184802</c:v>
                </c:pt>
                <c:pt idx="246">
                  <c:v>0.63036735068962257</c:v>
                </c:pt>
                <c:pt idx="247">
                  <c:v>0.63036735068962257</c:v>
                </c:pt>
                <c:pt idx="248">
                  <c:v>0.63066378578640558</c:v>
                </c:pt>
                <c:pt idx="249">
                  <c:v>0.63081191417311633</c:v>
                </c:pt>
                <c:pt idx="250">
                  <c:v>0.63081191417311633</c:v>
                </c:pt>
                <c:pt idx="251">
                  <c:v>0.63081191417311633</c:v>
                </c:pt>
                <c:pt idx="252">
                  <c:v>0.63155166544304031</c:v>
                </c:pt>
                <c:pt idx="253">
                  <c:v>0.63184715075235409</c:v>
                </c:pt>
                <c:pt idx="254">
                  <c:v>0.63228993445510617</c:v>
                </c:pt>
                <c:pt idx="255">
                  <c:v>0.63243741064804437</c:v>
                </c:pt>
                <c:pt idx="256">
                  <c:v>0.63258482769322044</c:v>
                </c:pt>
                <c:pt idx="257">
                  <c:v>0.63273218561435662</c:v>
                </c:pt>
                <c:pt idx="258">
                  <c:v>0.63317390487060488</c:v>
                </c:pt>
                <c:pt idx="259">
                  <c:v>0.63317390487060488</c:v>
                </c:pt>
                <c:pt idx="260">
                  <c:v>0.63361509286357953</c:v>
                </c:pt>
                <c:pt idx="261">
                  <c:v>0.63449587761477722</c:v>
                </c:pt>
                <c:pt idx="262">
                  <c:v>0.63478900174787545</c:v>
                </c:pt>
                <c:pt idx="263">
                  <c:v>0.63478900174787545</c:v>
                </c:pt>
                <c:pt idx="264">
                  <c:v>0.63508189080357735</c:v>
                </c:pt>
                <c:pt idx="265">
                  <c:v>0.63508189080357735</c:v>
                </c:pt>
                <c:pt idx="266">
                  <c:v>0.63595914939080522</c:v>
                </c:pt>
                <c:pt idx="267">
                  <c:v>0.63610515398451206</c:v>
                </c:pt>
                <c:pt idx="268">
                  <c:v>0.6362511000206662</c:v>
                </c:pt>
                <c:pt idx="269">
                  <c:v>0.6362511000206662</c:v>
                </c:pt>
                <c:pt idx="270">
                  <c:v>0.63639698752275264</c:v>
                </c:pt>
                <c:pt idx="271">
                  <c:v>0.63697995265980401</c:v>
                </c:pt>
                <c:pt idx="272">
                  <c:v>0.63712554784350561</c:v>
                </c:pt>
                <c:pt idx="273">
                  <c:v>0.63727108463385518</c:v>
                </c:pt>
                <c:pt idx="274">
                  <c:v>0.63727108463385518</c:v>
                </c:pt>
                <c:pt idx="275">
                  <c:v>0.63727108463385518</c:v>
                </c:pt>
                <c:pt idx="276">
                  <c:v>0.63741656305427186</c:v>
                </c:pt>
                <c:pt idx="277">
                  <c:v>0.63814308042639478</c:v>
                </c:pt>
                <c:pt idx="278">
                  <c:v>0.63843327960435037</c:v>
                </c:pt>
                <c:pt idx="279">
                  <c:v>0.63872324605064246</c:v>
                </c:pt>
                <c:pt idx="280">
                  <c:v>0.63944714518982915</c:v>
                </c:pt>
                <c:pt idx="281">
                  <c:v>0.63959175086523168</c:v>
                </c:pt>
                <c:pt idx="282">
                  <c:v>0.64016959383446292</c:v>
                </c:pt>
                <c:pt idx="283">
                  <c:v>0.64045816780506915</c:v>
                </c:pt>
                <c:pt idx="284">
                  <c:v>0.64045816780506915</c:v>
                </c:pt>
                <c:pt idx="285">
                  <c:v>0.64074651034738273</c:v>
                </c:pt>
                <c:pt idx="286">
                  <c:v>0.64074651034738273</c:v>
                </c:pt>
                <c:pt idx="287">
                  <c:v>0.64103462164700287</c:v>
                </c:pt>
                <c:pt idx="288">
                  <c:v>0.64146635542201436</c:v>
                </c:pt>
                <c:pt idx="289">
                  <c:v>0.64161015125981458</c:v>
                </c:pt>
                <c:pt idx="290">
                  <c:v>0.6418975699434607</c:v>
                </c:pt>
                <c:pt idx="291">
                  <c:v>0.6418975699434607</c:v>
                </c:pt>
                <c:pt idx="292">
                  <c:v>0.64218475812532216</c:v>
                </c:pt>
                <c:pt idx="293">
                  <c:v>0.64218475812532216</c:v>
                </c:pt>
                <c:pt idx="294">
                  <c:v>0.64304494150801794</c:v>
                </c:pt>
                <c:pt idx="295">
                  <c:v>0.64318810422780492</c:v>
                </c:pt>
                <c:pt idx="296">
                  <c:v>0.64333120952981937</c:v>
                </c:pt>
                <c:pt idx="297">
                  <c:v>0.64333120952981937</c:v>
                </c:pt>
                <c:pt idx="298">
                  <c:v>0.64347425743708975</c:v>
                </c:pt>
                <c:pt idx="299">
                  <c:v>0.64376018115946509</c:v>
                </c:pt>
                <c:pt idx="300">
                  <c:v>0.64376018115946509</c:v>
                </c:pt>
                <c:pt idx="301">
                  <c:v>0.6440458755789733</c:v>
                </c:pt>
                <c:pt idx="302">
                  <c:v>0.64418863685762484</c:v>
                </c:pt>
                <c:pt idx="303">
                  <c:v>0.64447398766758834</c:v>
                </c:pt>
                <c:pt idx="304">
                  <c:v>0.64475910963414429</c:v>
                </c:pt>
                <c:pt idx="305">
                  <c:v>0.64518636390401229</c:v>
                </c:pt>
                <c:pt idx="306">
                  <c:v>0.64518636390401229</c:v>
                </c:pt>
                <c:pt idx="307">
                  <c:v>0.64532866777099096</c:v>
                </c:pt>
                <c:pt idx="308">
                  <c:v>0.64589731273460771</c:v>
                </c:pt>
                <c:pt idx="309">
                  <c:v>0.64603933146381953</c:v>
                </c:pt>
                <c:pt idx="310">
                  <c:v>0.64618129323407514</c:v>
                </c:pt>
                <c:pt idx="311">
                  <c:v>0.64632319806821914</c:v>
                </c:pt>
                <c:pt idx="312">
                  <c:v>0.64646504598908616</c:v>
                </c:pt>
                <c:pt idx="313">
                  <c:v>0.64660683701950261</c:v>
                </c:pt>
                <c:pt idx="314">
                  <c:v>0.64674857118228535</c:v>
                </c:pt>
                <c:pt idx="315">
                  <c:v>0.6468902485002419</c:v>
                </c:pt>
                <c:pt idx="316">
                  <c:v>0.6468902485002419</c:v>
                </c:pt>
                <c:pt idx="317">
                  <c:v>0.64703186899617093</c:v>
                </c:pt>
                <c:pt idx="318">
                  <c:v>0.64703186899617093</c:v>
                </c:pt>
                <c:pt idx="319">
                  <c:v>0.64773911994271205</c:v>
                </c:pt>
                <c:pt idx="320">
                  <c:v>0.64802162336406166</c:v>
                </c:pt>
                <c:pt idx="321">
                  <c:v>0.6481627901034217</c:v>
                </c:pt>
                <c:pt idx="322">
                  <c:v>0.6484449537530943</c:v>
                </c:pt>
                <c:pt idx="323">
                  <c:v>0.64886777499545734</c:v>
                </c:pt>
                <c:pt idx="324">
                  <c:v>0.64900860237173508</c:v>
                </c:pt>
                <c:pt idx="325">
                  <c:v>0.64957134729188337</c:v>
                </c:pt>
                <c:pt idx="326">
                  <c:v>0.65013318996244007</c:v>
                </c:pt>
                <c:pt idx="327">
                  <c:v>0.65041377340626783</c:v>
                </c:pt>
                <c:pt idx="328">
                  <c:v>0.65041377340626783</c:v>
                </c:pt>
                <c:pt idx="329">
                  <c:v>0.65097426541404579</c:v>
                </c:pt>
                <c:pt idx="330">
                  <c:v>0.65125417433877097</c:v>
                </c:pt>
                <c:pt idx="331">
                  <c:v>0.65153385878432912</c:v>
                </c:pt>
                <c:pt idx="332">
                  <c:v>0.65167361688368453</c:v>
                </c:pt>
                <c:pt idx="333">
                  <c:v>0.65209255495790464</c:v>
                </c:pt>
                <c:pt idx="334">
                  <c:v>0.65278966568321284</c:v>
                </c:pt>
                <c:pt idx="335">
                  <c:v>0.65348537959057329</c:v>
                </c:pt>
                <c:pt idx="336">
                  <c:v>0.65376327467162065</c:v>
                </c:pt>
                <c:pt idx="337">
                  <c:v>0.65376327467162065</c:v>
                </c:pt>
                <c:pt idx="338">
                  <c:v>0.65376327467162065</c:v>
                </c:pt>
                <c:pt idx="339">
                  <c:v>0.65390213862692503</c:v>
                </c:pt>
                <c:pt idx="340">
                  <c:v>0.65404094688854753</c:v>
                </c:pt>
                <c:pt idx="341">
                  <c:v>0.65417969947882482</c:v>
                </c:pt>
                <c:pt idx="342">
                  <c:v>0.65528771871008784</c:v>
                </c:pt>
                <c:pt idx="343">
                  <c:v>0.65542597126194102</c:v>
                </c:pt>
                <c:pt idx="344">
                  <c:v>0.6558403963156344</c:v>
                </c:pt>
                <c:pt idx="345">
                  <c:v>0.65652999739881079</c:v>
                </c:pt>
                <c:pt idx="346">
                  <c:v>0.65666775171428504</c:v>
                </c:pt>
                <c:pt idx="347">
                  <c:v>0.65735569500505076</c:v>
                </c:pt>
                <c:pt idx="348">
                  <c:v>0.65776779914712824</c:v>
                </c:pt>
                <c:pt idx="349">
                  <c:v>0.65790505702177415</c:v>
                </c:pt>
                <c:pt idx="350">
                  <c:v>0.65831650043679657</c:v>
                </c:pt>
                <c:pt idx="351">
                  <c:v>0.65845353824573083</c:v>
                </c:pt>
                <c:pt idx="352">
                  <c:v>0.65927461168374424</c:v>
                </c:pt>
                <c:pt idx="353">
                  <c:v>0.65927461168374424</c:v>
                </c:pt>
                <c:pt idx="354">
                  <c:v>0.65941126522634397</c:v>
                </c:pt>
                <c:pt idx="355">
                  <c:v>0.65954786396178422</c:v>
                </c:pt>
                <c:pt idx="356">
                  <c:v>0.65968440791204619</c:v>
                </c:pt>
                <c:pt idx="357">
                  <c:v>0.65968440791204619</c:v>
                </c:pt>
                <c:pt idx="358">
                  <c:v>0.65982089709910241</c:v>
                </c:pt>
                <c:pt idx="359">
                  <c:v>0.66077478988257776</c:v>
                </c:pt>
                <c:pt idx="360">
                  <c:v>0.66131867006046752</c:v>
                </c:pt>
                <c:pt idx="361">
                  <c:v>0.66159028306058154</c:v>
                </c:pt>
                <c:pt idx="362">
                  <c:v>0.66159028306058154</c:v>
                </c:pt>
                <c:pt idx="363">
                  <c:v>0.66159028306058154</c:v>
                </c:pt>
                <c:pt idx="364">
                  <c:v>0.66199729419147424</c:v>
                </c:pt>
                <c:pt idx="365">
                  <c:v>0.66213285575730085</c:v>
                </c:pt>
                <c:pt idx="366">
                  <c:v>0.66226836295392322</c:v>
                </c:pt>
                <c:pt idx="367">
                  <c:v>0.66253921432676943</c:v>
                </c:pt>
                <c:pt idx="368">
                  <c:v>0.6626745585465782</c:v>
                </c:pt>
                <c:pt idx="369">
                  <c:v>0.6626745585465782</c:v>
                </c:pt>
                <c:pt idx="370">
                  <c:v>0.6626745585465782</c:v>
                </c:pt>
                <c:pt idx="371">
                  <c:v>0.66308026560087496</c:v>
                </c:pt>
                <c:pt idx="372">
                  <c:v>0.66308026560087496</c:v>
                </c:pt>
                <c:pt idx="373">
                  <c:v>0.66362044940683718</c:v>
                </c:pt>
                <c:pt idx="374">
                  <c:v>0.66375535997946522</c:v>
                </c:pt>
                <c:pt idx="375">
                  <c:v>0.66375535997946522</c:v>
                </c:pt>
                <c:pt idx="376">
                  <c:v>0.66389021644398061</c:v>
                </c:pt>
                <c:pt idx="377">
                  <c:v>0.66429446140581716</c:v>
                </c:pt>
                <c:pt idx="378">
                  <c:v>0.66442910165480451</c:v>
                </c:pt>
                <c:pt idx="379">
                  <c:v>0.66442910165480451</c:v>
                </c:pt>
                <c:pt idx="380">
                  <c:v>0.66456368790409703</c:v>
                </c:pt>
                <c:pt idx="381">
                  <c:v>0.66456368790409703</c:v>
                </c:pt>
                <c:pt idx="382">
                  <c:v>0.66456368790409703</c:v>
                </c:pt>
                <c:pt idx="383">
                  <c:v>0.66456368790409703</c:v>
                </c:pt>
                <c:pt idx="384">
                  <c:v>0.66469822017535229</c:v>
                </c:pt>
                <c:pt idx="385">
                  <c:v>0.66483269849021887</c:v>
                </c:pt>
                <c:pt idx="386">
                  <c:v>0.66496712287033688</c:v>
                </c:pt>
                <c:pt idx="387">
                  <c:v>0.66496712287033688</c:v>
                </c:pt>
                <c:pt idx="388">
                  <c:v>0.66523580991284459</c:v>
                </c:pt>
                <c:pt idx="389">
                  <c:v>0.66630840501497057</c:v>
                </c:pt>
                <c:pt idx="390">
                  <c:v>0.66684341314121776</c:v>
                </c:pt>
                <c:pt idx="391">
                  <c:v>0.66724410624308306</c:v>
                </c:pt>
                <c:pt idx="392">
                  <c:v>0.668177183680841</c:v>
                </c:pt>
                <c:pt idx="393">
                  <c:v>0.66857627263415953</c:v>
                </c:pt>
                <c:pt idx="394">
                  <c:v>0.66950561455760749</c:v>
                </c:pt>
                <c:pt idx="395">
                  <c:v>0.66950561455760749</c:v>
                </c:pt>
                <c:pt idx="396">
                  <c:v>0.66977066185610146</c:v>
                </c:pt>
                <c:pt idx="397">
                  <c:v>0.66977066185610146</c:v>
                </c:pt>
                <c:pt idx="398">
                  <c:v>0.67043235052276307</c:v>
                </c:pt>
                <c:pt idx="399">
                  <c:v>0.67056452906997921</c:v>
                </c:pt>
                <c:pt idx="400">
                  <c:v>0.67069665460480676</c:v>
                </c:pt>
                <c:pt idx="401">
                  <c:v>0.67148829574365543</c:v>
                </c:pt>
                <c:pt idx="402">
                  <c:v>0.67175175298702205</c:v>
                </c:pt>
                <c:pt idx="403">
                  <c:v>0.67201499894501227</c:v>
                </c:pt>
                <c:pt idx="404">
                  <c:v>0.67227803378707107</c:v>
                </c:pt>
                <c:pt idx="405">
                  <c:v>0.67240947209254065</c:v>
                </c:pt>
                <c:pt idx="406">
                  <c:v>0.6725408576825076</c:v>
                </c:pt>
                <c:pt idx="407">
                  <c:v>0.6728034708004953</c:v>
                </c:pt>
                <c:pt idx="408">
                  <c:v>0.67372095928029907</c:v>
                </c:pt>
                <c:pt idx="409">
                  <c:v>0.67398262598965086</c:v>
                </c:pt>
                <c:pt idx="410">
                  <c:v>0.6741133806402736</c:v>
                </c:pt>
                <c:pt idx="411">
                  <c:v>0.67476636769423726</c:v>
                </c:pt>
                <c:pt idx="412">
                  <c:v>0.67489680801230922</c:v>
                </c:pt>
                <c:pt idx="413">
                  <c:v>0.6751575317237053</c:v>
                </c:pt>
                <c:pt idx="414">
                  <c:v>0.6758084265863995</c:v>
                </c:pt>
                <c:pt idx="415">
                  <c:v>0.6758084265863995</c:v>
                </c:pt>
                <c:pt idx="416">
                  <c:v>0.67593844896954769</c:v>
                </c:pt>
                <c:pt idx="417">
                  <c:v>0.67632820331690113</c:v>
                </c:pt>
                <c:pt idx="418">
                  <c:v>0.67658777908910284</c:v>
                </c:pt>
                <c:pt idx="419">
                  <c:v>0.67684714668876</c:v>
                </c:pt>
                <c:pt idx="420">
                  <c:v>0.67710630628282131</c:v>
                </c:pt>
                <c:pt idx="421">
                  <c:v>0.67788253869890736</c:v>
                </c:pt>
                <c:pt idx="422">
                  <c:v>0.67801172922514774</c:v>
                </c:pt>
                <c:pt idx="423">
                  <c:v>0.67865690506193799</c:v>
                </c:pt>
                <c:pt idx="424">
                  <c:v>0.67878578501576303</c:v>
                </c:pt>
                <c:pt idx="425">
                  <c:v>0.67904338987584401</c:v>
                </c:pt>
                <c:pt idx="426">
                  <c:v>0.67904338987584401</c:v>
                </c:pt>
                <c:pt idx="427">
                  <c:v>0.67917211482355344</c:v>
                </c:pt>
                <c:pt idx="428">
                  <c:v>0.67917211482355344</c:v>
                </c:pt>
                <c:pt idx="429">
                  <c:v>0.67930078814399719</c:v>
                </c:pt>
                <c:pt idx="430">
                  <c:v>0.67930078814399719</c:v>
                </c:pt>
                <c:pt idx="431">
                  <c:v>0.67994338106164975</c:v>
                </c:pt>
                <c:pt idx="432">
                  <c:v>0.68007174505303458</c:v>
                </c:pt>
                <c:pt idx="433">
                  <c:v>0.68032831860895771</c:v>
                </c:pt>
                <c:pt idx="434">
                  <c:v>0.68045652821478364</c:v>
                </c:pt>
                <c:pt idx="435">
                  <c:v>0.68084084859126981</c:v>
                </c:pt>
                <c:pt idx="436">
                  <c:v>0.68135255683365892</c:v>
                </c:pt>
                <c:pt idx="437">
                  <c:v>0.68135255683365892</c:v>
                </c:pt>
                <c:pt idx="438">
                  <c:v>0.68173579954126262</c:v>
                </c:pt>
                <c:pt idx="439">
                  <c:v>0.68237351336654328</c:v>
                </c:pt>
                <c:pt idx="440">
                  <c:v>0.68250090271324404</c:v>
                </c:pt>
                <c:pt idx="441">
                  <c:v>0.68351817990944164</c:v>
                </c:pt>
                <c:pt idx="442">
                  <c:v>0.68364511016872598</c:v>
                </c:pt>
                <c:pt idx="443">
                  <c:v>0.68440562338175104</c:v>
                </c:pt>
                <c:pt idx="444">
                  <c:v>0.68465872128787919</c:v>
                </c:pt>
                <c:pt idx="445">
                  <c:v>0.68465872128787919</c:v>
                </c:pt>
                <c:pt idx="446">
                  <c:v>0.6851643083304888</c:v>
                </c:pt>
                <c:pt idx="447">
                  <c:v>0.68529057838279128</c:v>
                </c:pt>
                <c:pt idx="448">
                  <c:v>0.6854167977924045</c:v>
                </c:pt>
                <c:pt idx="449">
                  <c:v>0.6864247323681163</c:v>
                </c:pt>
                <c:pt idx="450">
                  <c:v>0.6865504969065479</c:v>
                </c:pt>
                <c:pt idx="451">
                  <c:v>0.68692748796308634</c:v>
                </c:pt>
                <c:pt idx="452">
                  <c:v>0.68742943748942043</c:v>
                </c:pt>
                <c:pt idx="453">
                  <c:v>0.68780537142914833</c:v>
                </c:pt>
                <c:pt idx="454">
                  <c:v>0.68793058223948922</c:v>
                </c:pt>
                <c:pt idx="455">
                  <c:v>0.68805574283196735</c:v>
                </c:pt>
                <c:pt idx="456">
                  <c:v>0.68855588342594476</c:v>
                </c:pt>
                <c:pt idx="457">
                  <c:v>0.68868079323105791</c:v>
                </c:pt>
                <c:pt idx="458">
                  <c:v>0.6888056529390314</c:v>
                </c:pt>
                <c:pt idx="459">
                  <c:v>0.68942920072475133</c:v>
                </c:pt>
                <c:pt idx="460">
                  <c:v>0.68942920072475133</c:v>
                </c:pt>
                <c:pt idx="461">
                  <c:v>0.68955376027154269</c:v>
                </c:pt>
                <c:pt idx="462">
                  <c:v>0.69017580905615583</c:v>
                </c:pt>
                <c:pt idx="463">
                  <c:v>0.69054843988801984</c:v>
                </c:pt>
                <c:pt idx="464">
                  <c:v>0.69067255054546539</c:v>
                </c:pt>
                <c:pt idx="465">
                  <c:v>0.6912923575824228</c:v>
                </c:pt>
                <c:pt idx="466">
                  <c:v>0.69141616987939436</c:v>
                </c:pt>
                <c:pt idx="467">
                  <c:v>0.69166364552235549</c:v>
                </c:pt>
                <c:pt idx="468">
                  <c:v>0.69191092269673882</c:v>
                </c:pt>
                <c:pt idx="469">
                  <c:v>0.69240488227631025</c:v>
                </c:pt>
                <c:pt idx="470">
                  <c:v>0.69277483216384317</c:v>
                </c:pt>
                <c:pt idx="471">
                  <c:v>0.6943728136222771</c:v>
                </c:pt>
                <c:pt idx="472">
                  <c:v>0.69486282604923533</c:v>
                </c:pt>
                <c:pt idx="473">
                  <c:v>0.69608442270742166</c:v>
                </c:pt>
                <c:pt idx="474">
                  <c:v>0.69657169090952287</c:v>
                </c:pt>
                <c:pt idx="475">
                  <c:v>0.69681503196811123</c:v>
                </c:pt>
                <c:pt idx="476">
                  <c:v>0.69742253116359887</c:v>
                </c:pt>
                <c:pt idx="477">
                  <c:v>0.69887556745044832</c:v>
                </c:pt>
                <c:pt idx="478">
                  <c:v>0.69996076367209237</c:v>
                </c:pt>
                <c:pt idx="479">
                  <c:v>0.70044181693217122</c:v>
                </c:pt>
                <c:pt idx="480">
                  <c:v>0.70056195968740664</c:v>
                </c:pt>
                <c:pt idx="481">
                  <c:v>0.70080210066149595</c:v>
                </c:pt>
                <c:pt idx="482">
                  <c:v>0.70140161086914121</c:v>
                </c:pt>
                <c:pt idx="483">
                  <c:v>0.7019999198234026</c:v>
                </c:pt>
                <c:pt idx="484">
                  <c:v>0.70414392283460026</c:v>
                </c:pt>
                <c:pt idx="485">
                  <c:v>0.70485515715741442</c:v>
                </c:pt>
                <c:pt idx="486">
                  <c:v>0.70521013288727508</c:v>
                </c:pt>
                <c:pt idx="487">
                  <c:v>0.70603675017352974</c:v>
                </c:pt>
                <c:pt idx="488">
                  <c:v>0.70650806179731296</c:v>
                </c:pt>
                <c:pt idx="489">
                  <c:v>0.71048382302178026</c:v>
                </c:pt>
                <c:pt idx="490">
                  <c:v>0.71371750742209628</c:v>
                </c:pt>
                <c:pt idx="491">
                  <c:v>0.71680149249044578</c:v>
                </c:pt>
                <c:pt idx="492">
                  <c:v>0.71680149249044578</c:v>
                </c:pt>
                <c:pt idx="493">
                  <c:v>0.71782208702580963</c:v>
                </c:pt>
                <c:pt idx="494">
                  <c:v>0.71940237274972696</c:v>
                </c:pt>
                <c:pt idx="495">
                  <c:v>0.71951491106099952</c:v>
                </c:pt>
                <c:pt idx="496">
                  <c:v>0.72253644345857415</c:v>
                </c:pt>
                <c:pt idx="497">
                  <c:v>0.72397962476389222</c:v>
                </c:pt>
                <c:pt idx="498">
                  <c:v>0.72464317430644276</c:v>
                </c:pt>
                <c:pt idx="499">
                  <c:v>0.72967767469264089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30-4338-987F-DDC9BC3CD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268560"/>
        <c:axId val="451268888"/>
        <c:axId val="525172832"/>
      </c:line3DChart>
      <c:catAx>
        <c:axId val="45126856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51268888"/>
        <c:crosses val="autoZero"/>
        <c:auto val="1"/>
        <c:lblAlgn val="ctr"/>
        <c:lblOffset val="100"/>
        <c:noMultiLvlLbl val="0"/>
      </c:catAx>
      <c:valAx>
        <c:axId val="451268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51268560"/>
        <c:crosses val="autoZero"/>
        <c:crossBetween val="between"/>
      </c:valAx>
      <c:serAx>
        <c:axId val="5251728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51268888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C"/>
              <a:t>Histograma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triang!$D$23:$D$45</c:f>
              <c:strCache>
                <c:ptCount val="23"/>
                <c:pt idx="0">
                  <c:v>14,31</c:v>
                </c:pt>
                <c:pt idx="1">
                  <c:v>15,14181818</c:v>
                </c:pt>
                <c:pt idx="2">
                  <c:v>15,97363636</c:v>
                </c:pt>
                <c:pt idx="3">
                  <c:v>16,80545455</c:v>
                </c:pt>
                <c:pt idx="4">
                  <c:v>17,63727273</c:v>
                </c:pt>
                <c:pt idx="5">
                  <c:v>18,46909091</c:v>
                </c:pt>
                <c:pt idx="6">
                  <c:v>19,30090909</c:v>
                </c:pt>
                <c:pt idx="7">
                  <c:v>20,13272727</c:v>
                </c:pt>
                <c:pt idx="8">
                  <c:v>20,96454545</c:v>
                </c:pt>
                <c:pt idx="9">
                  <c:v>21,79636364</c:v>
                </c:pt>
                <c:pt idx="10">
                  <c:v>22,62818182</c:v>
                </c:pt>
                <c:pt idx="11">
                  <c:v>23,46</c:v>
                </c:pt>
                <c:pt idx="12">
                  <c:v>24,29181818</c:v>
                </c:pt>
                <c:pt idx="13">
                  <c:v>25,12363636</c:v>
                </c:pt>
                <c:pt idx="14">
                  <c:v>25,95545455</c:v>
                </c:pt>
                <c:pt idx="15">
                  <c:v>26,78727273</c:v>
                </c:pt>
                <c:pt idx="16">
                  <c:v>27,61909091</c:v>
                </c:pt>
                <c:pt idx="17">
                  <c:v>28,45090909</c:v>
                </c:pt>
                <c:pt idx="18">
                  <c:v>29,28272727</c:v>
                </c:pt>
                <c:pt idx="19">
                  <c:v>30,11454545</c:v>
                </c:pt>
                <c:pt idx="20">
                  <c:v>30,94636364</c:v>
                </c:pt>
                <c:pt idx="21">
                  <c:v>31,77818182</c:v>
                </c:pt>
                <c:pt idx="22">
                  <c:v>y mayor...</c:v>
                </c:pt>
              </c:strCache>
            </c:strRef>
          </c:cat>
          <c:val>
            <c:numRef>
              <c:f>triang!$E$23:$E$45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4</c:v>
                </c:pt>
                <c:pt idx="7">
                  <c:v>9</c:v>
                </c:pt>
                <c:pt idx="8">
                  <c:v>21</c:v>
                </c:pt>
                <c:pt idx="9">
                  <c:v>33</c:v>
                </c:pt>
                <c:pt idx="10">
                  <c:v>38</c:v>
                </c:pt>
                <c:pt idx="11">
                  <c:v>53</c:v>
                </c:pt>
                <c:pt idx="12">
                  <c:v>42</c:v>
                </c:pt>
                <c:pt idx="13">
                  <c:v>53</c:v>
                </c:pt>
                <c:pt idx="14">
                  <c:v>53</c:v>
                </c:pt>
                <c:pt idx="15">
                  <c:v>35</c:v>
                </c:pt>
                <c:pt idx="16">
                  <c:v>44</c:v>
                </c:pt>
                <c:pt idx="17">
                  <c:v>39</c:v>
                </c:pt>
                <c:pt idx="18">
                  <c:v>30</c:v>
                </c:pt>
                <c:pt idx="19">
                  <c:v>17</c:v>
                </c:pt>
                <c:pt idx="20">
                  <c:v>8</c:v>
                </c:pt>
                <c:pt idx="21">
                  <c:v>6</c:v>
                </c:pt>
                <c:pt idx="2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04-4DB7-A4E3-26E177AC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4027608"/>
        <c:axId val="574029248"/>
      </c:barChart>
      <c:catAx>
        <c:axId val="574027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4029248"/>
        <c:crosses val="autoZero"/>
        <c:auto val="1"/>
        <c:lblAlgn val="ctr"/>
        <c:lblOffset val="100"/>
        <c:noMultiLvlLbl val="0"/>
      </c:catAx>
      <c:valAx>
        <c:axId val="5740292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4027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 b="1"/>
              <a:t>Mal ajuste entre poa y pea</a:t>
            </a:r>
          </a:p>
        </c:rich>
      </c:tx>
      <c:layout>
        <c:manualLayout>
          <c:xMode val="edge"/>
          <c:yMode val="edge"/>
          <c:x val="0.25797530864197532"/>
          <c:y val="5.26315789473684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val>
            <c:numRef>
              <c:f>triang!$M$5:$M$504</c:f>
              <c:numCache>
                <c:formatCode>General</c:formatCode>
                <c:ptCount val="500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1.8000000000000002E-2</c:v>
                </c:pt>
                <c:pt idx="9">
                  <c:v>2.0000000000000004E-2</c:v>
                </c:pt>
                <c:pt idx="10">
                  <c:v>2.2000000000000006E-2</c:v>
                </c:pt>
                <c:pt idx="11">
                  <c:v>2.4000000000000007E-2</c:v>
                </c:pt>
                <c:pt idx="12">
                  <c:v>2.6000000000000009E-2</c:v>
                </c:pt>
                <c:pt idx="13">
                  <c:v>2.8000000000000011E-2</c:v>
                </c:pt>
                <c:pt idx="14">
                  <c:v>3.0000000000000013E-2</c:v>
                </c:pt>
                <c:pt idx="15">
                  <c:v>3.2000000000000015E-2</c:v>
                </c:pt>
                <c:pt idx="16">
                  <c:v>3.4000000000000016E-2</c:v>
                </c:pt>
                <c:pt idx="17">
                  <c:v>3.6000000000000018E-2</c:v>
                </c:pt>
                <c:pt idx="18">
                  <c:v>3.800000000000002E-2</c:v>
                </c:pt>
                <c:pt idx="19">
                  <c:v>4.0000000000000022E-2</c:v>
                </c:pt>
                <c:pt idx="20">
                  <c:v>4.2000000000000023E-2</c:v>
                </c:pt>
                <c:pt idx="21">
                  <c:v>4.4000000000000025E-2</c:v>
                </c:pt>
                <c:pt idx="22">
                  <c:v>4.6000000000000027E-2</c:v>
                </c:pt>
                <c:pt idx="23">
                  <c:v>4.8000000000000029E-2</c:v>
                </c:pt>
                <c:pt idx="24">
                  <c:v>5.0000000000000031E-2</c:v>
                </c:pt>
                <c:pt idx="25">
                  <c:v>5.2000000000000032E-2</c:v>
                </c:pt>
                <c:pt idx="26">
                  <c:v>5.4000000000000034E-2</c:v>
                </c:pt>
                <c:pt idx="27">
                  <c:v>5.6000000000000036E-2</c:v>
                </c:pt>
                <c:pt idx="28">
                  <c:v>5.8000000000000038E-2</c:v>
                </c:pt>
                <c:pt idx="29">
                  <c:v>6.0000000000000039E-2</c:v>
                </c:pt>
                <c:pt idx="30">
                  <c:v>6.2000000000000041E-2</c:v>
                </c:pt>
                <c:pt idx="31">
                  <c:v>6.4000000000000043E-2</c:v>
                </c:pt>
                <c:pt idx="32">
                  <c:v>6.6000000000000045E-2</c:v>
                </c:pt>
                <c:pt idx="33">
                  <c:v>6.8000000000000047E-2</c:v>
                </c:pt>
                <c:pt idx="34">
                  <c:v>7.0000000000000048E-2</c:v>
                </c:pt>
                <c:pt idx="35">
                  <c:v>7.200000000000005E-2</c:v>
                </c:pt>
                <c:pt idx="36">
                  <c:v>7.4000000000000052E-2</c:v>
                </c:pt>
                <c:pt idx="37">
                  <c:v>7.6000000000000054E-2</c:v>
                </c:pt>
                <c:pt idx="38">
                  <c:v>7.8000000000000055E-2</c:v>
                </c:pt>
                <c:pt idx="39">
                  <c:v>8.0000000000000057E-2</c:v>
                </c:pt>
                <c:pt idx="40">
                  <c:v>8.2000000000000059E-2</c:v>
                </c:pt>
                <c:pt idx="41">
                  <c:v>8.4000000000000061E-2</c:v>
                </c:pt>
                <c:pt idx="42">
                  <c:v>8.6000000000000063E-2</c:v>
                </c:pt>
                <c:pt idx="43">
                  <c:v>8.8000000000000064E-2</c:v>
                </c:pt>
                <c:pt idx="44">
                  <c:v>9.0000000000000066E-2</c:v>
                </c:pt>
                <c:pt idx="45">
                  <c:v>9.2000000000000068E-2</c:v>
                </c:pt>
                <c:pt idx="46">
                  <c:v>9.400000000000007E-2</c:v>
                </c:pt>
                <c:pt idx="47">
                  <c:v>9.6000000000000071E-2</c:v>
                </c:pt>
                <c:pt idx="48">
                  <c:v>9.8000000000000073E-2</c:v>
                </c:pt>
                <c:pt idx="49">
                  <c:v>0.10000000000000007</c:v>
                </c:pt>
                <c:pt idx="50">
                  <c:v>0.10200000000000008</c:v>
                </c:pt>
                <c:pt idx="51">
                  <c:v>0.10400000000000008</c:v>
                </c:pt>
                <c:pt idx="52">
                  <c:v>0.10600000000000008</c:v>
                </c:pt>
                <c:pt idx="53">
                  <c:v>0.10800000000000008</c:v>
                </c:pt>
                <c:pt idx="54">
                  <c:v>0.11000000000000008</c:v>
                </c:pt>
                <c:pt idx="55">
                  <c:v>0.11200000000000009</c:v>
                </c:pt>
                <c:pt idx="56">
                  <c:v>0.11400000000000009</c:v>
                </c:pt>
                <c:pt idx="57">
                  <c:v>0.11600000000000009</c:v>
                </c:pt>
                <c:pt idx="58">
                  <c:v>0.11800000000000009</c:v>
                </c:pt>
                <c:pt idx="59">
                  <c:v>0.12000000000000009</c:v>
                </c:pt>
                <c:pt idx="60">
                  <c:v>0.12200000000000009</c:v>
                </c:pt>
                <c:pt idx="61">
                  <c:v>0.1240000000000001</c:v>
                </c:pt>
                <c:pt idx="62">
                  <c:v>0.12600000000000008</c:v>
                </c:pt>
                <c:pt idx="63">
                  <c:v>0.12800000000000009</c:v>
                </c:pt>
                <c:pt idx="64">
                  <c:v>0.13000000000000009</c:v>
                </c:pt>
                <c:pt idx="65">
                  <c:v>0.13200000000000009</c:v>
                </c:pt>
                <c:pt idx="66">
                  <c:v>0.13400000000000009</c:v>
                </c:pt>
                <c:pt idx="67">
                  <c:v>0.13600000000000009</c:v>
                </c:pt>
                <c:pt idx="68">
                  <c:v>0.13800000000000009</c:v>
                </c:pt>
                <c:pt idx="69">
                  <c:v>0.1400000000000001</c:v>
                </c:pt>
                <c:pt idx="70">
                  <c:v>0.1420000000000001</c:v>
                </c:pt>
                <c:pt idx="71">
                  <c:v>0.1440000000000001</c:v>
                </c:pt>
                <c:pt idx="72">
                  <c:v>0.1460000000000001</c:v>
                </c:pt>
                <c:pt idx="73">
                  <c:v>0.1480000000000001</c:v>
                </c:pt>
                <c:pt idx="74">
                  <c:v>0.15000000000000011</c:v>
                </c:pt>
                <c:pt idx="75">
                  <c:v>0.15200000000000011</c:v>
                </c:pt>
                <c:pt idx="76">
                  <c:v>0.15400000000000011</c:v>
                </c:pt>
                <c:pt idx="77">
                  <c:v>0.15600000000000011</c:v>
                </c:pt>
                <c:pt idx="78">
                  <c:v>0.15800000000000011</c:v>
                </c:pt>
                <c:pt idx="79">
                  <c:v>0.16000000000000011</c:v>
                </c:pt>
                <c:pt idx="80">
                  <c:v>0.16200000000000012</c:v>
                </c:pt>
                <c:pt idx="81">
                  <c:v>0.16400000000000012</c:v>
                </c:pt>
                <c:pt idx="82">
                  <c:v>0.16600000000000012</c:v>
                </c:pt>
                <c:pt idx="83">
                  <c:v>0.16800000000000012</c:v>
                </c:pt>
                <c:pt idx="84">
                  <c:v>0.17000000000000012</c:v>
                </c:pt>
                <c:pt idx="85">
                  <c:v>0.17200000000000013</c:v>
                </c:pt>
                <c:pt idx="86">
                  <c:v>0.17400000000000013</c:v>
                </c:pt>
                <c:pt idx="87">
                  <c:v>0.17600000000000013</c:v>
                </c:pt>
                <c:pt idx="88">
                  <c:v>0.17800000000000013</c:v>
                </c:pt>
                <c:pt idx="89">
                  <c:v>0.18000000000000013</c:v>
                </c:pt>
                <c:pt idx="90">
                  <c:v>0.18200000000000013</c:v>
                </c:pt>
                <c:pt idx="91">
                  <c:v>0.18400000000000014</c:v>
                </c:pt>
                <c:pt idx="92">
                  <c:v>0.18600000000000014</c:v>
                </c:pt>
                <c:pt idx="93">
                  <c:v>0.18800000000000014</c:v>
                </c:pt>
                <c:pt idx="94">
                  <c:v>0.19000000000000014</c:v>
                </c:pt>
                <c:pt idx="95">
                  <c:v>0.19200000000000014</c:v>
                </c:pt>
                <c:pt idx="96">
                  <c:v>0.19400000000000014</c:v>
                </c:pt>
                <c:pt idx="97">
                  <c:v>0.19600000000000015</c:v>
                </c:pt>
                <c:pt idx="98">
                  <c:v>0.19800000000000015</c:v>
                </c:pt>
                <c:pt idx="99">
                  <c:v>0.20000000000000015</c:v>
                </c:pt>
                <c:pt idx="100">
                  <c:v>0.20200000000000015</c:v>
                </c:pt>
                <c:pt idx="101">
                  <c:v>0.20400000000000015</c:v>
                </c:pt>
                <c:pt idx="102">
                  <c:v>0.20600000000000016</c:v>
                </c:pt>
                <c:pt idx="103">
                  <c:v>0.20800000000000016</c:v>
                </c:pt>
                <c:pt idx="104">
                  <c:v>0.21000000000000016</c:v>
                </c:pt>
                <c:pt idx="105">
                  <c:v>0.21200000000000016</c:v>
                </c:pt>
                <c:pt idx="106">
                  <c:v>0.21400000000000016</c:v>
                </c:pt>
                <c:pt idx="107">
                  <c:v>0.21600000000000016</c:v>
                </c:pt>
                <c:pt idx="108">
                  <c:v>0.21800000000000017</c:v>
                </c:pt>
                <c:pt idx="109">
                  <c:v>0.22000000000000017</c:v>
                </c:pt>
                <c:pt idx="110">
                  <c:v>0.22200000000000017</c:v>
                </c:pt>
                <c:pt idx="111">
                  <c:v>0.22400000000000017</c:v>
                </c:pt>
                <c:pt idx="112">
                  <c:v>0.22600000000000017</c:v>
                </c:pt>
                <c:pt idx="113">
                  <c:v>0.22800000000000017</c:v>
                </c:pt>
                <c:pt idx="114">
                  <c:v>0.23000000000000018</c:v>
                </c:pt>
                <c:pt idx="115">
                  <c:v>0.23200000000000018</c:v>
                </c:pt>
                <c:pt idx="116">
                  <c:v>0.23400000000000018</c:v>
                </c:pt>
                <c:pt idx="117">
                  <c:v>0.23600000000000018</c:v>
                </c:pt>
                <c:pt idx="118">
                  <c:v>0.23800000000000018</c:v>
                </c:pt>
                <c:pt idx="119">
                  <c:v>0.24000000000000019</c:v>
                </c:pt>
                <c:pt idx="120">
                  <c:v>0.24200000000000019</c:v>
                </c:pt>
                <c:pt idx="121">
                  <c:v>0.24400000000000019</c:v>
                </c:pt>
                <c:pt idx="122">
                  <c:v>0.24600000000000019</c:v>
                </c:pt>
                <c:pt idx="123">
                  <c:v>0.24800000000000019</c:v>
                </c:pt>
                <c:pt idx="124">
                  <c:v>0.25000000000000017</c:v>
                </c:pt>
                <c:pt idx="125">
                  <c:v>0.25200000000000017</c:v>
                </c:pt>
                <c:pt idx="126">
                  <c:v>0.25400000000000017</c:v>
                </c:pt>
                <c:pt idx="127">
                  <c:v>0.25600000000000017</c:v>
                </c:pt>
                <c:pt idx="128">
                  <c:v>0.25800000000000017</c:v>
                </c:pt>
                <c:pt idx="129">
                  <c:v>0.26000000000000018</c:v>
                </c:pt>
                <c:pt idx="130">
                  <c:v>0.26200000000000018</c:v>
                </c:pt>
                <c:pt idx="131">
                  <c:v>0.26400000000000018</c:v>
                </c:pt>
                <c:pt idx="132">
                  <c:v>0.26600000000000018</c:v>
                </c:pt>
                <c:pt idx="133">
                  <c:v>0.26800000000000018</c:v>
                </c:pt>
                <c:pt idx="134">
                  <c:v>0.27000000000000018</c:v>
                </c:pt>
                <c:pt idx="135">
                  <c:v>0.27200000000000019</c:v>
                </c:pt>
                <c:pt idx="136">
                  <c:v>0.27400000000000019</c:v>
                </c:pt>
                <c:pt idx="137">
                  <c:v>0.27600000000000019</c:v>
                </c:pt>
                <c:pt idx="138">
                  <c:v>0.27800000000000019</c:v>
                </c:pt>
                <c:pt idx="139">
                  <c:v>0.28000000000000019</c:v>
                </c:pt>
                <c:pt idx="140">
                  <c:v>0.28200000000000019</c:v>
                </c:pt>
                <c:pt idx="141">
                  <c:v>0.2840000000000002</c:v>
                </c:pt>
                <c:pt idx="142">
                  <c:v>0.2860000000000002</c:v>
                </c:pt>
                <c:pt idx="143">
                  <c:v>0.2880000000000002</c:v>
                </c:pt>
                <c:pt idx="144">
                  <c:v>0.2900000000000002</c:v>
                </c:pt>
                <c:pt idx="145">
                  <c:v>0.2920000000000002</c:v>
                </c:pt>
                <c:pt idx="146">
                  <c:v>0.29400000000000021</c:v>
                </c:pt>
                <c:pt idx="147">
                  <c:v>0.29600000000000021</c:v>
                </c:pt>
                <c:pt idx="148">
                  <c:v>0.29800000000000021</c:v>
                </c:pt>
                <c:pt idx="149">
                  <c:v>0.30000000000000021</c:v>
                </c:pt>
                <c:pt idx="150">
                  <c:v>0.30200000000000021</c:v>
                </c:pt>
                <c:pt idx="151">
                  <c:v>0.30400000000000021</c:v>
                </c:pt>
                <c:pt idx="152">
                  <c:v>0.30600000000000022</c:v>
                </c:pt>
                <c:pt idx="153">
                  <c:v>0.30800000000000022</c:v>
                </c:pt>
                <c:pt idx="154">
                  <c:v>0.31000000000000022</c:v>
                </c:pt>
                <c:pt idx="155">
                  <c:v>0.31200000000000022</c:v>
                </c:pt>
                <c:pt idx="156">
                  <c:v>0.31400000000000022</c:v>
                </c:pt>
                <c:pt idx="157">
                  <c:v>0.31600000000000023</c:v>
                </c:pt>
                <c:pt idx="158">
                  <c:v>0.31800000000000023</c:v>
                </c:pt>
                <c:pt idx="159">
                  <c:v>0.32000000000000023</c:v>
                </c:pt>
                <c:pt idx="160">
                  <c:v>0.32200000000000023</c:v>
                </c:pt>
                <c:pt idx="161">
                  <c:v>0.32400000000000023</c:v>
                </c:pt>
                <c:pt idx="162">
                  <c:v>0.32600000000000023</c:v>
                </c:pt>
                <c:pt idx="163">
                  <c:v>0.32800000000000024</c:v>
                </c:pt>
                <c:pt idx="164">
                  <c:v>0.33000000000000024</c:v>
                </c:pt>
                <c:pt idx="165">
                  <c:v>0.33200000000000024</c:v>
                </c:pt>
                <c:pt idx="166">
                  <c:v>0.33400000000000024</c:v>
                </c:pt>
                <c:pt idx="167">
                  <c:v>0.33600000000000024</c:v>
                </c:pt>
                <c:pt idx="168">
                  <c:v>0.33800000000000024</c:v>
                </c:pt>
                <c:pt idx="169">
                  <c:v>0.34000000000000025</c:v>
                </c:pt>
                <c:pt idx="170">
                  <c:v>0.34200000000000025</c:v>
                </c:pt>
                <c:pt idx="171">
                  <c:v>0.34400000000000025</c:v>
                </c:pt>
                <c:pt idx="172">
                  <c:v>0.34600000000000025</c:v>
                </c:pt>
                <c:pt idx="173">
                  <c:v>0.34800000000000025</c:v>
                </c:pt>
                <c:pt idx="174">
                  <c:v>0.35000000000000026</c:v>
                </c:pt>
                <c:pt idx="175">
                  <c:v>0.35200000000000026</c:v>
                </c:pt>
                <c:pt idx="176">
                  <c:v>0.35400000000000026</c:v>
                </c:pt>
                <c:pt idx="177">
                  <c:v>0.35600000000000026</c:v>
                </c:pt>
                <c:pt idx="178">
                  <c:v>0.35800000000000026</c:v>
                </c:pt>
                <c:pt idx="179">
                  <c:v>0.36000000000000026</c:v>
                </c:pt>
                <c:pt idx="180">
                  <c:v>0.36200000000000027</c:v>
                </c:pt>
                <c:pt idx="181">
                  <c:v>0.36400000000000027</c:v>
                </c:pt>
                <c:pt idx="182">
                  <c:v>0.36600000000000027</c:v>
                </c:pt>
                <c:pt idx="183">
                  <c:v>0.36800000000000027</c:v>
                </c:pt>
                <c:pt idx="184">
                  <c:v>0.37000000000000027</c:v>
                </c:pt>
                <c:pt idx="185">
                  <c:v>0.37200000000000027</c:v>
                </c:pt>
                <c:pt idx="186">
                  <c:v>0.37400000000000028</c:v>
                </c:pt>
                <c:pt idx="187">
                  <c:v>0.37600000000000028</c:v>
                </c:pt>
                <c:pt idx="188">
                  <c:v>0.37800000000000028</c:v>
                </c:pt>
                <c:pt idx="189">
                  <c:v>0.38000000000000028</c:v>
                </c:pt>
                <c:pt idx="190">
                  <c:v>0.38200000000000028</c:v>
                </c:pt>
                <c:pt idx="191">
                  <c:v>0.38400000000000029</c:v>
                </c:pt>
                <c:pt idx="192">
                  <c:v>0.38600000000000029</c:v>
                </c:pt>
                <c:pt idx="193">
                  <c:v>0.38800000000000029</c:v>
                </c:pt>
                <c:pt idx="194">
                  <c:v>0.39000000000000029</c:v>
                </c:pt>
                <c:pt idx="195">
                  <c:v>0.39200000000000029</c:v>
                </c:pt>
                <c:pt idx="196">
                  <c:v>0.39400000000000029</c:v>
                </c:pt>
                <c:pt idx="197">
                  <c:v>0.3960000000000003</c:v>
                </c:pt>
                <c:pt idx="198">
                  <c:v>0.3980000000000003</c:v>
                </c:pt>
                <c:pt idx="199">
                  <c:v>0.4000000000000003</c:v>
                </c:pt>
                <c:pt idx="200">
                  <c:v>0.4020000000000003</c:v>
                </c:pt>
                <c:pt idx="201">
                  <c:v>0.4040000000000003</c:v>
                </c:pt>
                <c:pt idx="202">
                  <c:v>0.40600000000000031</c:v>
                </c:pt>
                <c:pt idx="203">
                  <c:v>0.40800000000000031</c:v>
                </c:pt>
                <c:pt idx="204">
                  <c:v>0.41000000000000031</c:v>
                </c:pt>
                <c:pt idx="205">
                  <c:v>0.41200000000000031</c:v>
                </c:pt>
                <c:pt idx="206">
                  <c:v>0.41400000000000031</c:v>
                </c:pt>
                <c:pt idx="207">
                  <c:v>0.41600000000000031</c:v>
                </c:pt>
                <c:pt idx="208">
                  <c:v>0.41800000000000032</c:v>
                </c:pt>
                <c:pt idx="209">
                  <c:v>0.42000000000000032</c:v>
                </c:pt>
                <c:pt idx="210">
                  <c:v>0.42200000000000032</c:v>
                </c:pt>
                <c:pt idx="211">
                  <c:v>0.42400000000000032</c:v>
                </c:pt>
                <c:pt idx="212">
                  <c:v>0.42600000000000032</c:v>
                </c:pt>
                <c:pt idx="213">
                  <c:v>0.42800000000000032</c:v>
                </c:pt>
                <c:pt idx="214">
                  <c:v>0.43000000000000033</c:v>
                </c:pt>
                <c:pt idx="215">
                  <c:v>0.43200000000000033</c:v>
                </c:pt>
                <c:pt idx="216">
                  <c:v>0.43400000000000033</c:v>
                </c:pt>
                <c:pt idx="217">
                  <c:v>0.43600000000000033</c:v>
                </c:pt>
                <c:pt idx="218">
                  <c:v>0.43800000000000033</c:v>
                </c:pt>
                <c:pt idx="219">
                  <c:v>0.44000000000000034</c:v>
                </c:pt>
                <c:pt idx="220">
                  <c:v>0.44200000000000034</c:v>
                </c:pt>
                <c:pt idx="221">
                  <c:v>0.44400000000000034</c:v>
                </c:pt>
                <c:pt idx="222">
                  <c:v>0.44600000000000034</c:v>
                </c:pt>
                <c:pt idx="223">
                  <c:v>0.44800000000000034</c:v>
                </c:pt>
                <c:pt idx="224">
                  <c:v>0.45000000000000034</c:v>
                </c:pt>
                <c:pt idx="225">
                  <c:v>0.45200000000000035</c:v>
                </c:pt>
                <c:pt idx="226">
                  <c:v>0.45400000000000035</c:v>
                </c:pt>
                <c:pt idx="227">
                  <c:v>0.45600000000000035</c:v>
                </c:pt>
                <c:pt idx="228">
                  <c:v>0.45800000000000035</c:v>
                </c:pt>
                <c:pt idx="229">
                  <c:v>0.46000000000000035</c:v>
                </c:pt>
                <c:pt idx="230">
                  <c:v>0.46200000000000035</c:v>
                </c:pt>
                <c:pt idx="231">
                  <c:v>0.46400000000000036</c:v>
                </c:pt>
                <c:pt idx="232">
                  <c:v>0.46600000000000036</c:v>
                </c:pt>
                <c:pt idx="233">
                  <c:v>0.46800000000000036</c:v>
                </c:pt>
                <c:pt idx="234">
                  <c:v>0.47000000000000036</c:v>
                </c:pt>
                <c:pt idx="235">
                  <c:v>0.47200000000000036</c:v>
                </c:pt>
                <c:pt idx="236">
                  <c:v>0.47400000000000037</c:v>
                </c:pt>
                <c:pt idx="237">
                  <c:v>0.47600000000000037</c:v>
                </c:pt>
                <c:pt idx="238">
                  <c:v>0.47800000000000037</c:v>
                </c:pt>
                <c:pt idx="239">
                  <c:v>0.48000000000000037</c:v>
                </c:pt>
                <c:pt idx="240">
                  <c:v>0.48200000000000037</c:v>
                </c:pt>
                <c:pt idx="241">
                  <c:v>0.48400000000000037</c:v>
                </c:pt>
                <c:pt idx="242">
                  <c:v>0.48600000000000038</c:v>
                </c:pt>
                <c:pt idx="243">
                  <c:v>0.48800000000000038</c:v>
                </c:pt>
                <c:pt idx="244">
                  <c:v>0.49000000000000038</c:v>
                </c:pt>
                <c:pt idx="245">
                  <c:v>0.49200000000000038</c:v>
                </c:pt>
                <c:pt idx="246">
                  <c:v>0.49400000000000038</c:v>
                </c:pt>
                <c:pt idx="247">
                  <c:v>0.49600000000000039</c:v>
                </c:pt>
                <c:pt idx="248">
                  <c:v>0.49800000000000039</c:v>
                </c:pt>
                <c:pt idx="249">
                  <c:v>0.50000000000000033</c:v>
                </c:pt>
                <c:pt idx="250">
                  <c:v>0.50200000000000033</c:v>
                </c:pt>
                <c:pt idx="251">
                  <c:v>0.50400000000000034</c:v>
                </c:pt>
                <c:pt idx="252">
                  <c:v>0.50600000000000034</c:v>
                </c:pt>
                <c:pt idx="253">
                  <c:v>0.50800000000000034</c:v>
                </c:pt>
                <c:pt idx="254">
                  <c:v>0.51000000000000034</c:v>
                </c:pt>
                <c:pt idx="255">
                  <c:v>0.51200000000000034</c:v>
                </c:pt>
                <c:pt idx="256">
                  <c:v>0.51400000000000035</c:v>
                </c:pt>
                <c:pt idx="257">
                  <c:v>0.51600000000000035</c:v>
                </c:pt>
                <c:pt idx="258">
                  <c:v>0.51800000000000035</c:v>
                </c:pt>
                <c:pt idx="259">
                  <c:v>0.52000000000000035</c:v>
                </c:pt>
                <c:pt idx="260">
                  <c:v>0.52200000000000035</c:v>
                </c:pt>
                <c:pt idx="261">
                  <c:v>0.52400000000000035</c:v>
                </c:pt>
                <c:pt idx="262">
                  <c:v>0.52600000000000036</c:v>
                </c:pt>
                <c:pt idx="263">
                  <c:v>0.52800000000000036</c:v>
                </c:pt>
                <c:pt idx="264">
                  <c:v>0.53000000000000036</c:v>
                </c:pt>
                <c:pt idx="265">
                  <c:v>0.53200000000000036</c:v>
                </c:pt>
                <c:pt idx="266">
                  <c:v>0.53400000000000036</c:v>
                </c:pt>
                <c:pt idx="267">
                  <c:v>0.53600000000000037</c:v>
                </c:pt>
                <c:pt idx="268">
                  <c:v>0.53800000000000037</c:v>
                </c:pt>
                <c:pt idx="269">
                  <c:v>0.54000000000000037</c:v>
                </c:pt>
                <c:pt idx="270">
                  <c:v>0.54200000000000037</c:v>
                </c:pt>
                <c:pt idx="271">
                  <c:v>0.54400000000000037</c:v>
                </c:pt>
                <c:pt idx="272">
                  <c:v>0.54600000000000037</c:v>
                </c:pt>
                <c:pt idx="273">
                  <c:v>0.54800000000000038</c:v>
                </c:pt>
                <c:pt idx="274">
                  <c:v>0.55000000000000038</c:v>
                </c:pt>
                <c:pt idx="275">
                  <c:v>0.55200000000000038</c:v>
                </c:pt>
                <c:pt idx="276">
                  <c:v>0.55400000000000038</c:v>
                </c:pt>
                <c:pt idx="277">
                  <c:v>0.55600000000000038</c:v>
                </c:pt>
                <c:pt idx="278">
                  <c:v>0.55800000000000038</c:v>
                </c:pt>
                <c:pt idx="279">
                  <c:v>0.56000000000000039</c:v>
                </c:pt>
                <c:pt idx="280">
                  <c:v>0.56200000000000039</c:v>
                </c:pt>
                <c:pt idx="281">
                  <c:v>0.56400000000000039</c:v>
                </c:pt>
                <c:pt idx="282">
                  <c:v>0.56600000000000039</c:v>
                </c:pt>
                <c:pt idx="283">
                  <c:v>0.56800000000000039</c:v>
                </c:pt>
                <c:pt idx="284">
                  <c:v>0.5700000000000004</c:v>
                </c:pt>
                <c:pt idx="285">
                  <c:v>0.5720000000000004</c:v>
                </c:pt>
                <c:pt idx="286">
                  <c:v>0.5740000000000004</c:v>
                </c:pt>
                <c:pt idx="287">
                  <c:v>0.5760000000000004</c:v>
                </c:pt>
                <c:pt idx="288">
                  <c:v>0.5780000000000004</c:v>
                </c:pt>
                <c:pt idx="289">
                  <c:v>0.5800000000000004</c:v>
                </c:pt>
                <c:pt idx="290">
                  <c:v>0.58200000000000041</c:v>
                </c:pt>
                <c:pt idx="291">
                  <c:v>0.58400000000000041</c:v>
                </c:pt>
                <c:pt idx="292">
                  <c:v>0.58600000000000041</c:v>
                </c:pt>
                <c:pt idx="293">
                  <c:v>0.58800000000000041</c:v>
                </c:pt>
                <c:pt idx="294">
                  <c:v>0.59000000000000041</c:v>
                </c:pt>
                <c:pt idx="295">
                  <c:v>0.59200000000000041</c:v>
                </c:pt>
                <c:pt idx="296">
                  <c:v>0.59400000000000042</c:v>
                </c:pt>
                <c:pt idx="297">
                  <c:v>0.59600000000000042</c:v>
                </c:pt>
                <c:pt idx="298">
                  <c:v>0.59800000000000042</c:v>
                </c:pt>
                <c:pt idx="299">
                  <c:v>0.60000000000000042</c:v>
                </c:pt>
                <c:pt idx="300">
                  <c:v>0.60200000000000042</c:v>
                </c:pt>
                <c:pt idx="301">
                  <c:v>0.60400000000000043</c:v>
                </c:pt>
                <c:pt idx="302">
                  <c:v>0.60600000000000043</c:v>
                </c:pt>
                <c:pt idx="303">
                  <c:v>0.60800000000000043</c:v>
                </c:pt>
                <c:pt idx="304">
                  <c:v>0.61000000000000043</c:v>
                </c:pt>
                <c:pt idx="305">
                  <c:v>0.61200000000000043</c:v>
                </c:pt>
                <c:pt idx="306">
                  <c:v>0.61400000000000043</c:v>
                </c:pt>
                <c:pt idx="307">
                  <c:v>0.61600000000000044</c:v>
                </c:pt>
                <c:pt idx="308">
                  <c:v>0.61800000000000044</c:v>
                </c:pt>
                <c:pt idx="309">
                  <c:v>0.62000000000000044</c:v>
                </c:pt>
                <c:pt idx="310">
                  <c:v>0.62200000000000044</c:v>
                </c:pt>
                <c:pt idx="311">
                  <c:v>0.62400000000000044</c:v>
                </c:pt>
                <c:pt idx="312">
                  <c:v>0.62600000000000044</c:v>
                </c:pt>
                <c:pt idx="313">
                  <c:v>0.62800000000000045</c:v>
                </c:pt>
                <c:pt idx="314">
                  <c:v>0.63000000000000045</c:v>
                </c:pt>
                <c:pt idx="315">
                  <c:v>0.63200000000000045</c:v>
                </c:pt>
                <c:pt idx="316">
                  <c:v>0.63400000000000045</c:v>
                </c:pt>
                <c:pt idx="317">
                  <c:v>0.63600000000000045</c:v>
                </c:pt>
                <c:pt idx="318">
                  <c:v>0.63800000000000046</c:v>
                </c:pt>
                <c:pt idx="319">
                  <c:v>0.64000000000000046</c:v>
                </c:pt>
                <c:pt idx="320">
                  <c:v>0.64200000000000046</c:v>
                </c:pt>
                <c:pt idx="321">
                  <c:v>0.64400000000000046</c:v>
                </c:pt>
                <c:pt idx="322">
                  <c:v>0.64600000000000046</c:v>
                </c:pt>
                <c:pt idx="323">
                  <c:v>0.64800000000000046</c:v>
                </c:pt>
                <c:pt idx="324">
                  <c:v>0.65000000000000047</c:v>
                </c:pt>
                <c:pt idx="325">
                  <c:v>0.65200000000000047</c:v>
                </c:pt>
                <c:pt idx="326">
                  <c:v>0.65400000000000047</c:v>
                </c:pt>
                <c:pt idx="327">
                  <c:v>0.65600000000000047</c:v>
                </c:pt>
                <c:pt idx="328">
                  <c:v>0.65800000000000047</c:v>
                </c:pt>
                <c:pt idx="329">
                  <c:v>0.66000000000000048</c:v>
                </c:pt>
                <c:pt idx="330">
                  <c:v>0.66200000000000048</c:v>
                </c:pt>
                <c:pt idx="331">
                  <c:v>0.66400000000000048</c:v>
                </c:pt>
                <c:pt idx="332">
                  <c:v>0.66600000000000048</c:v>
                </c:pt>
                <c:pt idx="333">
                  <c:v>0.66800000000000048</c:v>
                </c:pt>
                <c:pt idx="334">
                  <c:v>0.67000000000000048</c:v>
                </c:pt>
                <c:pt idx="335">
                  <c:v>0.67200000000000049</c:v>
                </c:pt>
                <c:pt idx="336">
                  <c:v>0.67400000000000049</c:v>
                </c:pt>
                <c:pt idx="337">
                  <c:v>0.67600000000000049</c:v>
                </c:pt>
                <c:pt idx="338">
                  <c:v>0.67800000000000049</c:v>
                </c:pt>
                <c:pt idx="339">
                  <c:v>0.68000000000000049</c:v>
                </c:pt>
                <c:pt idx="340">
                  <c:v>0.68200000000000049</c:v>
                </c:pt>
                <c:pt idx="341">
                  <c:v>0.6840000000000005</c:v>
                </c:pt>
                <c:pt idx="342">
                  <c:v>0.6860000000000005</c:v>
                </c:pt>
                <c:pt idx="343">
                  <c:v>0.6880000000000005</c:v>
                </c:pt>
                <c:pt idx="344">
                  <c:v>0.6900000000000005</c:v>
                </c:pt>
                <c:pt idx="345">
                  <c:v>0.6920000000000005</c:v>
                </c:pt>
                <c:pt idx="346">
                  <c:v>0.69400000000000051</c:v>
                </c:pt>
                <c:pt idx="347">
                  <c:v>0.69600000000000051</c:v>
                </c:pt>
                <c:pt idx="348">
                  <c:v>0.69800000000000051</c:v>
                </c:pt>
                <c:pt idx="349">
                  <c:v>0.70000000000000051</c:v>
                </c:pt>
                <c:pt idx="350">
                  <c:v>0.70200000000000051</c:v>
                </c:pt>
                <c:pt idx="351">
                  <c:v>0.70400000000000051</c:v>
                </c:pt>
                <c:pt idx="352">
                  <c:v>0.70600000000000052</c:v>
                </c:pt>
                <c:pt idx="353">
                  <c:v>0.70800000000000052</c:v>
                </c:pt>
                <c:pt idx="354">
                  <c:v>0.71000000000000052</c:v>
                </c:pt>
                <c:pt idx="355">
                  <c:v>0.71200000000000052</c:v>
                </c:pt>
                <c:pt idx="356">
                  <c:v>0.71400000000000052</c:v>
                </c:pt>
                <c:pt idx="357">
                  <c:v>0.71600000000000052</c:v>
                </c:pt>
                <c:pt idx="358">
                  <c:v>0.71800000000000053</c:v>
                </c:pt>
                <c:pt idx="359">
                  <c:v>0.72000000000000053</c:v>
                </c:pt>
                <c:pt idx="360">
                  <c:v>0.72200000000000053</c:v>
                </c:pt>
                <c:pt idx="361">
                  <c:v>0.72400000000000053</c:v>
                </c:pt>
                <c:pt idx="362">
                  <c:v>0.72600000000000053</c:v>
                </c:pt>
                <c:pt idx="363">
                  <c:v>0.72800000000000054</c:v>
                </c:pt>
                <c:pt idx="364">
                  <c:v>0.73000000000000054</c:v>
                </c:pt>
                <c:pt idx="365">
                  <c:v>0.73200000000000054</c:v>
                </c:pt>
                <c:pt idx="366">
                  <c:v>0.73400000000000054</c:v>
                </c:pt>
                <c:pt idx="367">
                  <c:v>0.73600000000000054</c:v>
                </c:pt>
                <c:pt idx="368">
                  <c:v>0.73800000000000054</c:v>
                </c:pt>
                <c:pt idx="369">
                  <c:v>0.74000000000000055</c:v>
                </c:pt>
                <c:pt idx="370">
                  <c:v>0.74200000000000055</c:v>
                </c:pt>
                <c:pt idx="371">
                  <c:v>0.74400000000000055</c:v>
                </c:pt>
                <c:pt idx="372">
                  <c:v>0.74600000000000055</c:v>
                </c:pt>
                <c:pt idx="373">
                  <c:v>0.74800000000000055</c:v>
                </c:pt>
                <c:pt idx="374">
                  <c:v>0.75000000000000056</c:v>
                </c:pt>
                <c:pt idx="375">
                  <c:v>0.75200000000000056</c:v>
                </c:pt>
                <c:pt idx="376">
                  <c:v>0.75400000000000056</c:v>
                </c:pt>
                <c:pt idx="377">
                  <c:v>0.75600000000000056</c:v>
                </c:pt>
                <c:pt idx="378">
                  <c:v>0.75800000000000056</c:v>
                </c:pt>
                <c:pt idx="379">
                  <c:v>0.76000000000000056</c:v>
                </c:pt>
                <c:pt idx="380">
                  <c:v>0.76200000000000057</c:v>
                </c:pt>
                <c:pt idx="381">
                  <c:v>0.76400000000000057</c:v>
                </c:pt>
                <c:pt idx="382">
                  <c:v>0.76600000000000057</c:v>
                </c:pt>
                <c:pt idx="383">
                  <c:v>0.76800000000000057</c:v>
                </c:pt>
                <c:pt idx="384">
                  <c:v>0.77000000000000057</c:v>
                </c:pt>
                <c:pt idx="385">
                  <c:v>0.77200000000000057</c:v>
                </c:pt>
                <c:pt idx="386">
                  <c:v>0.77400000000000058</c:v>
                </c:pt>
                <c:pt idx="387">
                  <c:v>0.77600000000000058</c:v>
                </c:pt>
                <c:pt idx="388">
                  <c:v>0.77800000000000058</c:v>
                </c:pt>
                <c:pt idx="389">
                  <c:v>0.78000000000000058</c:v>
                </c:pt>
                <c:pt idx="390">
                  <c:v>0.78200000000000058</c:v>
                </c:pt>
                <c:pt idx="391">
                  <c:v>0.78400000000000059</c:v>
                </c:pt>
                <c:pt idx="392">
                  <c:v>0.78600000000000059</c:v>
                </c:pt>
                <c:pt idx="393">
                  <c:v>0.78800000000000059</c:v>
                </c:pt>
                <c:pt idx="394">
                  <c:v>0.79000000000000059</c:v>
                </c:pt>
                <c:pt idx="395">
                  <c:v>0.79200000000000059</c:v>
                </c:pt>
                <c:pt idx="396">
                  <c:v>0.79400000000000059</c:v>
                </c:pt>
                <c:pt idx="397">
                  <c:v>0.7960000000000006</c:v>
                </c:pt>
                <c:pt idx="398">
                  <c:v>0.7980000000000006</c:v>
                </c:pt>
                <c:pt idx="399">
                  <c:v>0.8000000000000006</c:v>
                </c:pt>
                <c:pt idx="400">
                  <c:v>0.8020000000000006</c:v>
                </c:pt>
                <c:pt idx="401">
                  <c:v>0.8040000000000006</c:v>
                </c:pt>
                <c:pt idx="402">
                  <c:v>0.8060000000000006</c:v>
                </c:pt>
                <c:pt idx="403">
                  <c:v>0.80800000000000061</c:v>
                </c:pt>
                <c:pt idx="404">
                  <c:v>0.81000000000000061</c:v>
                </c:pt>
                <c:pt idx="405">
                  <c:v>0.81200000000000061</c:v>
                </c:pt>
                <c:pt idx="406">
                  <c:v>0.81400000000000061</c:v>
                </c:pt>
                <c:pt idx="407">
                  <c:v>0.81600000000000061</c:v>
                </c:pt>
                <c:pt idx="408">
                  <c:v>0.81800000000000062</c:v>
                </c:pt>
                <c:pt idx="409">
                  <c:v>0.82000000000000062</c:v>
                </c:pt>
                <c:pt idx="410">
                  <c:v>0.82200000000000062</c:v>
                </c:pt>
                <c:pt idx="411">
                  <c:v>0.82400000000000062</c:v>
                </c:pt>
                <c:pt idx="412">
                  <c:v>0.82600000000000062</c:v>
                </c:pt>
                <c:pt idx="413">
                  <c:v>0.82800000000000062</c:v>
                </c:pt>
                <c:pt idx="414">
                  <c:v>0.83000000000000063</c:v>
                </c:pt>
                <c:pt idx="415">
                  <c:v>0.83200000000000063</c:v>
                </c:pt>
                <c:pt idx="416">
                  <c:v>0.83400000000000063</c:v>
                </c:pt>
                <c:pt idx="417">
                  <c:v>0.83600000000000063</c:v>
                </c:pt>
                <c:pt idx="418">
                  <c:v>0.83800000000000063</c:v>
                </c:pt>
                <c:pt idx="419">
                  <c:v>0.84000000000000064</c:v>
                </c:pt>
                <c:pt idx="420">
                  <c:v>0.84200000000000064</c:v>
                </c:pt>
                <c:pt idx="421">
                  <c:v>0.84400000000000064</c:v>
                </c:pt>
                <c:pt idx="422">
                  <c:v>0.84600000000000064</c:v>
                </c:pt>
                <c:pt idx="423">
                  <c:v>0.84800000000000064</c:v>
                </c:pt>
                <c:pt idx="424">
                  <c:v>0.85000000000000064</c:v>
                </c:pt>
                <c:pt idx="425">
                  <c:v>0.85200000000000065</c:v>
                </c:pt>
                <c:pt idx="426">
                  <c:v>0.85400000000000065</c:v>
                </c:pt>
                <c:pt idx="427">
                  <c:v>0.85600000000000065</c:v>
                </c:pt>
                <c:pt idx="428">
                  <c:v>0.85800000000000065</c:v>
                </c:pt>
                <c:pt idx="429">
                  <c:v>0.86000000000000065</c:v>
                </c:pt>
                <c:pt idx="430">
                  <c:v>0.86200000000000065</c:v>
                </c:pt>
                <c:pt idx="431">
                  <c:v>0.86400000000000066</c:v>
                </c:pt>
                <c:pt idx="432">
                  <c:v>0.86600000000000066</c:v>
                </c:pt>
                <c:pt idx="433">
                  <c:v>0.86800000000000066</c:v>
                </c:pt>
                <c:pt idx="434">
                  <c:v>0.87000000000000066</c:v>
                </c:pt>
                <c:pt idx="435">
                  <c:v>0.87200000000000066</c:v>
                </c:pt>
                <c:pt idx="436">
                  <c:v>0.87400000000000067</c:v>
                </c:pt>
                <c:pt idx="437">
                  <c:v>0.87600000000000067</c:v>
                </c:pt>
                <c:pt idx="438">
                  <c:v>0.87800000000000067</c:v>
                </c:pt>
                <c:pt idx="439">
                  <c:v>0.88000000000000067</c:v>
                </c:pt>
                <c:pt idx="440">
                  <c:v>0.88200000000000067</c:v>
                </c:pt>
                <c:pt idx="441">
                  <c:v>0.88400000000000067</c:v>
                </c:pt>
                <c:pt idx="442">
                  <c:v>0.88600000000000068</c:v>
                </c:pt>
                <c:pt idx="443">
                  <c:v>0.88800000000000068</c:v>
                </c:pt>
                <c:pt idx="444">
                  <c:v>0.89000000000000068</c:v>
                </c:pt>
                <c:pt idx="445">
                  <c:v>0.89200000000000068</c:v>
                </c:pt>
                <c:pt idx="446">
                  <c:v>0.89400000000000068</c:v>
                </c:pt>
                <c:pt idx="447">
                  <c:v>0.89600000000000068</c:v>
                </c:pt>
                <c:pt idx="448">
                  <c:v>0.89800000000000069</c:v>
                </c:pt>
                <c:pt idx="449">
                  <c:v>0.90000000000000069</c:v>
                </c:pt>
                <c:pt idx="450">
                  <c:v>0.90200000000000069</c:v>
                </c:pt>
                <c:pt idx="451">
                  <c:v>0.90400000000000069</c:v>
                </c:pt>
                <c:pt idx="452">
                  <c:v>0.90600000000000069</c:v>
                </c:pt>
                <c:pt idx="453">
                  <c:v>0.9080000000000007</c:v>
                </c:pt>
                <c:pt idx="454">
                  <c:v>0.9100000000000007</c:v>
                </c:pt>
                <c:pt idx="455">
                  <c:v>0.9120000000000007</c:v>
                </c:pt>
                <c:pt idx="456">
                  <c:v>0.9140000000000007</c:v>
                </c:pt>
                <c:pt idx="457">
                  <c:v>0.9160000000000007</c:v>
                </c:pt>
                <c:pt idx="458">
                  <c:v>0.9180000000000007</c:v>
                </c:pt>
                <c:pt idx="459">
                  <c:v>0.92000000000000071</c:v>
                </c:pt>
                <c:pt idx="460">
                  <c:v>0.92200000000000071</c:v>
                </c:pt>
                <c:pt idx="461">
                  <c:v>0.92400000000000071</c:v>
                </c:pt>
                <c:pt idx="462">
                  <c:v>0.92600000000000071</c:v>
                </c:pt>
                <c:pt idx="463">
                  <c:v>0.92800000000000071</c:v>
                </c:pt>
                <c:pt idx="464">
                  <c:v>0.93000000000000071</c:v>
                </c:pt>
                <c:pt idx="465">
                  <c:v>0.93200000000000072</c:v>
                </c:pt>
                <c:pt idx="466">
                  <c:v>0.93400000000000072</c:v>
                </c:pt>
                <c:pt idx="467">
                  <c:v>0.93600000000000072</c:v>
                </c:pt>
                <c:pt idx="468">
                  <c:v>0.93800000000000072</c:v>
                </c:pt>
                <c:pt idx="469">
                  <c:v>0.94000000000000072</c:v>
                </c:pt>
                <c:pt idx="470">
                  <c:v>0.94200000000000073</c:v>
                </c:pt>
                <c:pt idx="471">
                  <c:v>0.94400000000000073</c:v>
                </c:pt>
                <c:pt idx="472">
                  <c:v>0.94600000000000073</c:v>
                </c:pt>
                <c:pt idx="473">
                  <c:v>0.94800000000000073</c:v>
                </c:pt>
                <c:pt idx="474">
                  <c:v>0.95000000000000073</c:v>
                </c:pt>
                <c:pt idx="475">
                  <c:v>0.95200000000000073</c:v>
                </c:pt>
                <c:pt idx="476">
                  <c:v>0.95400000000000074</c:v>
                </c:pt>
                <c:pt idx="477">
                  <c:v>0.95600000000000074</c:v>
                </c:pt>
                <c:pt idx="478">
                  <c:v>0.95800000000000074</c:v>
                </c:pt>
                <c:pt idx="479">
                  <c:v>0.96000000000000074</c:v>
                </c:pt>
                <c:pt idx="480">
                  <c:v>0.96200000000000074</c:v>
                </c:pt>
                <c:pt idx="481">
                  <c:v>0.96400000000000075</c:v>
                </c:pt>
                <c:pt idx="482">
                  <c:v>0.96600000000000075</c:v>
                </c:pt>
                <c:pt idx="483">
                  <c:v>0.96800000000000075</c:v>
                </c:pt>
                <c:pt idx="484">
                  <c:v>0.97000000000000075</c:v>
                </c:pt>
                <c:pt idx="485">
                  <c:v>0.97200000000000075</c:v>
                </c:pt>
                <c:pt idx="486">
                  <c:v>0.97400000000000075</c:v>
                </c:pt>
                <c:pt idx="487">
                  <c:v>0.97600000000000076</c:v>
                </c:pt>
                <c:pt idx="488">
                  <c:v>0.97800000000000076</c:v>
                </c:pt>
                <c:pt idx="489">
                  <c:v>0.98000000000000076</c:v>
                </c:pt>
                <c:pt idx="490">
                  <c:v>0.98200000000000076</c:v>
                </c:pt>
                <c:pt idx="491">
                  <c:v>0.98400000000000076</c:v>
                </c:pt>
                <c:pt idx="492">
                  <c:v>0.98600000000000076</c:v>
                </c:pt>
                <c:pt idx="493">
                  <c:v>0.98800000000000077</c:v>
                </c:pt>
                <c:pt idx="494">
                  <c:v>0.99000000000000077</c:v>
                </c:pt>
                <c:pt idx="495">
                  <c:v>0.99200000000000077</c:v>
                </c:pt>
                <c:pt idx="496">
                  <c:v>0.99400000000000077</c:v>
                </c:pt>
                <c:pt idx="497">
                  <c:v>0.99600000000000077</c:v>
                </c:pt>
                <c:pt idx="498">
                  <c:v>0.99800000000000078</c:v>
                </c:pt>
                <c:pt idx="499">
                  <c:v>1.0000000000000007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81-4DFB-90D0-2227D3D18A59}"/>
            </c:ext>
          </c:extLst>
        </c:ser>
        <c:ser>
          <c:idx val="1"/>
          <c:order val="1"/>
          <c:tx>
            <c:v>pea</c:v>
          </c:tx>
          <c:spPr>
            <a:solidFill>
              <a:schemeClr val="accent2"/>
            </a:solidFill>
            <a:ln w="25400">
              <a:noFill/>
            </a:ln>
            <a:effectLst/>
            <a:sp3d/>
          </c:spPr>
          <c:val>
            <c:numRef>
              <c:f>triang!$N$5:$N$504</c:f>
              <c:numCache>
                <c:formatCode>General</c:formatCode>
                <c:ptCount val="500"/>
                <c:pt idx="0">
                  <c:v>0</c:v>
                </c:pt>
                <c:pt idx="1">
                  <c:v>3.0557952257693395E-3</c:v>
                </c:pt>
                <c:pt idx="2">
                  <c:v>1.9008949567747711E-2</c:v>
                </c:pt>
                <c:pt idx="3">
                  <c:v>3.0604899423099696E-2</c:v>
                </c:pt>
                <c:pt idx="4">
                  <c:v>4.3580926762421951E-2</c:v>
                </c:pt>
                <c:pt idx="5">
                  <c:v>4.975934290886324E-2</c:v>
                </c:pt>
                <c:pt idx="6">
                  <c:v>5.542472381532422E-2</c:v>
                </c:pt>
                <c:pt idx="7">
                  <c:v>6.6324925138303792E-2</c:v>
                </c:pt>
                <c:pt idx="8">
                  <c:v>6.6660322455125307E-2</c:v>
                </c:pt>
                <c:pt idx="9">
                  <c:v>6.6660322455125307E-2</c:v>
                </c:pt>
                <c:pt idx="10">
                  <c:v>7.0060819841310087E-2</c:v>
                </c:pt>
                <c:pt idx="11">
                  <c:v>7.6035798270990912E-2</c:v>
                </c:pt>
                <c:pt idx="12">
                  <c:v>8.988521206584453E-2</c:v>
                </c:pt>
                <c:pt idx="13">
                  <c:v>9.027559254935795E-2</c:v>
                </c:pt>
                <c:pt idx="14">
                  <c:v>0.10447182324180757</c:v>
                </c:pt>
                <c:pt idx="15">
                  <c:v>0.10743541592650871</c:v>
                </c:pt>
                <c:pt idx="16">
                  <c:v>0.11174102082593172</c:v>
                </c:pt>
                <c:pt idx="17">
                  <c:v>0.11348694784212211</c:v>
                </c:pt>
                <c:pt idx="18">
                  <c:v>0.11392554433335025</c:v>
                </c:pt>
                <c:pt idx="19">
                  <c:v>0.11880593479842323</c:v>
                </c:pt>
                <c:pt idx="20">
                  <c:v>0.13121901910030617</c:v>
                </c:pt>
                <c:pt idx="21">
                  <c:v>0.13358541000524454</c:v>
                </c:pt>
                <c:pt idx="22">
                  <c:v>0.1364529936219526</c:v>
                </c:pt>
                <c:pt idx="23">
                  <c:v>0.13693388485679001</c:v>
                </c:pt>
                <c:pt idx="24">
                  <c:v>0.15023769645908405</c:v>
                </c:pt>
                <c:pt idx="25">
                  <c:v>0.1522610769933512</c:v>
                </c:pt>
                <c:pt idx="26">
                  <c:v>0.15378749429020963</c:v>
                </c:pt>
                <c:pt idx="27">
                  <c:v>0.15378749429020963</c:v>
                </c:pt>
                <c:pt idx="28">
                  <c:v>0.15737874097007223</c:v>
                </c:pt>
                <c:pt idx="29">
                  <c:v>0.15841242450388265</c:v>
                </c:pt>
                <c:pt idx="30">
                  <c:v>0.15841242450388265</c:v>
                </c:pt>
                <c:pt idx="31">
                  <c:v>0.1615337765822463</c:v>
                </c:pt>
                <c:pt idx="32">
                  <c:v>0.16363159586526593</c:v>
                </c:pt>
                <c:pt idx="33">
                  <c:v>0.16363159586526593</c:v>
                </c:pt>
                <c:pt idx="34">
                  <c:v>0.16415816542320116</c:v>
                </c:pt>
                <c:pt idx="35">
                  <c:v>0.16627290260366434</c:v>
                </c:pt>
                <c:pt idx="36">
                  <c:v>0.16947038522052482</c:v>
                </c:pt>
                <c:pt idx="37">
                  <c:v>0.17269832005278379</c:v>
                </c:pt>
                <c:pt idx="38">
                  <c:v>0.17432370704968791</c:v>
                </c:pt>
                <c:pt idx="39">
                  <c:v>0.17650273224043714</c:v>
                </c:pt>
                <c:pt idx="40">
                  <c:v>0.17650273224043714</c:v>
                </c:pt>
                <c:pt idx="41">
                  <c:v>0.18090138557580074</c:v>
                </c:pt>
                <c:pt idx="42">
                  <c:v>0.18200950785836342</c:v>
                </c:pt>
                <c:pt idx="43">
                  <c:v>0.18256483784195296</c:v>
                </c:pt>
                <c:pt idx="44">
                  <c:v>0.18479461672503353</c:v>
                </c:pt>
                <c:pt idx="45">
                  <c:v>0.19042827657378741</c:v>
                </c:pt>
                <c:pt idx="46">
                  <c:v>0.1915651592820044</c:v>
                </c:pt>
                <c:pt idx="47">
                  <c:v>0.1973003265154207</c:v>
                </c:pt>
                <c:pt idx="48">
                  <c:v>0.19845751070057013</c:v>
                </c:pt>
                <c:pt idx="49">
                  <c:v>0.19961807846520835</c:v>
                </c:pt>
                <c:pt idx="50">
                  <c:v>0.20194936473295094</c:v>
                </c:pt>
                <c:pt idx="51">
                  <c:v>0.20312008323605535</c:v>
                </c:pt>
                <c:pt idx="52">
                  <c:v>0.20312008323605535</c:v>
                </c:pt>
                <c:pt idx="53">
                  <c:v>0.20665254022230123</c:v>
                </c:pt>
                <c:pt idx="54">
                  <c:v>0.2090244294439087</c:v>
                </c:pt>
                <c:pt idx="55">
                  <c:v>0.21140985298347117</c:v>
                </c:pt>
                <c:pt idx="56">
                  <c:v>0.21140985298347117</c:v>
                </c:pt>
                <c:pt idx="57">
                  <c:v>0.21260764012248551</c:v>
                </c:pt>
                <c:pt idx="58">
                  <c:v>0.21260764012248551</c:v>
                </c:pt>
                <c:pt idx="59">
                  <c:v>0.21380881084098879</c:v>
                </c:pt>
                <c:pt idx="60">
                  <c:v>0.21441066504254849</c:v>
                </c:pt>
                <c:pt idx="61">
                  <c:v>0.21561691113028469</c:v>
                </c:pt>
                <c:pt idx="62">
                  <c:v>0.21622130301646117</c:v>
                </c:pt>
                <c:pt idx="63">
                  <c:v>0.21864732950988852</c:v>
                </c:pt>
                <c:pt idx="64">
                  <c:v>0.21925595087042593</c:v>
                </c:pt>
                <c:pt idx="65">
                  <c:v>0.22108689032127082</c:v>
                </c:pt>
                <c:pt idx="66">
                  <c:v>0.22231174609619508</c:v>
                </c:pt>
                <c:pt idx="67">
                  <c:v>0.22231174609619508</c:v>
                </c:pt>
                <c:pt idx="68">
                  <c:v>0.22292544282596563</c:v>
                </c:pt>
                <c:pt idx="69">
                  <c:v>0.224155373970123</c:v>
                </c:pt>
                <c:pt idx="70">
                  <c:v>0.22538868869376913</c:v>
                </c:pt>
                <c:pt idx="71">
                  <c:v>0.22600661489790058</c:v>
                </c:pt>
                <c:pt idx="72">
                  <c:v>0.22600661489790058</c:v>
                </c:pt>
                <c:pt idx="73">
                  <c:v>0.22848677866314776</c:v>
                </c:pt>
                <c:pt idx="74">
                  <c:v>0.23348770914750705</c:v>
                </c:pt>
                <c:pt idx="75">
                  <c:v>0.23411663198497693</c:v>
                </c:pt>
                <c:pt idx="76">
                  <c:v>0.23600847586661941</c:v>
                </c:pt>
                <c:pt idx="77">
                  <c:v>0.23664078228357777</c:v>
                </c:pt>
                <c:pt idx="78">
                  <c:v>0.23790793280211128</c:v>
                </c:pt>
                <c:pt idx="79">
                  <c:v>0.2423696053054526</c:v>
                </c:pt>
                <c:pt idx="80">
                  <c:v>0.24301037067113304</c:v>
                </c:pt>
                <c:pt idx="81">
                  <c:v>0.24301037067113304</c:v>
                </c:pt>
                <c:pt idx="82">
                  <c:v>0.24365198193168547</c:v>
                </c:pt>
                <c:pt idx="83">
                  <c:v>0.24493774213740729</c:v>
                </c:pt>
                <c:pt idx="84">
                  <c:v>0.24558189108257625</c:v>
                </c:pt>
                <c:pt idx="85">
                  <c:v>0.24622688592261763</c:v>
                </c:pt>
                <c:pt idx="86">
                  <c:v>0.24946454854590663</c:v>
                </c:pt>
                <c:pt idx="87">
                  <c:v>0.25206990475223751</c:v>
                </c:pt>
                <c:pt idx="88">
                  <c:v>0.2540328038031433</c:v>
                </c:pt>
                <c:pt idx="89">
                  <c:v>0.2540328038031433</c:v>
                </c:pt>
                <c:pt idx="90">
                  <c:v>0.25996717927895913</c:v>
                </c:pt>
                <c:pt idx="91">
                  <c:v>0.26063078380618859</c:v>
                </c:pt>
                <c:pt idx="92">
                  <c:v>0.26329366086382783</c:v>
                </c:pt>
                <c:pt idx="93">
                  <c:v>0.2639614948654182</c:v>
                </c:pt>
                <c:pt idx="94">
                  <c:v>0.26529970055321528</c:v>
                </c:pt>
                <c:pt idx="95">
                  <c:v>0.26664128982050112</c:v>
                </c:pt>
                <c:pt idx="96">
                  <c:v>0.26731335329645245</c:v>
                </c:pt>
                <c:pt idx="97">
                  <c:v>0.26798626266727571</c:v>
                </c:pt>
                <c:pt idx="98">
                  <c:v>0.2686600179329714</c:v>
                </c:pt>
                <c:pt idx="99">
                  <c:v>0.2686600179329714</c:v>
                </c:pt>
                <c:pt idx="100">
                  <c:v>0.27068635909929106</c:v>
                </c:pt>
                <c:pt idx="101">
                  <c:v>0.27068635909929106</c:v>
                </c:pt>
                <c:pt idx="102">
                  <c:v>0.27681106092134861</c:v>
                </c:pt>
                <c:pt idx="103">
                  <c:v>0.28024327936524046</c:v>
                </c:pt>
                <c:pt idx="104">
                  <c:v>0.28024327936524046</c:v>
                </c:pt>
                <c:pt idx="105">
                  <c:v>0.28093226073863548</c:v>
                </c:pt>
                <c:pt idx="106">
                  <c:v>0.28093226073863548</c:v>
                </c:pt>
                <c:pt idx="107">
                  <c:v>0.28162208800690242</c:v>
                </c:pt>
                <c:pt idx="108">
                  <c:v>0.28231276117004184</c:v>
                </c:pt>
                <c:pt idx="109">
                  <c:v>0.28300428022805318</c:v>
                </c:pt>
                <c:pt idx="110">
                  <c:v>0.28300428022805318</c:v>
                </c:pt>
                <c:pt idx="111">
                  <c:v>0.28438985602869293</c:v>
                </c:pt>
                <c:pt idx="112">
                  <c:v>0.28856688490754373</c:v>
                </c:pt>
                <c:pt idx="113">
                  <c:v>0.28996599502613818</c:v>
                </c:pt>
                <c:pt idx="114">
                  <c:v>0.29066681892774382</c:v>
                </c:pt>
                <c:pt idx="115">
                  <c:v>0.29136848872422133</c:v>
                </c:pt>
                <c:pt idx="116">
                  <c:v>0.29630386235598638</c:v>
                </c:pt>
                <c:pt idx="117">
                  <c:v>0.29701229931144169</c:v>
                </c:pt>
                <c:pt idx="118">
                  <c:v>0.29701229931144169</c:v>
                </c:pt>
                <c:pt idx="119">
                  <c:v>0.29843171090696857</c:v>
                </c:pt>
                <c:pt idx="120">
                  <c:v>0.29843171090696857</c:v>
                </c:pt>
                <c:pt idx="121">
                  <c:v>0.29985450608198422</c:v>
                </c:pt>
                <c:pt idx="122">
                  <c:v>0.29985450608198422</c:v>
                </c:pt>
                <c:pt idx="123">
                  <c:v>0.30271024717048167</c:v>
                </c:pt>
                <c:pt idx="124">
                  <c:v>0.30701923564939337</c:v>
                </c:pt>
                <c:pt idx="125">
                  <c:v>0.30774036102793151</c:v>
                </c:pt>
                <c:pt idx="126">
                  <c:v>0.30990881253277852</c:v>
                </c:pt>
                <c:pt idx="127">
                  <c:v>0.31063332149080508</c:v>
                </c:pt>
                <c:pt idx="128">
                  <c:v>0.31426855470402137</c:v>
                </c:pt>
                <c:pt idx="129">
                  <c:v>0.31499813903128132</c:v>
                </c:pt>
                <c:pt idx="130">
                  <c:v>0.31572856925341314</c:v>
                </c:pt>
                <c:pt idx="131">
                  <c:v>0.31792493528904231</c:v>
                </c:pt>
                <c:pt idx="132">
                  <c:v>0.32012891437852115</c:v>
                </c:pt>
                <c:pt idx="133">
                  <c:v>0.32234050652184942</c:v>
                </c:pt>
                <c:pt idx="134">
                  <c:v>0.32455971171902764</c:v>
                </c:pt>
                <c:pt idx="135">
                  <c:v>0.32530113857449788</c:v>
                </c:pt>
                <c:pt idx="136">
                  <c:v>0.32530113857449788</c:v>
                </c:pt>
                <c:pt idx="137">
                  <c:v>0.32678652997005547</c:v>
                </c:pt>
                <c:pt idx="138">
                  <c:v>0.32753049451014227</c:v>
                </c:pt>
                <c:pt idx="139">
                  <c:v>0.32827530494510149</c:v>
                </c:pt>
                <c:pt idx="140">
                  <c:v>0.32976746349963637</c:v>
                </c:pt>
                <c:pt idx="141">
                  <c:v>0.33201204554298003</c:v>
                </c:pt>
                <c:pt idx="142">
                  <c:v>0.33276193134717219</c:v>
                </c:pt>
                <c:pt idx="143">
                  <c:v>0.33351266304623672</c:v>
                </c:pt>
                <c:pt idx="144">
                  <c:v>0.33426424064017324</c:v>
                </c:pt>
                <c:pt idx="145">
                  <c:v>0.33576993351266299</c:v>
                </c:pt>
                <c:pt idx="146">
                  <c:v>0.33576993351266299</c:v>
                </c:pt>
                <c:pt idx="147">
                  <c:v>0.33576993351266299</c:v>
                </c:pt>
                <c:pt idx="148">
                  <c:v>0.33652404879121628</c:v>
                </c:pt>
                <c:pt idx="149">
                  <c:v>0.3372790099646415</c:v>
                </c:pt>
                <c:pt idx="150">
                  <c:v>0.33879146999610904</c:v>
                </c:pt>
                <c:pt idx="151">
                  <c:v>0.34106650425485113</c:v>
                </c:pt>
                <c:pt idx="152">
                  <c:v>0.34106650425485113</c:v>
                </c:pt>
                <c:pt idx="153">
                  <c:v>0.34258742323504032</c:v>
                </c:pt>
                <c:pt idx="154">
                  <c:v>0.34563941193388503</c:v>
                </c:pt>
                <c:pt idx="155">
                  <c:v>0.34640452384577641</c:v>
                </c:pt>
                <c:pt idx="156">
                  <c:v>0.34717048165254033</c:v>
                </c:pt>
                <c:pt idx="157">
                  <c:v>0.34793728535417612</c:v>
                </c:pt>
                <c:pt idx="158">
                  <c:v>0.34793728535417612</c:v>
                </c:pt>
                <c:pt idx="159">
                  <c:v>0.34870493495068439</c:v>
                </c:pt>
                <c:pt idx="160">
                  <c:v>0.34870493495068439</c:v>
                </c:pt>
                <c:pt idx="161">
                  <c:v>0.34870493495068439</c:v>
                </c:pt>
                <c:pt idx="162">
                  <c:v>0.34947343044206458</c:v>
                </c:pt>
                <c:pt idx="163">
                  <c:v>0.35178399228543883</c:v>
                </c:pt>
                <c:pt idx="164">
                  <c:v>0.35178399228543883</c:v>
                </c:pt>
                <c:pt idx="165">
                  <c:v>0.35178399228543883</c:v>
                </c:pt>
                <c:pt idx="166">
                  <c:v>0.35255587135630795</c:v>
                </c:pt>
                <c:pt idx="167">
                  <c:v>0.3533285963220491</c:v>
                </c:pt>
                <c:pt idx="168">
                  <c:v>0.35410216718266269</c:v>
                </c:pt>
                <c:pt idx="169">
                  <c:v>0.35487658393814808</c:v>
                </c:pt>
                <c:pt idx="170">
                  <c:v>0.35642795513373587</c:v>
                </c:pt>
                <c:pt idx="171">
                  <c:v>0.35876135613865912</c:v>
                </c:pt>
                <c:pt idx="172">
                  <c:v>0.35954084826337795</c:v>
                </c:pt>
                <c:pt idx="173">
                  <c:v>0.36110237019743197</c:v>
                </c:pt>
                <c:pt idx="174">
                  <c:v>0.36188440000676714</c:v>
                </c:pt>
                <c:pt idx="175">
                  <c:v>0.36266727571097468</c:v>
                </c:pt>
                <c:pt idx="176">
                  <c:v>0.36423556480400621</c:v>
                </c:pt>
                <c:pt idx="177">
                  <c:v>0.36423556480400621</c:v>
                </c:pt>
                <c:pt idx="178">
                  <c:v>0.36896073356003306</c:v>
                </c:pt>
                <c:pt idx="179">
                  <c:v>0.36975122231809038</c:v>
                </c:pt>
                <c:pt idx="180">
                  <c:v>0.37292163629904074</c:v>
                </c:pt>
                <c:pt idx="181">
                  <c:v>0.37292163629904074</c:v>
                </c:pt>
                <c:pt idx="182">
                  <c:v>0.37530832868091163</c:v>
                </c:pt>
                <c:pt idx="183">
                  <c:v>0.37610558459794607</c:v>
                </c:pt>
                <c:pt idx="184">
                  <c:v>0.37610558459794607</c:v>
                </c:pt>
                <c:pt idx="185">
                  <c:v>0.37850242771828313</c:v>
                </c:pt>
                <c:pt idx="186">
                  <c:v>0.38090688389246996</c:v>
                </c:pt>
                <c:pt idx="187">
                  <c:v>0.38171006107360972</c:v>
                </c:pt>
                <c:pt idx="188">
                  <c:v>0.38251408414962196</c:v>
                </c:pt>
                <c:pt idx="189">
                  <c:v>0.38412466798626271</c:v>
                </c:pt>
                <c:pt idx="190">
                  <c:v>0.38654688795276532</c:v>
                </c:pt>
                <c:pt idx="191">
                  <c:v>0.38816593073812794</c:v>
                </c:pt>
                <c:pt idx="192">
                  <c:v>0.38978835710297932</c:v>
                </c:pt>
                <c:pt idx="193">
                  <c:v>0.39549349506843295</c:v>
                </c:pt>
                <c:pt idx="194">
                  <c:v>0.39549349506843295</c:v>
                </c:pt>
                <c:pt idx="195">
                  <c:v>0.39713114754098366</c:v>
                </c:pt>
                <c:pt idx="196">
                  <c:v>0.39877218359302308</c:v>
                </c:pt>
                <c:pt idx="197">
                  <c:v>0.3995939704613512</c:v>
                </c:pt>
                <c:pt idx="198">
                  <c:v>0.40206440643556818</c:v>
                </c:pt>
                <c:pt idx="199">
                  <c:v>0.40206440643556818</c:v>
                </c:pt>
                <c:pt idx="200">
                  <c:v>0.40454245546363499</c:v>
                </c:pt>
                <c:pt idx="201">
                  <c:v>0.40952139268131749</c:v>
                </c:pt>
                <c:pt idx="202">
                  <c:v>0.41035417618298403</c:v>
                </c:pt>
                <c:pt idx="203">
                  <c:v>0.4120222808709334</c:v>
                </c:pt>
                <c:pt idx="204">
                  <c:v>0.41369376913837147</c:v>
                </c:pt>
                <c:pt idx="205">
                  <c:v>0.41453078211439892</c:v>
                </c:pt>
                <c:pt idx="206">
                  <c:v>0.41620734575107016</c:v>
                </c:pt>
                <c:pt idx="207">
                  <c:v>0.4178872929672301</c:v>
                </c:pt>
                <c:pt idx="208">
                  <c:v>0.41872853541761851</c:v>
                </c:pt>
                <c:pt idx="209">
                  <c:v>0.41957062376287879</c:v>
                </c:pt>
                <c:pt idx="210">
                  <c:v>0.41957062376287879</c:v>
                </c:pt>
                <c:pt idx="211">
                  <c:v>0.42294743609264235</c:v>
                </c:pt>
                <c:pt idx="212">
                  <c:v>0.42379375391226382</c:v>
                </c:pt>
                <c:pt idx="213">
                  <c:v>0.42464091762675726</c:v>
                </c:pt>
                <c:pt idx="214">
                  <c:v>0.42464091762675726</c:v>
                </c:pt>
                <c:pt idx="215">
                  <c:v>0.42633778274036122</c:v>
                </c:pt>
                <c:pt idx="216">
                  <c:v>0.42803803143345359</c:v>
                </c:pt>
                <c:pt idx="217">
                  <c:v>0.42803803143345359</c:v>
                </c:pt>
                <c:pt idx="218">
                  <c:v>0.43144867955810456</c:v>
                </c:pt>
                <c:pt idx="219">
                  <c:v>0.43487286200071057</c:v>
                </c:pt>
                <c:pt idx="220">
                  <c:v>0.43487286200071057</c:v>
                </c:pt>
                <c:pt idx="221">
                  <c:v>0.43659002859124663</c:v>
                </c:pt>
                <c:pt idx="222">
                  <c:v>0.44003451251078535</c:v>
                </c:pt>
                <c:pt idx="223">
                  <c:v>0.44003451251078535</c:v>
                </c:pt>
                <c:pt idx="224">
                  <c:v>0.44089774822785022</c:v>
                </c:pt>
                <c:pt idx="225">
                  <c:v>0.44262675734659696</c:v>
                </c:pt>
                <c:pt idx="226">
                  <c:v>0.44349253074827871</c:v>
                </c:pt>
                <c:pt idx="227">
                  <c:v>0.44522661523625856</c:v>
                </c:pt>
                <c:pt idx="228">
                  <c:v>0.44783408617976977</c:v>
                </c:pt>
                <c:pt idx="229">
                  <c:v>0.44783408617976977</c:v>
                </c:pt>
                <c:pt idx="230">
                  <c:v>0.45044917017713032</c:v>
                </c:pt>
                <c:pt idx="231">
                  <c:v>0.4513225566326618</c:v>
                </c:pt>
                <c:pt idx="232">
                  <c:v>0.4513225566326618</c:v>
                </c:pt>
                <c:pt idx="233">
                  <c:v>0.45307186722834092</c:v>
                </c:pt>
                <c:pt idx="234">
                  <c:v>0.4548245614035088</c:v>
                </c:pt>
                <c:pt idx="235">
                  <c:v>0.45570217733340118</c:v>
                </c:pt>
                <c:pt idx="236">
                  <c:v>0.45658063915816538</c:v>
                </c:pt>
                <c:pt idx="237">
                  <c:v>0.45922110000169186</c:v>
                </c:pt>
                <c:pt idx="238">
                  <c:v>0.46010294540594482</c:v>
                </c:pt>
                <c:pt idx="239">
                  <c:v>0.46010294540594482</c:v>
                </c:pt>
                <c:pt idx="240">
                  <c:v>0.46098563670507031</c:v>
                </c:pt>
                <c:pt idx="241">
                  <c:v>0.46098563670507031</c:v>
                </c:pt>
                <c:pt idx="242">
                  <c:v>0.46186917389906806</c:v>
                </c:pt>
                <c:pt idx="243">
                  <c:v>0.46275355698793752</c:v>
                </c:pt>
                <c:pt idx="244">
                  <c:v>0.46541178162377994</c:v>
                </c:pt>
                <c:pt idx="245">
                  <c:v>0.46541178162377994</c:v>
                </c:pt>
                <c:pt idx="246">
                  <c:v>0.46629954829213816</c:v>
                </c:pt>
                <c:pt idx="247">
                  <c:v>0.46629954829213816</c:v>
                </c:pt>
                <c:pt idx="248">
                  <c:v>0.46807761931347164</c:v>
                </c:pt>
                <c:pt idx="249">
                  <c:v>0.46896792366644674</c:v>
                </c:pt>
                <c:pt idx="250">
                  <c:v>0.46896792366644674</c:v>
                </c:pt>
                <c:pt idx="251">
                  <c:v>0.46896792366644674</c:v>
                </c:pt>
                <c:pt idx="252">
                  <c:v>0.47343213385440469</c:v>
                </c:pt>
                <c:pt idx="253">
                  <c:v>0.4752237391936931</c:v>
                </c:pt>
                <c:pt idx="254">
                  <c:v>0.47791749141416717</c:v>
                </c:pt>
                <c:pt idx="255">
                  <c:v>0.47881710061073612</c:v>
                </c:pt>
                <c:pt idx="256">
                  <c:v>0.4797175557021775</c:v>
                </c:pt>
                <c:pt idx="257">
                  <c:v>0.48061885668849075</c:v>
                </c:pt>
                <c:pt idx="258">
                  <c:v>0.48332783501666415</c:v>
                </c:pt>
                <c:pt idx="259">
                  <c:v>0.48332783501666415</c:v>
                </c:pt>
                <c:pt idx="260">
                  <c:v>0.48604442639868733</c:v>
                </c:pt>
                <c:pt idx="261">
                  <c:v>0.4915004483242823</c:v>
                </c:pt>
                <c:pt idx="262">
                  <c:v>0.49332588945845807</c:v>
                </c:pt>
                <c:pt idx="263">
                  <c:v>0.49332588945845807</c:v>
                </c:pt>
                <c:pt idx="264">
                  <c:v>0.4951547141721227</c:v>
                </c:pt>
                <c:pt idx="265">
                  <c:v>0.4951547141721227</c:v>
                </c:pt>
                <c:pt idx="266">
                  <c:v>0.5006614897900491</c:v>
                </c:pt>
                <c:pt idx="267">
                  <c:v>0.50158224635842252</c:v>
                </c:pt>
                <c:pt idx="268">
                  <c:v>0.50250384882166854</c:v>
                </c:pt>
                <c:pt idx="269">
                  <c:v>0.50250384882166854</c:v>
                </c:pt>
                <c:pt idx="270">
                  <c:v>0.50342629717978649</c:v>
                </c:pt>
                <c:pt idx="271">
                  <c:v>0.50712454956098074</c:v>
                </c:pt>
                <c:pt idx="272">
                  <c:v>0.50805122739345954</c:v>
                </c:pt>
                <c:pt idx="273">
                  <c:v>0.50897875112081092</c:v>
                </c:pt>
                <c:pt idx="274">
                  <c:v>0.50897875112081092</c:v>
                </c:pt>
                <c:pt idx="275">
                  <c:v>0.50897875112081092</c:v>
                </c:pt>
                <c:pt idx="276">
                  <c:v>0.50990712074303401</c:v>
                </c:pt>
                <c:pt idx="277">
                  <c:v>0.51456165727723358</c:v>
                </c:pt>
                <c:pt idx="278">
                  <c:v>0.51642939315501868</c:v>
                </c:pt>
                <c:pt idx="279">
                  <c:v>0.51830051261229249</c:v>
                </c:pt>
                <c:pt idx="280">
                  <c:v>0.52299311441574048</c:v>
                </c:pt>
                <c:pt idx="281">
                  <c:v>0.52393417246104679</c:v>
                </c:pt>
                <c:pt idx="282">
                  <c:v>0.52770686359099306</c:v>
                </c:pt>
                <c:pt idx="283">
                  <c:v>0.5295982845251993</c:v>
                </c:pt>
                <c:pt idx="284">
                  <c:v>0.5295982845251993</c:v>
                </c:pt>
                <c:pt idx="285">
                  <c:v>0.53149308903889425</c:v>
                </c:pt>
                <c:pt idx="286">
                  <c:v>0.53149308903889425</c:v>
                </c:pt>
                <c:pt idx="287">
                  <c:v>0.53339127713207801</c:v>
                </c:pt>
                <c:pt idx="288">
                  <c:v>0.53624490348339515</c:v>
                </c:pt>
                <c:pt idx="289">
                  <c:v>0.53719780405691164</c:v>
                </c:pt>
                <c:pt idx="290">
                  <c:v>0.53910614288856196</c:v>
                </c:pt>
                <c:pt idx="291">
                  <c:v>0.53910614288856196</c:v>
                </c:pt>
                <c:pt idx="292">
                  <c:v>0.54101786529970075</c:v>
                </c:pt>
                <c:pt idx="293">
                  <c:v>0.54101786529970075</c:v>
                </c:pt>
                <c:pt idx="294">
                  <c:v>0.54677333401004924</c:v>
                </c:pt>
                <c:pt idx="295">
                  <c:v>0.54773553942716013</c:v>
                </c:pt>
                <c:pt idx="296">
                  <c:v>0.54869859073914296</c:v>
                </c:pt>
                <c:pt idx="297">
                  <c:v>0.54869859073914296</c:v>
                </c:pt>
                <c:pt idx="298">
                  <c:v>0.54966248794599826</c:v>
                </c:pt>
                <c:pt idx="299">
                  <c:v>0.55159282004432508</c:v>
                </c:pt>
                <c:pt idx="300">
                  <c:v>0.55159282004432508</c:v>
                </c:pt>
                <c:pt idx="301">
                  <c:v>0.5535265357221405</c:v>
                </c:pt>
                <c:pt idx="302">
                  <c:v>0.55449466240335676</c:v>
                </c:pt>
                <c:pt idx="303">
                  <c:v>0.55643345345040529</c:v>
                </c:pt>
                <c:pt idx="304">
                  <c:v>0.55837562807694274</c:v>
                </c:pt>
                <c:pt idx="305">
                  <c:v>0.56129523422828997</c:v>
                </c:pt>
                <c:pt idx="306">
                  <c:v>0.56129523422828997</c:v>
                </c:pt>
                <c:pt idx="307">
                  <c:v>0.56227012806848375</c:v>
                </c:pt>
                <c:pt idx="308">
                  <c:v>0.56617816237797969</c:v>
                </c:pt>
                <c:pt idx="309">
                  <c:v>0.56715728569253421</c:v>
                </c:pt>
                <c:pt idx="310">
                  <c:v>0.56813725490196065</c:v>
                </c:pt>
                <c:pt idx="311">
                  <c:v>0.5691180700062598</c:v>
                </c:pt>
                <c:pt idx="312">
                  <c:v>0.57009973100543088</c:v>
                </c:pt>
                <c:pt idx="313">
                  <c:v>0.57108223789947388</c:v>
                </c:pt>
                <c:pt idx="314">
                  <c:v>0.57206559068838947</c:v>
                </c:pt>
                <c:pt idx="315">
                  <c:v>0.57304978937217677</c:v>
                </c:pt>
                <c:pt idx="316">
                  <c:v>0.57304978937217677</c:v>
                </c:pt>
                <c:pt idx="317">
                  <c:v>0.57403483395083665</c:v>
                </c:pt>
                <c:pt idx="318">
                  <c:v>0.57403483395083665</c:v>
                </c:pt>
                <c:pt idx="319">
                  <c:v>0.57897274526721842</c:v>
                </c:pt>
                <c:pt idx="320">
                  <c:v>0.58095383105787635</c:v>
                </c:pt>
                <c:pt idx="321">
                  <c:v>0.58194564279551331</c:v>
                </c:pt>
                <c:pt idx="322">
                  <c:v>0.58393180395540445</c:v>
                </c:pt>
                <c:pt idx="323">
                  <c:v>0.58691738990678244</c:v>
                </c:pt>
                <c:pt idx="324">
                  <c:v>0.58791427701365295</c:v>
                </c:pt>
                <c:pt idx="325">
                  <c:v>0.59191028438985616</c:v>
                </c:pt>
                <c:pt idx="326">
                  <c:v>0.59591982608401439</c:v>
                </c:pt>
                <c:pt idx="327">
                  <c:v>0.59792967230032645</c:v>
                </c:pt>
                <c:pt idx="328">
                  <c:v>0.59792967230032645</c:v>
                </c:pt>
                <c:pt idx="329">
                  <c:v>0.60195951547141713</c:v>
                </c:pt>
                <c:pt idx="330">
                  <c:v>0.60397951242619596</c:v>
                </c:pt>
                <c:pt idx="331">
                  <c:v>0.60600289296046306</c:v>
                </c:pt>
                <c:pt idx="332">
                  <c:v>0.60701585206990472</c:v>
                </c:pt>
                <c:pt idx="333">
                  <c:v>0.61005980476746358</c:v>
                </c:pt>
                <c:pt idx="334">
                  <c:v>0.61514997716083863</c:v>
                </c:pt>
                <c:pt idx="335">
                  <c:v>0.62026129692601828</c:v>
                </c:pt>
                <c:pt idx="336">
                  <c:v>0.62231174609619544</c:v>
                </c:pt>
                <c:pt idx="337">
                  <c:v>0.62231174609619544</c:v>
                </c:pt>
                <c:pt idx="338">
                  <c:v>0.62231174609619544</c:v>
                </c:pt>
                <c:pt idx="339">
                  <c:v>0.62333823952359202</c:v>
                </c:pt>
                <c:pt idx="340">
                  <c:v>0.62436557884586119</c:v>
                </c:pt>
                <c:pt idx="341">
                  <c:v>0.62539376406300229</c:v>
                </c:pt>
                <c:pt idx="342">
                  <c:v>0.63364969801553073</c:v>
                </c:pt>
                <c:pt idx="343">
                  <c:v>0.63468549628652138</c:v>
                </c:pt>
                <c:pt idx="344">
                  <c:v>0.63779796646872733</c:v>
                </c:pt>
                <c:pt idx="345">
                  <c:v>0.64300233466984735</c:v>
                </c:pt>
                <c:pt idx="346">
                  <c:v>0.64404574599468767</c:v>
                </c:pt>
                <c:pt idx="347">
                  <c:v>0.64927549104197335</c:v>
                </c:pt>
                <c:pt idx="348">
                  <c:v>0.65242348880881096</c:v>
                </c:pt>
                <c:pt idx="349">
                  <c:v>0.65347451318750094</c:v>
                </c:pt>
                <c:pt idx="350">
                  <c:v>0.65663266169280488</c:v>
                </c:pt>
                <c:pt idx="351">
                  <c:v>0.657687069650984</c:v>
                </c:pt>
                <c:pt idx="352">
                  <c:v>0.66403128119237342</c:v>
                </c:pt>
                <c:pt idx="353">
                  <c:v>0.66403128119237342</c:v>
                </c:pt>
                <c:pt idx="354">
                  <c:v>0.66509161041465792</c:v>
                </c:pt>
                <c:pt idx="355">
                  <c:v>0.66615278553181412</c:v>
                </c:pt>
                <c:pt idx="356">
                  <c:v>0.66721480654384291</c:v>
                </c:pt>
                <c:pt idx="357">
                  <c:v>0.66721480654384291</c:v>
                </c:pt>
                <c:pt idx="358">
                  <c:v>0.66827767345074351</c:v>
                </c:pt>
                <c:pt idx="359">
                  <c:v>0.67574142685547045</c:v>
                </c:pt>
                <c:pt idx="360">
                  <c:v>0.6800250384882166</c:v>
                </c:pt>
                <c:pt idx="361">
                  <c:v>0.68217191967382318</c:v>
                </c:pt>
                <c:pt idx="362">
                  <c:v>0.68217191967382318</c:v>
                </c:pt>
                <c:pt idx="363">
                  <c:v>0.68217191967382318</c:v>
                </c:pt>
                <c:pt idx="364">
                  <c:v>0.68539858566377365</c:v>
                </c:pt>
                <c:pt idx="365">
                  <c:v>0.68647583278350188</c:v>
                </c:pt>
                <c:pt idx="366">
                  <c:v>0.68755392579810171</c:v>
                </c:pt>
                <c:pt idx="367">
                  <c:v>0.68971264951191857</c:v>
                </c:pt>
                <c:pt idx="368">
                  <c:v>0.69079328021113551</c:v>
                </c:pt>
                <c:pt idx="369">
                  <c:v>0.69079328021113551</c:v>
                </c:pt>
                <c:pt idx="370">
                  <c:v>0.69079328021113551</c:v>
                </c:pt>
                <c:pt idx="371">
                  <c:v>0.69404024767801875</c:v>
                </c:pt>
                <c:pt idx="372">
                  <c:v>0.69404024767801875</c:v>
                </c:pt>
                <c:pt idx="373">
                  <c:v>0.69838138016207363</c:v>
                </c:pt>
                <c:pt idx="374">
                  <c:v>0.69946877802026797</c:v>
                </c:pt>
                <c:pt idx="375">
                  <c:v>0.69946877802026797</c:v>
                </c:pt>
                <c:pt idx="376">
                  <c:v>0.70055702177333401</c:v>
                </c:pt>
                <c:pt idx="377">
                  <c:v>0.70382682840176636</c:v>
                </c:pt>
                <c:pt idx="378">
                  <c:v>0.70491845573432133</c:v>
                </c:pt>
                <c:pt idx="379">
                  <c:v>0.70491845573432133</c:v>
                </c:pt>
                <c:pt idx="380">
                  <c:v>0.70601092896174877</c:v>
                </c:pt>
                <c:pt idx="381">
                  <c:v>0.70601092896174877</c:v>
                </c:pt>
                <c:pt idx="382">
                  <c:v>0.70601092896174877</c:v>
                </c:pt>
                <c:pt idx="383">
                  <c:v>0.70601092896174877</c:v>
                </c:pt>
                <c:pt idx="384">
                  <c:v>0.70710280943384707</c:v>
                </c:pt>
                <c:pt idx="385">
                  <c:v>0.70710382513661207</c:v>
                </c:pt>
                <c:pt idx="386">
                  <c:v>0.70765027322404384</c:v>
                </c:pt>
                <c:pt idx="387">
                  <c:v>0.70765027322404384</c:v>
                </c:pt>
                <c:pt idx="388">
                  <c:v>0.70874316939890725</c:v>
                </c:pt>
                <c:pt idx="389">
                  <c:v>0.71311475409836067</c:v>
                </c:pt>
                <c:pt idx="390">
                  <c:v>0.71530054644808749</c:v>
                </c:pt>
                <c:pt idx="391">
                  <c:v>0.71693989071038255</c:v>
                </c:pt>
                <c:pt idx="392">
                  <c:v>0.72076502732240444</c:v>
                </c:pt>
                <c:pt idx="393">
                  <c:v>0.72240437158469961</c:v>
                </c:pt>
                <c:pt idx="394">
                  <c:v>0.7262295081967215</c:v>
                </c:pt>
                <c:pt idx="395">
                  <c:v>0.7262295081967215</c:v>
                </c:pt>
                <c:pt idx="396">
                  <c:v>0.7273224043715848</c:v>
                </c:pt>
                <c:pt idx="397">
                  <c:v>0.7273224043715848</c:v>
                </c:pt>
                <c:pt idx="398">
                  <c:v>0.73005464480874338</c:v>
                </c:pt>
                <c:pt idx="399">
                  <c:v>0.73060109289617492</c:v>
                </c:pt>
                <c:pt idx="400">
                  <c:v>0.73114754098360668</c:v>
                </c:pt>
                <c:pt idx="401">
                  <c:v>0.7344262295081968</c:v>
                </c:pt>
                <c:pt idx="402">
                  <c:v>0.73551912568306022</c:v>
                </c:pt>
                <c:pt idx="403">
                  <c:v>0.73661202185792352</c:v>
                </c:pt>
                <c:pt idx="404">
                  <c:v>0.73770491803278693</c:v>
                </c:pt>
                <c:pt idx="405">
                  <c:v>0.73825136612021869</c:v>
                </c:pt>
                <c:pt idx="406">
                  <c:v>0.73879781420765023</c:v>
                </c:pt>
                <c:pt idx="407">
                  <c:v>0.73989071038251386</c:v>
                </c:pt>
                <c:pt idx="408">
                  <c:v>0.74371584699453575</c:v>
                </c:pt>
                <c:pt idx="409">
                  <c:v>0.74480874316939905</c:v>
                </c:pt>
                <c:pt idx="410">
                  <c:v>0.7453551912568307</c:v>
                </c:pt>
                <c:pt idx="411">
                  <c:v>0.74808743169398917</c:v>
                </c:pt>
                <c:pt idx="412">
                  <c:v>0.74863387978142093</c:v>
                </c:pt>
                <c:pt idx="413">
                  <c:v>0.74972677595628434</c:v>
                </c:pt>
                <c:pt idx="414">
                  <c:v>0.75245901639344259</c:v>
                </c:pt>
                <c:pt idx="415">
                  <c:v>0.75245901639344259</c:v>
                </c:pt>
                <c:pt idx="416">
                  <c:v>0.75300546448087435</c:v>
                </c:pt>
                <c:pt idx="417">
                  <c:v>0.75464480874316953</c:v>
                </c:pt>
                <c:pt idx="418">
                  <c:v>0.75573770491803294</c:v>
                </c:pt>
                <c:pt idx="419">
                  <c:v>0.75683060109289624</c:v>
                </c:pt>
                <c:pt idx="420">
                  <c:v>0.75792349726775965</c:v>
                </c:pt>
                <c:pt idx="421">
                  <c:v>0.76120218579234977</c:v>
                </c:pt>
                <c:pt idx="422">
                  <c:v>0.76174863387978153</c:v>
                </c:pt>
                <c:pt idx="423">
                  <c:v>0.76448087431694001</c:v>
                </c:pt>
                <c:pt idx="424">
                  <c:v>0.76502732240437166</c:v>
                </c:pt>
                <c:pt idx="425">
                  <c:v>0.76612021857923496</c:v>
                </c:pt>
                <c:pt idx="426">
                  <c:v>0.76612021857923496</c:v>
                </c:pt>
                <c:pt idx="427">
                  <c:v>0.76666666666666672</c:v>
                </c:pt>
                <c:pt idx="428">
                  <c:v>0.76666666666666672</c:v>
                </c:pt>
                <c:pt idx="429">
                  <c:v>0.76721311475409848</c:v>
                </c:pt>
                <c:pt idx="430">
                  <c:v>0.76721311475409848</c:v>
                </c:pt>
                <c:pt idx="431">
                  <c:v>0.76994535519125684</c:v>
                </c:pt>
                <c:pt idx="432">
                  <c:v>0.7704918032786886</c:v>
                </c:pt>
                <c:pt idx="433">
                  <c:v>0.77158469945355201</c:v>
                </c:pt>
                <c:pt idx="434">
                  <c:v>0.77213114754098378</c:v>
                </c:pt>
                <c:pt idx="435">
                  <c:v>0.77377049180327873</c:v>
                </c:pt>
                <c:pt idx="436">
                  <c:v>0.77595628415300566</c:v>
                </c:pt>
                <c:pt idx="437">
                  <c:v>0.77595628415300566</c:v>
                </c:pt>
                <c:pt idx="438">
                  <c:v>0.77759562841530061</c:v>
                </c:pt>
                <c:pt idx="439">
                  <c:v>0.78032786885245908</c:v>
                </c:pt>
                <c:pt idx="440">
                  <c:v>0.78087431693989084</c:v>
                </c:pt>
                <c:pt idx="441">
                  <c:v>0.78524590163934438</c:v>
                </c:pt>
                <c:pt idx="442">
                  <c:v>0.78579234972677614</c:v>
                </c:pt>
                <c:pt idx="443">
                  <c:v>0.78907103825136626</c:v>
                </c:pt>
                <c:pt idx="444">
                  <c:v>0.79016393442622956</c:v>
                </c:pt>
                <c:pt idx="445">
                  <c:v>0.79016393442622956</c:v>
                </c:pt>
                <c:pt idx="446">
                  <c:v>0.79234972677595628</c:v>
                </c:pt>
                <c:pt idx="447">
                  <c:v>0.79289617486338804</c:v>
                </c:pt>
                <c:pt idx="448">
                  <c:v>0.79344262295081969</c:v>
                </c:pt>
                <c:pt idx="449">
                  <c:v>0.79781420765027333</c:v>
                </c:pt>
                <c:pt idx="450">
                  <c:v>0.79836065573770509</c:v>
                </c:pt>
                <c:pt idx="451">
                  <c:v>0.8</c:v>
                </c:pt>
                <c:pt idx="452">
                  <c:v>0.80218579234972676</c:v>
                </c:pt>
                <c:pt idx="453">
                  <c:v>0.80382513661202193</c:v>
                </c:pt>
                <c:pt idx="454">
                  <c:v>0.80437158469945369</c:v>
                </c:pt>
                <c:pt idx="455">
                  <c:v>0.80491803278688534</c:v>
                </c:pt>
                <c:pt idx="456">
                  <c:v>0.80710382513661205</c:v>
                </c:pt>
                <c:pt idx="457">
                  <c:v>0.80765027322404381</c:v>
                </c:pt>
                <c:pt idx="458">
                  <c:v>0.80819672131147557</c:v>
                </c:pt>
                <c:pt idx="459">
                  <c:v>0.81092896174863394</c:v>
                </c:pt>
                <c:pt idx="460">
                  <c:v>0.81092896174863394</c:v>
                </c:pt>
                <c:pt idx="461">
                  <c:v>0.8114754098360657</c:v>
                </c:pt>
                <c:pt idx="462">
                  <c:v>0.81420765027322417</c:v>
                </c:pt>
                <c:pt idx="463">
                  <c:v>0.81584699453551912</c:v>
                </c:pt>
                <c:pt idx="464">
                  <c:v>0.81639344262295088</c:v>
                </c:pt>
                <c:pt idx="465">
                  <c:v>0.81912568306010947</c:v>
                </c:pt>
                <c:pt idx="466">
                  <c:v>0.81967213114754101</c:v>
                </c:pt>
                <c:pt idx="467">
                  <c:v>0.82076502732240442</c:v>
                </c:pt>
                <c:pt idx="468">
                  <c:v>0.82185792349726794</c:v>
                </c:pt>
                <c:pt idx="469">
                  <c:v>0.82404371584699465</c:v>
                </c:pt>
                <c:pt idx="470">
                  <c:v>0.82568306010928982</c:v>
                </c:pt>
                <c:pt idx="471">
                  <c:v>0.83278688524590183</c:v>
                </c:pt>
                <c:pt idx="472">
                  <c:v>0.83497267759562854</c:v>
                </c:pt>
                <c:pt idx="473">
                  <c:v>0.84043715846994549</c:v>
                </c:pt>
                <c:pt idx="474">
                  <c:v>0.84262295081967231</c:v>
                </c:pt>
                <c:pt idx="475">
                  <c:v>0.84371584699453561</c:v>
                </c:pt>
                <c:pt idx="476">
                  <c:v>0.84644808743169409</c:v>
                </c:pt>
                <c:pt idx="477">
                  <c:v>0.85300546448087455</c:v>
                </c:pt>
                <c:pt idx="478">
                  <c:v>0.85792349726775974</c:v>
                </c:pt>
                <c:pt idx="479">
                  <c:v>0.86010928961748645</c:v>
                </c:pt>
                <c:pt idx="480">
                  <c:v>0.8606557377049181</c:v>
                </c:pt>
                <c:pt idx="481">
                  <c:v>0.8617486338797814</c:v>
                </c:pt>
                <c:pt idx="482">
                  <c:v>0.86448087431693998</c:v>
                </c:pt>
                <c:pt idx="483">
                  <c:v>0.86721311475409846</c:v>
                </c:pt>
                <c:pt idx="484">
                  <c:v>0.87704918032786883</c:v>
                </c:pt>
                <c:pt idx="485">
                  <c:v>0.88032786885245917</c:v>
                </c:pt>
                <c:pt idx="486">
                  <c:v>0.88196721311475423</c:v>
                </c:pt>
                <c:pt idx="487">
                  <c:v>0.88579234972677612</c:v>
                </c:pt>
                <c:pt idx="488">
                  <c:v>0.88797814207650283</c:v>
                </c:pt>
                <c:pt idx="489">
                  <c:v>0.90655737704918027</c:v>
                </c:pt>
                <c:pt idx="490">
                  <c:v>0.92185792349726781</c:v>
                </c:pt>
                <c:pt idx="491">
                  <c:v>0.93661202185792369</c:v>
                </c:pt>
                <c:pt idx="492">
                  <c:v>0.93661202185792369</c:v>
                </c:pt>
                <c:pt idx="493">
                  <c:v>0.94153005464480877</c:v>
                </c:pt>
                <c:pt idx="494">
                  <c:v>0.94918032786885242</c:v>
                </c:pt>
                <c:pt idx="495">
                  <c:v>0.94972677595628441</c:v>
                </c:pt>
                <c:pt idx="496">
                  <c:v>0.96448087431693996</c:v>
                </c:pt>
                <c:pt idx="497">
                  <c:v>0.97158469945355208</c:v>
                </c:pt>
                <c:pt idx="498">
                  <c:v>0.97486338797814198</c:v>
                </c:pt>
                <c:pt idx="49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81-4DFB-90D0-2227D3D18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955216"/>
        <c:axId val="523956856"/>
        <c:axId val="452554072"/>
      </c:line3DChart>
      <c:catAx>
        <c:axId val="52395521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6856"/>
        <c:crosses val="autoZero"/>
        <c:auto val="1"/>
        <c:lblAlgn val="ctr"/>
        <c:lblOffset val="100"/>
        <c:noMultiLvlLbl val="0"/>
      </c:catAx>
      <c:valAx>
        <c:axId val="523956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5216"/>
        <c:crosses val="autoZero"/>
        <c:crossBetween val="between"/>
      </c:valAx>
      <c:serAx>
        <c:axId val="4525540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6856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C"/>
              <a:t>Histograma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unif!$D$23:$D$45</c:f>
              <c:strCache>
                <c:ptCount val="23"/>
                <c:pt idx="0">
                  <c:v>14,31</c:v>
                </c:pt>
                <c:pt idx="1">
                  <c:v>15,14181818</c:v>
                </c:pt>
                <c:pt idx="2">
                  <c:v>15,97363636</c:v>
                </c:pt>
                <c:pt idx="3">
                  <c:v>16,80545455</c:v>
                </c:pt>
                <c:pt idx="4">
                  <c:v>17,63727273</c:v>
                </c:pt>
                <c:pt idx="5">
                  <c:v>18,46909091</c:v>
                </c:pt>
                <c:pt idx="6">
                  <c:v>19,30090909</c:v>
                </c:pt>
                <c:pt idx="7">
                  <c:v>20,13272727</c:v>
                </c:pt>
                <c:pt idx="8">
                  <c:v>20,96454545</c:v>
                </c:pt>
                <c:pt idx="9">
                  <c:v>21,79636364</c:v>
                </c:pt>
                <c:pt idx="10">
                  <c:v>22,62818182</c:v>
                </c:pt>
                <c:pt idx="11">
                  <c:v>23,46</c:v>
                </c:pt>
                <c:pt idx="12">
                  <c:v>24,29181818</c:v>
                </c:pt>
                <c:pt idx="13">
                  <c:v>25,12363636</c:v>
                </c:pt>
                <c:pt idx="14">
                  <c:v>25,95545455</c:v>
                </c:pt>
                <c:pt idx="15">
                  <c:v>26,78727273</c:v>
                </c:pt>
                <c:pt idx="16">
                  <c:v>27,61909091</c:v>
                </c:pt>
                <c:pt idx="17">
                  <c:v>28,45090909</c:v>
                </c:pt>
                <c:pt idx="18">
                  <c:v>29,28272727</c:v>
                </c:pt>
                <c:pt idx="19">
                  <c:v>30,11454545</c:v>
                </c:pt>
                <c:pt idx="20">
                  <c:v>30,94636364</c:v>
                </c:pt>
                <c:pt idx="21">
                  <c:v>31,77818182</c:v>
                </c:pt>
                <c:pt idx="22">
                  <c:v>y mayor...</c:v>
                </c:pt>
              </c:strCache>
            </c:strRef>
          </c:cat>
          <c:val>
            <c:numRef>
              <c:f>unif!$E$23:$E$45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4</c:v>
                </c:pt>
                <c:pt idx="7">
                  <c:v>9</c:v>
                </c:pt>
                <c:pt idx="8">
                  <c:v>21</c:v>
                </c:pt>
                <c:pt idx="9">
                  <c:v>33</c:v>
                </c:pt>
                <c:pt idx="10">
                  <c:v>38</c:v>
                </c:pt>
                <c:pt idx="11">
                  <c:v>53</c:v>
                </c:pt>
                <c:pt idx="12">
                  <c:v>42</c:v>
                </c:pt>
                <c:pt idx="13">
                  <c:v>53</c:v>
                </c:pt>
                <c:pt idx="14">
                  <c:v>53</c:v>
                </c:pt>
                <c:pt idx="15">
                  <c:v>35</c:v>
                </c:pt>
                <c:pt idx="16">
                  <c:v>44</c:v>
                </c:pt>
                <c:pt idx="17">
                  <c:v>39</c:v>
                </c:pt>
                <c:pt idx="18">
                  <c:v>30</c:v>
                </c:pt>
                <c:pt idx="19">
                  <c:v>17</c:v>
                </c:pt>
                <c:pt idx="20">
                  <c:v>8</c:v>
                </c:pt>
                <c:pt idx="21">
                  <c:v>6</c:v>
                </c:pt>
                <c:pt idx="2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12-4DD4-9B96-5A443C2D8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4027608"/>
        <c:axId val="574029248"/>
      </c:barChart>
      <c:catAx>
        <c:axId val="574027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4029248"/>
        <c:crosses val="autoZero"/>
        <c:auto val="1"/>
        <c:lblAlgn val="ctr"/>
        <c:lblOffset val="100"/>
        <c:noMultiLvlLbl val="0"/>
      </c:catAx>
      <c:valAx>
        <c:axId val="5740292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4027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 b="1"/>
              <a:t>Mal ajuste entre poa y pea</a:t>
            </a:r>
          </a:p>
        </c:rich>
      </c:tx>
      <c:layout>
        <c:manualLayout>
          <c:xMode val="edge"/>
          <c:yMode val="edge"/>
          <c:x val="0.25797530864197532"/>
          <c:y val="5.26315789473684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val>
            <c:numRef>
              <c:f>unif!$M$5:$M$504</c:f>
              <c:numCache>
                <c:formatCode>General</c:formatCode>
                <c:ptCount val="500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1.8000000000000002E-2</c:v>
                </c:pt>
                <c:pt idx="9">
                  <c:v>2.0000000000000004E-2</c:v>
                </c:pt>
                <c:pt idx="10">
                  <c:v>2.2000000000000006E-2</c:v>
                </c:pt>
                <c:pt idx="11">
                  <c:v>2.4000000000000007E-2</c:v>
                </c:pt>
                <c:pt idx="12">
                  <c:v>2.6000000000000009E-2</c:v>
                </c:pt>
                <c:pt idx="13">
                  <c:v>2.8000000000000011E-2</c:v>
                </c:pt>
                <c:pt idx="14">
                  <c:v>3.0000000000000013E-2</c:v>
                </c:pt>
                <c:pt idx="15">
                  <c:v>3.2000000000000015E-2</c:v>
                </c:pt>
                <c:pt idx="16">
                  <c:v>3.4000000000000016E-2</c:v>
                </c:pt>
                <c:pt idx="17">
                  <c:v>3.6000000000000018E-2</c:v>
                </c:pt>
                <c:pt idx="18">
                  <c:v>3.800000000000002E-2</c:v>
                </c:pt>
                <c:pt idx="19">
                  <c:v>4.0000000000000022E-2</c:v>
                </c:pt>
                <c:pt idx="20">
                  <c:v>4.2000000000000023E-2</c:v>
                </c:pt>
                <c:pt idx="21">
                  <c:v>4.4000000000000025E-2</c:v>
                </c:pt>
                <c:pt idx="22">
                  <c:v>4.6000000000000027E-2</c:v>
                </c:pt>
                <c:pt idx="23">
                  <c:v>4.8000000000000029E-2</c:v>
                </c:pt>
                <c:pt idx="24">
                  <c:v>5.0000000000000031E-2</c:v>
                </c:pt>
                <c:pt idx="25">
                  <c:v>5.2000000000000032E-2</c:v>
                </c:pt>
                <c:pt idx="26">
                  <c:v>5.4000000000000034E-2</c:v>
                </c:pt>
                <c:pt idx="27">
                  <c:v>5.6000000000000036E-2</c:v>
                </c:pt>
                <c:pt idx="28">
                  <c:v>5.8000000000000038E-2</c:v>
                </c:pt>
                <c:pt idx="29">
                  <c:v>6.0000000000000039E-2</c:v>
                </c:pt>
                <c:pt idx="30">
                  <c:v>6.2000000000000041E-2</c:v>
                </c:pt>
                <c:pt idx="31">
                  <c:v>6.4000000000000043E-2</c:v>
                </c:pt>
                <c:pt idx="32">
                  <c:v>6.6000000000000045E-2</c:v>
                </c:pt>
                <c:pt idx="33">
                  <c:v>6.8000000000000047E-2</c:v>
                </c:pt>
                <c:pt idx="34">
                  <c:v>7.0000000000000048E-2</c:v>
                </c:pt>
                <c:pt idx="35">
                  <c:v>7.200000000000005E-2</c:v>
                </c:pt>
                <c:pt idx="36">
                  <c:v>7.4000000000000052E-2</c:v>
                </c:pt>
                <c:pt idx="37">
                  <c:v>7.6000000000000054E-2</c:v>
                </c:pt>
                <c:pt idx="38">
                  <c:v>7.8000000000000055E-2</c:v>
                </c:pt>
                <c:pt idx="39">
                  <c:v>8.0000000000000057E-2</c:v>
                </c:pt>
                <c:pt idx="40">
                  <c:v>8.2000000000000059E-2</c:v>
                </c:pt>
                <c:pt idx="41">
                  <c:v>8.4000000000000061E-2</c:v>
                </c:pt>
                <c:pt idx="42">
                  <c:v>8.6000000000000063E-2</c:v>
                </c:pt>
                <c:pt idx="43">
                  <c:v>8.8000000000000064E-2</c:v>
                </c:pt>
                <c:pt idx="44">
                  <c:v>9.0000000000000066E-2</c:v>
                </c:pt>
                <c:pt idx="45">
                  <c:v>9.2000000000000068E-2</c:v>
                </c:pt>
                <c:pt idx="46">
                  <c:v>9.400000000000007E-2</c:v>
                </c:pt>
                <c:pt idx="47">
                  <c:v>9.6000000000000071E-2</c:v>
                </c:pt>
                <c:pt idx="48">
                  <c:v>9.8000000000000073E-2</c:v>
                </c:pt>
                <c:pt idx="49">
                  <c:v>0.10000000000000007</c:v>
                </c:pt>
                <c:pt idx="50">
                  <c:v>0.10200000000000008</c:v>
                </c:pt>
                <c:pt idx="51">
                  <c:v>0.10400000000000008</c:v>
                </c:pt>
                <c:pt idx="52">
                  <c:v>0.10600000000000008</c:v>
                </c:pt>
                <c:pt idx="53">
                  <c:v>0.10800000000000008</c:v>
                </c:pt>
                <c:pt idx="54">
                  <c:v>0.11000000000000008</c:v>
                </c:pt>
                <c:pt idx="55">
                  <c:v>0.11200000000000009</c:v>
                </c:pt>
                <c:pt idx="56">
                  <c:v>0.11400000000000009</c:v>
                </c:pt>
                <c:pt idx="57">
                  <c:v>0.11600000000000009</c:v>
                </c:pt>
                <c:pt idx="58">
                  <c:v>0.11800000000000009</c:v>
                </c:pt>
                <c:pt idx="59">
                  <c:v>0.12000000000000009</c:v>
                </c:pt>
                <c:pt idx="60">
                  <c:v>0.12200000000000009</c:v>
                </c:pt>
                <c:pt idx="61">
                  <c:v>0.1240000000000001</c:v>
                </c:pt>
                <c:pt idx="62">
                  <c:v>0.12600000000000008</c:v>
                </c:pt>
                <c:pt idx="63">
                  <c:v>0.12800000000000009</c:v>
                </c:pt>
                <c:pt idx="64">
                  <c:v>0.13000000000000009</c:v>
                </c:pt>
                <c:pt idx="65">
                  <c:v>0.13200000000000009</c:v>
                </c:pt>
                <c:pt idx="66">
                  <c:v>0.13400000000000009</c:v>
                </c:pt>
                <c:pt idx="67">
                  <c:v>0.13600000000000009</c:v>
                </c:pt>
                <c:pt idx="68">
                  <c:v>0.13800000000000009</c:v>
                </c:pt>
                <c:pt idx="69">
                  <c:v>0.1400000000000001</c:v>
                </c:pt>
                <c:pt idx="70">
                  <c:v>0.1420000000000001</c:v>
                </c:pt>
                <c:pt idx="71">
                  <c:v>0.1440000000000001</c:v>
                </c:pt>
                <c:pt idx="72">
                  <c:v>0.1460000000000001</c:v>
                </c:pt>
                <c:pt idx="73">
                  <c:v>0.1480000000000001</c:v>
                </c:pt>
                <c:pt idx="74">
                  <c:v>0.15000000000000011</c:v>
                </c:pt>
                <c:pt idx="75">
                  <c:v>0.15200000000000011</c:v>
                </c:pt>
                <c:pt idx="76">
                  <c:v>0.15400000000000011</c:v>
                </c:pt>
                <c:pt idx="77">
                  <c:v>0.15600000000000011</c:v>
                </c:pt>
                <c:pt idx="78">
                  <c:v>0.15800000000000011</c:v>
                </c:pt>
                <c:pt idx="79">
                  <c:v>0.16000000000000011</c:v>
                </c:pt>
                <c:pt idx="80">
                  <c:v>0.16200000000000012</c:v>
                </c:pt>
                <c:pt idx="81">
                  <c:v>0.16400000000000012</c:v>
                </c:pt>
                <c:pt idx="82">
                  <c:v>0.16600000000000012</c:v>
                </c:pt>
                <c:pt idx="83">
                  <c:v>0.16800000000000012</c:v>
                </c:pt>
                <c:pt idx="84">
                  <c:v>0.17000000000000012</c:v>
                </c:pt>
                <c:pt idx="85">
                  <c:v>0.17200000000000013</c:v>
                </c:pt>
                <c:pt idx="86">
                  <c:v>0.17400000000000013</c:v>
                </c:pt>
                <c:pt idx="87">
                  <c:v>0.17600000000000013</c:v>
                </c:pt>
                <c:pt idx="88">
                  <c:v>0.17800000000000013</c:v>
                </c:pt>
                <c:pt idx="89">
                  <c:v>0.18000000000000013</c:v>
                </c:pt>
                <c:pt idx="90">
                  <c:v>0.18200000000000013</c:v>
                </c:pt>
                <c:pt idx="91">
                  <c:v>0.18400000000000014</c:v>
                </c:pt>
                <c:pt idx="92">
                  <c:v>0.18600000000000014</c:v>
                </c:pt>
                <c:pt idx="93">
                  <c:v>0.18800000000000014</c:v>
                </c:pt>
                <c:pt idx="94">
                  <c:v>0.19000000000000014</c:v>
                </c:pt>
                <c:pt idx="95">
                  <c:v>0.19200000000000014</c:v>
                </c:pt>
                <c:pt idx="96">
                  <c:v>0.19400000000000014</c:v>
                </c:pt>
                <c:pt idx="97">
                  <c:v>0.19600000000000015</c:v>
                </c:pt>
                <c:pt idx="98">
                  <c:v>0.19800000000000015</c:v>
                </c:pt>
                <c:pt idx="99">
                  <c:v>0.20000000000000015</c:v>
                </c:pt>
                <c:pt idx="100">
                  <c:v>0.20200000000000015</c:v>
                </c:pt>
                <c:pt idx="101">
                  <c:v>0.20400000000000015</c:v>
                </c:pt>
                <c:pt idx="102">
                  <c:v>0.20600000000000016</c:v>
                </c:pt>
                <c:pt idx="103">
                  <c:v>0.20800000000000016</c:v>
                </c:pt>
                <c:pt idx="104">
                  <c:v>0.21000000000000016</c:v>
                </c:pt>
                <c:pt idx="105">
                  <c:v>0.21200000000000016</c:v>
                </c:pt>
                <c:pt idx="106">
                  <c:v>0.21400000000000016</c:v>
                </c:pt>
                <c:pt idx="107">
                  <c:v>0.21600000000000016</c:v>
                </c:pt>
                <c:pt idx="108">
                  <c:v>0.21800000000000017</c:v>
                </c:pt>
                <c:pt idx="109">
                  <c:v>0.22000000000000017</c:v>
                </c:pt>
                <c:pt idx="110">
                  <c:v>0.22200000000000017</c:v>
                </c:pt>
                <c:pt idx="111">
                  <c:v>0.22400000000000017</c:v>
                </c:pt>
                <c:pt idx="112">
                  <c:v>0.22600000000000017</c:v>
                </c:pt>
                <c:pt idx="113">
                  <c:v>0.22800000000000017</c:v>
                </c:pt>
                <c:pt idx="114">
                  <c:v>0.23000000000000018</c:v>
                </c:pt>
                <c:pt idx="115">
                  <c:v>0.23200000000000018</c:v>
                </c:pt>
                <c:pt idx="116">
                  <c:v>0.23400000000000018</c:v>
                </c:pt>
                <c:pt idx="117">
                  <c:v>0.23600000000000018</c:v>
                </c:pt>
                <c:pt idx="118">
                  <c:v>0.23800000000000018</c:v>
                </c:pt>
                <c:pt idx="119">
                  <c:v>0.24000000000000019</c:v>
                </c:pt>
                <c:pt idx="120">
                  <c:v>0.24200000000000019</c:v>
                </c:pt>
                <c:pt idx="121">
                  <c:v>0.24400000000000019</c:v>
                </c:pt>
                <c:pt idx="122">
                  <c:v>0.24600000000000019</c:v>
                </c:pt>
                <c:pt idx="123">
                  <c:v>0.24800000000000019</c:v>
                </c:pt>
                <c:pt idx="124">
                  <c:v>0.25000000000000017</c:v>
                </c:pt>
                <c:pt idx="125">
                  <c:v>0.25200000000000017</c:v>
                </c:pt>
                <c:pt idx="126">
                  <c:v>0.25400000000000017</c:v>
                </c:pt>
                <c:pt idx="127">
                  <c:v>0.25600000000000017</c:v>
                </c:pt>
                <c:pt idx="128">
                  <c:v>0.25800000000000017</c:v>
                </c:pt>
                <c:pt idx="129">
                  <c:v>0.26000000000000018</c:v>
                </c:pt>
                <c:pt idx="130">
                  <c:v>0.26200000000000018</c:v>
                </c:pt>
                <c:pt idx="131">
                  <c:v>0.26400000000000018</c:v>
                </c:pt>
                <c:pt idx="132">
                  <c:v>0.26600000000000018</c:v>
                </c:pt>
                <c:pt idx="133">
                  <c:v>0.26800000000000018</c:v>
                </c:pt>
                <c:pt idx="134">
                  <c:v>0.27000000000000018</c:v>
                </c:pt>
                <c:pt idx="135">
                  <c:v>0.27200000000000019</c:v>
                </c:pt>
                <c:pt idx="136">
                  <c:v>0.27400000000000019</c:v>
                </c:pt>
                <c:pt idx="137">
                  <c:v>0.27600000000000019</c:v>
                </c:pt>
                <c:pt idx="138">
                  <c:v>0.27800000000000019</c:v>
                </c:pt>
                <c:pt idx="139">
                  <c:v>0.28000000000000019</c:v>
                </c:pt>
                <c:pt idx="140">
                  <c:v>0.28200000000000019</c:v>
                </c:pt>
                <c:pt idx="141">
                  <c:v>0.2840000000000002</c:v>
                </c:pt>
                <c:pt idx="142">
                  <c:v>0.2860000000000002</c:v>
                </c:pt>
                <c:pt idx="143">
                  <c:v>0.2880000000000002</c:v>
                </c:pt>
                <c:pt idx="144">
                  <c:v>0.2900000000000002</c:v>
                </c:pt>
                <c:pt idx="145">
                  <c:v>0.2920000000000002</c:v>
                </c:pt>
                <c:pt idx="146">
                  <c:v>0.29400000000000021</c:v>
                </c:pt>
                <c:pt idx="147">
                  <c:v>0.29600000000000021</c:v>
                </c:pt>
                <c:pt idx="148">
                  <c:v>0.29800000000000021</c:v>
                </c:pt>
                <c:pt idx="149">
                  <c:v>0.30000000000000021</c:v>
                </c:pt>
                <c:pt idx="150">
                  <c:v>0.30200000000000021</c:v>
                </c:pt>
                <c:pt idx="151">
                  <c:v>0.30400000000000021</c:v>
                </c:pt>
                <c:pt idx="152">
                  <c:v>0.30600000000000022</c:v>
                </c:pt>
                <c:pt idx="153">
                  <c:v>0.30800000000000022</c:v>
                </c:pt>
                <c:pt idx="154">
                  <c:v>0.31000000000000022</c:v>
                </c:pt>
                <c:pt idx="155">
                  <c:v>0.31200000000000022</c:v>
                </c:pt>
                <c:pt idx="156">
                  <c:v>0.31400000000000022</c:v>
                </c:pt>
                <c:pt idx="157">
                  <c:v>0.31600000000000023</c:v>
                </c:pt>
                <c:pt idx="158">
                  <c:v>0.31800000000000023</c:v>
                </c:pt>
                <c:pt idx="159">
                  <c:v>0.32000000000000023</c:v>
                </c:pt>
                <c:pt idx="160">
                  <c:v>0.32200000000000023</c:v>
                </c:pt>
                <c:pt idx="161">
                  <c:v>0.32400000000000023</c:v>
                </c:pt>
                <c:pt idx="162">
                  <c:v>0.32600000000000023</c:v>
                </c:pt>
                <c:pt idx="163">
                  <c:v>0.32800000000000024</c:v>
                </c:pt>
                <c:pt idx="164">
                  <c:v>0.33000000000000024</c:v>
                </c:pt>
                <c:pt idx="165">
                  <c:v>0.33200000000000024</c:v>
                </c:pt>
                <c:pt idx="166">
                  <c:v>0.33400000000000024</c:v>
                </c:pt>
                <c:pt idx="167">
                  <c:v>0.33600000000000024</c:v>
                </c:pt>
                <c:pt idx="168">
                  <c:v>0.33800000000000024</c:v>
                </c:pt>
                <c:pt idx="169">
                  <c:v>0.34000000000000025</c:v>
                </c:pt>
                <c:pt idx="170">
                  <c:v>0.34200000000000025</c:v>
                </c:pt>
                <c:pt idx="171">
                  <c:v>0.34400000000000025</c:v>
                </c:pt>
                <c:pt idx="172">
                  <c:v>0.34600000000000025</c:v>
                </c:pt>
                <c:pt idx="173">
                  <c:v>0.34800000000000025</c:v>
                </c:pt>
                <c:pt idx="174">
                  <c:v>0.35000000000000026</c:v>
                </c:pt>
                <c:pt idx="175">
                  <c:v>0.35200000000000026</c:v>
                </c:pt>
                <c:pt idx="176">
                  <c:v>0.35400000000000026</c:v>
                </c:pt>
                <c:pt idx="177">
                  <c:v>0.35600000000000026</c:v>
                </c:pt>
                <c:pt idx="178">
                  <c:v>0.35800000000000026</c:v>
                </c:pt>
                <c:pt idx="179">
                  <c:v>0.36000000000000026</c:v>
                </c:pt>
                <c:pt idx="180">
                  <c:v>0.36200000000000027</c:v>
                </c:pt>
                <c:pt idx="181">
                  <c:v>0.36400000000000027</c:v>
                </c:pt>
                <c:pt idx="182">
                  <c:v>0.36600000000000027</c:v>
                </c:pt>
                <c:pt idx="183">
                  <c:v>0.36800000000000027</c:v>
                </c:pt>
                <c:pt idx="184">
                  <c:v>0.37000000000000027</c:v>
                </c:pt>
                <c:pt idx="185">
                  <c:v>0.37200000000000027</c:v>
                </c:pt>
                <c:pt idx="186">
                  <c:v>0.37400000000000028</c:v>
                </c:pt>
                <c:pt idx="187">
                  <c:v>0.37600000000000028</c:v>
                </c:pt>
                <c:pt idx="188">
                  <c:v>0.37800000000000028</c:v>
                </c:pt>
                <c:pt idx="189">
                  <c:v>0.38000000000000028</c:v>
                </c:pt>
                <c:pt idx="190">
                  <c:v>0.38200000000000028</c:v>
                </c:pt>
                <c:pt idx="191">
                  <c:v>0.38400000000000029</c:v>
                </c:pt>
                <c:pt idx="192">
                  <c:v>0.38600000000000029</c:v>
                </c:pt>
                <c:pt idx="193">
                  <c:v>0.38800000000000029</c:v>
                </c:pt>
                <c:pt idx="194">
                  <c:v>0.39000000000000029</c:v>
                </c:pt>
                <c:pt idx="195">
                  <c:v>0.39200000000000029</c:v>
                </c:pt>
                <c:pt idx="196">
                  <c:v>0.39400000000000029</c:v>
                </c:pt>
                <c:pt idx="197">
                  <c:v>0.3960000000000003</c:v>
                </c:pt>
                <c:pt idx="198">
                  <c:v>0.3980000000000003</c:v>
                </c:pt>
                <c:pt idx="199">
                  <c:v>0.4000000000000003</c:v>
                </c:pt>
                <c:pt idx="200">
                  <c:v>0.4020000000000003</c:v>
                </c:pt>
                <c:pt idx="201">
                  <c:v>0.4040000000000003</c:v>
                </c:pt>
                <c:pt idx="202">
                  <c:v>0.40600000000000031</c:v>
                </c:pt>
                <c:pt idx="203">
                  <c:v>0.40800000000000031</c:v>
                </c:pt>
                <c:pt idx="204">
                  <c:v>0.41000000000000031</c:v>
                </c:pt>
                <c:pt idx="205">
                  <c:v>0.41200000000000031</c:v>
                </c:pt>
                <c:pt idx="206">
                  <c:v>0.41400000000000031</c:v>
                </c:pt>
                <c:pt idx="207">
                  <c:v>0.41600000000000031</c:v>
                </c:pt>
                <c:pt idx="208">
                  <c:v>0.41800000000000032</c:v>
                </c:pt>
                <c:pt idx="209">
                  <c:v>0.42000000000000032</c:v>
                </c:pt>
                <c:pt idx="210">
                  <c:v>0.42200000000000032</c:v>
                </c:pt>
                <c:pt idx="211">
                  <c:v>0.42400000000000032</c:v>
                </c:pt>
                <c:pt idx="212">
                  <c:v>0.42600000000000032</c:v>
                </c:pt>
                <c:pt idx="213">
                  <c:v>0.42800000000000032</c:v>
                </c:pt>
                <c:pt idx="214">
                  <c:v>0.43000000000000033</c:v>
                </c:pt>
                <c:pt idx="215">
                  <c:v>0.43200000000000033</c:v>
                </c:pt>
                <c:pt idx="216">
                  <c:v>0.43400000000000033</c:v>
                </c:pt>
                <c:pt idx="217">
                  <c:v>0.43600000000000033</c:v>
                </c:pt>
                <c:pt idx="218">
                  <c:v>0.43800000000000033</c:v>
                </c:pt>
                <c:pt idx="219">
                  <c:v>0.44000000000000034</c:v>
                </c:pt>
                <c:pt idx="220">
                  <c:v>0.44200000000000034</c:v>
                </c:pt>
                <c:pt idx="221">
                  <c:v>0.44400000000000034</c:v>
                </c:pt>
                <c:pt idx="222">
                  <c:v>0.44600000000000034</c:v>
                </c:pt>
                <c:pt idx="223">
                  <c:v>0.44800000000000034</c:v>
                </c:pt>
                <c:pt idx="224">
                  <c:v>0.45000000000000034</c:v>
                </c:pt>
                <c:pt idx="225">
                  <c:v>0.45200000000000035</c:v>
                </c:pt>
                <c:pt idx="226">
                  <c:v>0.45400000000000035</c:v>
                </c:pt>
                <c:pt idx="227">
                  <c:v>0.45600000000000035</c:v>
                </c:pt>
                <c:pt idx="228">
                  <c:v>0.45800000000000035</c:v>
                </c:pt>
                <c:pt idx="229">
                  <c:v>0.46000000000000035</c:v>
                </c:pt>
                <c:pt idx="230">
                  <c:v>0.46200000000000035</c:v>
                </c:pt>
                <c:pt idx="231">
                  <c:v>0.46400000000000036</c:v>
                </c:pt>
                <c:pt idx="232">
                  <c:v>0.46600000000000036</c:v>
                </c:pt>
                <c:pt idx="233">
                  <c:v>0.46800000000000036</c:v>
                </c:pt>
                <c:pt idx="234">
                  <c:v>0.47000000000000036</c:v>
                </c:pt>
                <c:pt idx="235">
                  <c:v>0.47200000000000036</c:v>
                </c:pt>
                <c:pt idx="236">
                  <c:v>0.47400000000000037</c:v>
                </c:pt>
                <c:pt idx="237">
                  <c:v>0.47600000000000037</c:v>
                </c:pt>
                <c:pt idx="238">
                  <c:v>0.47800000000000037</c:v>
                </c:pt>
                <c:pt idx="239">
                  <c:v>0.48000000000000037</c:v>
                </c:pt>
                <c:pt idx="240">
                  <c:v>0.48200000000000037</c:v>
                </c:pt>
                <c:pt idx="241">
                  <c:v>0.48400000000000037</c:v>
                </c:pt>
                <c:pt idx="242">
                  <c:v>0.48600000000000038</c:v>
                </c:pt>
                <c:pt idx="243">
                  <c:v>0.48800000000000038</c:v>
                </c:pt>
                <c:pt idx="244">
                  <c:v>0.49000000000000038</c:v>
                </c:pt>
                <c:pt idx="245">
                  <c:v>0.49200000000000038</c:v>
                </c:pt>
                <c:pt idx="246">
                  <c:v>0.49400000000000038</c:v>
                </c:pt>
                <c:pt idx="247">
                  <c:v>0.49600000000000039</c:v>
                </c:pt>
                <c:pt idx="248">
                  <c:v>0.49800000000000039</c:v>
                </c:pt>
                <c:pt idx="249">
                  <c:v>0.50000000000000033</c:v>
                </c:pt>
                <c:pt idx="250">
                  <c:v>0.50200000000000033</c:v>
                </c:pt>
                <c:pt idx="251">
                  <c:v>0.50400000000000034</c:v>
                </c:pt>
                <c:pt idx="252">
                  <c:v>0.50600000000000034</c:v>
                </c:pt>
                <c:pt idx="253">
                  <c:v>0.50800000000000034</c:v>
                </c:pt>
                <c:pt idx="254">
                  <c:v>0.51000000000000034</c:v>
                </c:pt>
                <c:pt idx="255">
                  <c:v>0.51200000000000034</c:v>
                </c:pt>
                <c:pt idx="256">
                  <c:v>0.51400000000000035</c:v>
                </c:pt>
                <c:pt idx="257">
                  <c:v>0.51600000000000035</c:v>
                </c:pt>
                <c:pt idx="258">
                  <c:v>0.51800000000000035</c:v>
                </c:pt>
                <c:pt idx="259">
                  <c:v>0.52000000000000035</c:v>
                </c:pt>
                <c:pt idx="260">
                  <c:v>0.52200000000000035</c:v>
                </c:pt>
                <c:pt idx="261">
                  <c:v>0.52400000000000035</c:v>
                </c:pt>
                <c:pt idx="262">
                  <c:v>0.52600000000000036</c:v>
                </c:pt>
                <c:pt idx="263">
                  <c:v>0.52800000000000036</c:v>
                </c:pt>
                <c:pt idx="264">
                  <c:v>0.53000000000000036</c:v>
                </c:pt>
                <c:pt idx="265">
                  <c:v>0.53200000000000036</c:v>
                </c:pt>
                <c:pt idx="266">
                  <c:v>0.53400000000000036</c:v>
                </c:pt>
                <c:pt idx="267">
                  <c:v>0.53600000000000037</c:v>
                </c:pt>
                <c:pt idx="268">
                  <c:v>0.53800000000000037</c:v>
                </c:pt>
                <c:pt idx="269">
                  <c:v>0.54000000000000037</c:v>
                </c:pt>
                <c:pt idx="270">
                  <c:v>0.54200000000000037</c:v>
                </c:pt>
                <c:pt idx="271">
                  <c:v>0.54400000000000037</c:v>
                </c:pt>
                <c:pt idx="272">
                  <c:v>0.54600000000000037</c:v>
                </c:pt>
                <c:pt idx="273">
                  <c:v>0.54800000000000038</c:v>
                </c:pt>
                <c:pt idx="274">
                  <c:v>0.55000000000000038</c:v>
                </c:pt>
                <c:pt idx="275">
                  <c:v>0.55200000000000038</c:v>
                </c:pt>
                <c:pt idx="276">
                  <c:v>0.55400000000000038</c:v>
                </c:pt>
                <c:pt idx="277">
                  <c:v>0.55600000000000038</c:v>
                </c:pt>
                <c:pt idx="278">
                  <c:v>0.55800000000000038</c:v>
                </c:pt>
                <c:pt idx="279">
                  <c:v>0.56000000000000039</c:v>
                </c:pt>
                <c:pt idx="280">
                  <c:v>0.56200000000000039</c:v>
                </c:pt>
                <c:pt idx="281">
                  <c:v>0.56400000000000039</c:v>
                </c:pt>
                <c:pt idx="282">
                  <c:v>0.56600000000000039</c:v>
                </c:pt>
                <c:pt idx="283">
                  <c:v>0.56800000000000039</c:v>
                </c:pt>
                <c:pt idx="284">
                  <c:v>0.5700000000000004</c:v>
                </c:pt>
                <c:pt idx="285">
                  <c:v>0.5720000000000004</c:v>
                </c:pt>
                <c:pt idx="286">
                  <c:v>0.5740000000000004</c:v>
                </c:pt>
                <c:pt idx="287">
                  <c:v>0.5760000000000004</c:v>
                </c:pt>
                <c:pt idx="288">
                  <c:v>0.5780000000000004</c:v>
                </c:pt>
                <c:pt idx="289">
                  <c:v>0.5800000000000004</c:v>
                </c:pt>
                <c:pt idx="290">
                  <c:v>0.58200000000000041</c:v>
                </c:pt>
                <c:pt idx="291">
                  <c:v>0.58400000000000041</c:v>
                </c:pt>
                <c:pt idx="292">
                  <c:v>0.58600000000000041</c:v>
                </c:pt>
                <c:pt idx="293">
                  <c:v>0.58800000000000041</c:v>
                </c:pt>
                <c:pt idx="294">
                  <c:v>0.59000000000000041</c:v>
                </c:pt>
                <c:pt idx="295">
                  <c:v>0.59200000000000041</c:v>
                </c:pt>
                <c:pt idx="296">
                  <c:v>0.59400000000000042</c:v>
                </c:pt>
                <c:pt idx="297">
                  <c:v>0.59600000000000042</c:v>
                </c:pt>
                <c:pt idx="298">
                  <c:v>0.59800000000000042</c:v>
                </c:pt>
                <c:pt idx="299">
                  <c:v>0.60000000000000042</c:v>
                </c:pt>
                <c:pt idx="300">
                  <c:v>0.60200000000000042</c:v>
                </c:pt>
                <c:pt idx="301">
                  <c:v>0.60400000000000043</c:v>
                </c:pt>
                <c:pt idx="302">
                  <c:v>0.60600000000000043</c:v>
                </c:pt>
                <c:pt idx="303">
                  <c:v>0.60800000000000043</c:v>
                </c:pt>
                <c:pt idx="304">
                  <c:v>0.61000000000000043</c:v>
                </c:pt>
                <c:pt idx="305">
                  <c:v>0.61200000000000043</c:v>
                </c:pt>
                <c:pt idx="306">
                  <c:v>0.61400000000000043</c:v>
                </c:pt>
                <c:pt idx="307">
                  <c:v>0.61600000000000044</c:v>
                </c:pt>
                <c:pt idx="308">
                  <c:v>0.61800000000000044</c:v>
                </c:pt>
                <c:pt idx="309">
                  <c:v>0.62000000000000044</c:v>
                </c:pt>
                <c:pt idx="310">
                  <c:v>0.62200000000000044</c:v>
                </c:pt>
                <c:pt idx="311">
                  <c:v>0.62400000000000044</c:v>
                </c:pt>
                <c:pt idx="312">
                  <c:v>0.62600000000000044</c:v>
                </c:pt>
                <c:pt idx="313">
                  <c:v>0.62800000000000045</c:v>
                </c:pt>
                <c:pt idx="314">
                  <c:v>0.63000000000000045</c:v>
                </c:pt>
                <c:pt idx="315">
                  <c:v>0.63200000000000045</c:v>
                </c:pt>
                <c:pt idx="316">
                  <c:v>0.63400000000000045</c:v>
                </c:pt>
                <c:pt idx="317">
                  <c:v>0.63600000000000045</c:v>
                </c:pt>
                <c:pt idx="318">
                  <c:v>0.63800000000000046</c:v>
                </c:pt>
                <c:pt idx="319">
                  <c:v>0.64000000000000046</c:v>
                </c:pt>
                <c:pt idx="320">
                  <c:v>0.64200000000000046</c:v>
                </c:pt>
                <c:pt idx="321">
                  <c:v>0.64400000000000046</c:v>
                </c:pt>
                <c:pt idx="322">
                  <c:v>0.64600000000000046</c:v>
                </c:pt>
                <c:pt idx="323">
                  <c:v>0.64800000000000046</c:v>
                </c:pt>
                <c:pt idx="324">
                  <c:v>0.65000000000000047</c:v>
                </c:pt>
                <c:pt idx="325">
                  <c:v>0.65200000000000047</c:v>
                </c:pt>
                <c:pt idx="326">
                  <c:v>0.65400000000000047</c:v>
                </c:pt>
                <c:pt idx="327">
                  <c:v>0.65600000000000047</c:v>
                </c:pt>
                <c:pt idx="328">
                  <c:v>0.65800000000000047</c:v>
                </c:pt>
                <c:pt idx="329">
                  <c:v>0.66000000000000048</c:v>
                </c:pt>
                <c:pt idx="330">
                  <c:v>0.66200000000000048</c:v>
                </c:pt>
                <c:pt idx="331">
                  <c:v>0.66400000000000048</c:v>
                </c:pt>
                <c:pt idx="332">
                  <c:v>0.66600000000000048</c:v>
                </c:pt>
                <c:pt idx="333">
                  <c:v>0.66800000000000048</c:v>
                </c:pt>
                <c:pt idx="334">
                  <c:v>0.67000000000000048</c:v>
                </c:pt>
                <c:pt idx="335">
                  <c:v>0.67200000000000049</c:v>
                </c:pt>
                <c:pt idx="336">
                  <c:v>0.67400000000000049</c:v>
                </c:pt>
                <c:pt idx="337">
                  <c:v>0.67600000000000049</c:v>
                </c:pt>
                <c:pt idx="338">
                  <c:v>0.67800000000000049</c:v>
                </c:pt>
                <c:pt idx="339">
                  <c:v>0.68000000000000049</c:v>
                </c:pt>
                <c:pt idx="340">
                  <c:v>0.68200000000000049</c:v>
                </c:pt>
                <c:pt idx="341">
                  <c:v>0.6840000000000005</c:v>
                </c:pt>
                <c:pt idx="342">
                  <c:v>0.6860000000000005</c:v>
                </c:pt>
                <c:pt idx="343">
                  <c:v>0.6880000000000005</c:v>
                </c:pt>
                <c:pt idx="344">
                  <c:v>0.6900000000000005</c:v>
                </c:pt>
                <c:pt idx="345">
                  <c:v>0.6920000000000005</c:v>
                </c:pt>
                <c:pt idx="346">
                  <c:v>0.69400000000000051</c:v>
                </c:pt>
                <c:pt idx="347">
                  <c:v>0.69600000000000051</c:v>
                </c:pt>
                <c:pt idx="348">
                  <c:v>0.69800000000000051</c:v>
                </c:pt>
                <c:pt idx="349">
                  <c:v>0.70000000000000051</c:v>
                </c:pt>
                <c:pt idx="350">
                  <c:v>0.70200000000000051</c:v>
                </c:pt>
                <c:pt idx="351">
                  <c:v>0.70400000000000051</c:v>
                </c:pt>
                <c:pt idx="352">
                  <c:v>0.70600000000000052</c:v>
                </c:pt>
                <c:pt idx="353">
                  <c:v>0.70800000000000052</c:v>
                </c:pt>
                <c:pt idx="354">
                  <c:v>0.71000000000000052</c:v>
                </c:pt>
                <c:pt idx="355">
                  <c:v>0.71200000000000052</c:v>
                </c:pt>
                <c:pt idx="356">
                  <c:v>0.71400000000000052</c:v>
                </c:pt>
                <c:pt idx="357">
                  <c:v>0.71600000000000052</c:v>
                </c:pt>
                <c:pt idx="358">
                  <c:v>0.71800000000000053</c:v>
                </c:pt>
                <c:pt idx="359">
                  <c:v>0.72000000000000053</c:v>
                </c:pt>
                <c:pt idx="360">
                  <c:v>0.72200000000000053</c:v>
                </c:pt>
                <c:pt idx="361">
                  <c:v>0.72400000000000053</c:v>
                </c:pt>
                <c:pt idx="362">
                  <c:v>0.72600000000000053</c:v>
                </c:pt>
                <c:pt idx="363">
                  <c:v>0.72800000000000054</c:v>
                </c:pt>
                <c:pt idx="364">
                  <c:v>0.73000000000000054</c:v>
                </c:pt>
                <c:pt idx="365">
                  <c:v>0.73200000000000054</c:v>
                </c:pt>
                <c:pt idx="366">
                  <c:v>0.73400000000000054</c:v>
                </c:pt>
                <c:pt idx="367">
                  <c:v>0.73600000000000054</c:v>
                </c:pt>
                <c:pt idx="368">
                  <c:v>0.73800000000000054</c:v>
                </c:pt>
                <c:pt idx="369">
                  <c:v>0.74000000000000055</c:v>
                </c:pt>
                <c:pt idx="370">
                  <c:v>0.74200000000000055</c:v>
                </c:pt>
                <c:pt idx="371">
                  <c:v>0.74400000000000055</c:v>
                </c:pt>
                <c:pt idx="372">
                  <c:v>0.74600000000000055</c:v>
                </c:pt>
                <c:pt idx="373">
                  <c:v>0.74800000000000055</c:v>
                </c:pt>
                <c:pt idx="374">
                  <c:v>0.75000000000000056</c:v>
                </c:pt>
                <c:pt idx="375">
                  <c:v>0.75200000000000056</c:v>
                </c:pt>
                <c:pt idx="376">
                  <c:v>0.75400000000000056</c:v>
                </c:pt>
                <c:pt idx="377">
                  <c:v>0.75600000000000056</c:v>
                </c:pt>
                <c:pt idx="378">
                  <c:v>0.75800000000000056</c:v>
                </c:pt>
                <c:pt idx="379">
                  <c:v>0.76000000000000056</c:v>
                </c:pt>
                <c:pt idx="380">
                  <c:v>0.76200000000000057</c:v>
                </c:pt>
                <c:pt idx="381">
                  <c:v>0.76400000000000057</c:v>
                </c:pt>
                <c:pt idx="382">
                  <c:v>0.76600000000000057</c:v>
                </c:pt>
                <c:pt idx="383">
                  <c:v>0.76800000000000057</c:v>
                </c:pt>
                <c:pt idx="384">
                  <c:v>0.77000000000000057</c:v>
                </c:pt>
                <c:pt idx="385">
                  <c:v>0.77200000000000057</c:v>
                </c:pt>
                <c:pt idx="386">
                  <c:v>0.77400000000000058</c:v>
                </c:pt>
                <c:pt idx="387">
                  <c:v>0.77600000000000058</c:v>
                </c:pt>
                <c:pt idx="388">
                  <c:v>0.77800000000000058</c:v>
                </c:pt>
                <c:pt idx="389">
                  <c:v>0.78000000000000058</c:v>
                </c:pt>
                <c:pt idx="390">
                  <c:v>0.78200000000000058</c:v>
                </c:pt>
                <c:pt idx="391">
                  <c:v>0.78400000000000059</c:v>
                </c:pt>
                <c:pt idx="392">
                  <c:v>0.78600000000000059</c:v>
                </c:pt>
                <c:pt idx="393">
                  <c:v>0.78800000000000059</c:v>
                </c:pt>
                <c:pt idx="394">
                  <c:v>0.79000000000000059</c:v>
                </c:pt>
                <c:pt idx="395">
                  <c:v>0.79200000000000059</c:v>
                </c:pt>
                <c:pt idx="396">
                  <c:v>0.79400000000000059</c:v>
                </c:pt>
                <c:pt idx="397">
                  <c:v>0.7960000000000006</c:v>
                </c:pt>
                <c:pt idx="398">
                  <c:v>0.7980000000000006</c:v>
                </c:pt>
                <c:pt idx="399">
                  <c:v>0.8000000000000006</c:v>
                </c:pt>
                <c:pt idx="400">
                  <c:v>0.8020000000000006</c:v>
                </c:pt>
                <c:pt idx="401">
                  <c:v>0.8040000000000006</c:v>
                </c:pt>
                <c:pt idx="402">
                  <c:v>0.8060000000000006</c:v>
                </c:pt>
                <c:pt idx="403">
                  <c:v>0.80800000000000061</c:v>
                </c:pt>
                <c:pt idx="404">
                  <c:v>0.81000000000000061</c:v>
                </c:pt>
                <c:pt idx="405">
                  <c:v>0.81200000000000061</c:v>
                </c:pt>
                <c:pt idx="406">
                  <c:v>0.81400000000000061</c:v>
                </c:pt>
                <c:pt idx="407">
                  <c:v>0.81600000000000061</c:v>
                </c:pt>
                <c:pt idx="408">
                  <c:v>0.81800000000000062</c:v>
                </c:pt>
                <c:pt idx="409">
                  <c:v>0.82000000000000062</c:v>
                </c:pt>
                <c:pt idx="410">
                  <c:v>0.82200000000000062</c:v>
                </c:pt>
                <c:pt idx="411">
                  <c:v>0.82400000000000062</c:v>
                </c:pt>
                <c:pt idx="412">
                  <c:v>0.82600000000000062</c:v>
                </c:pt>
                <c:pt idx="413">
                  <c:v>0.82800000000000062</c:v>
                </c:pt>
                <c:pt idx="414">
                  <c:v>0.83000000000000063</c:v>
                </c:pt>
                <c:pt idx="415">
                  <c:v>0.83200000000000063</c:v>
                </c:pt>
                <c:pt idx="416">
                  <c:v>0.83400000000000063</c:v>
                </c:pt>
                <c:pt idx="417">
                  <c:v>0.83600000000000063</c:v>
                </c:pt>
                <c:pt idx="418">
                  <c:v>0.83800000000000063</c:v>
                </c:pt>
                <c:pt idx="419">
                  <c:v>0.84000000000000064</c:v>
                </c:pt>
                <c:pt idx="420">
                  <c:v>0.84200000000000064</c:v>
                </c:pt>
                <c:pt idx="421">
                  <c:v>0.84400000000000064</c:v>
                </c:pt>
                <c:pt idx="422">
                  <c:v>0.84600000000000064</c:v>
                </c:pt>
                <c:pt idx="423">
                  <c:v>0.84800000000000064</c:v>
                </c:pt>
                <c:pt idx="424">
                  <c:v>0.85000000000000064</c:v>
                </c:pt>
                <c:pt idx="425">
                  <c:v>0.85200000000000065</c:v>
                </c:pt>
                <c:pt idx="426">
                  <c:v>0.85400000000000065</c:v>
                </c:pt>
                <c:pt idx="427">
                  <c:v>0.85600000000000065</c:v>
                </c:pt>
                <c:pt idx="428">
                  <c:v>0.85800000000000065</c:v>
                </c:pt>
                <c:pt idx="429">
                  <c:v>0.86000000000000065</c:v>
                </c:pt>
                <c:pt idx="430">
                  <c:v>0.86200000000000065</c:v>
                </c:pt>
                <c:pt idx="431">
                  <c:v>0.86400000000000066</c:v>
                </c:pt>
                <c:pt idx="432">
                  <c:v>0.86600000000000066</c:v>
                </c:pt>
                <c:pt idx="433">
                  <c:v>0.86800000000000066</c:v>
                </c:pt>
                <c:pt idx="434">
                  <c:v>0.87000000000000066</c:v>
                </c:pt>
                <c:pt idx="435">
                  <c:v>0.87200000000000066</c:v>
                </c:pt>
                <c:pt idx="436">
                  <c:v>0.87400000000000067</c:v>
                </c:pt>
                <c:pt idx="437">
                  <c:v>0.87600000000000067</c:v>
                </c:pt>
                <c:pt idx="438">
                  <c:v>0.87800000000000067</c:v>
                </c:pt>
                <c:pt idx="439">
                  <c:v>0.88000000000000067</c:v>
                </c:pt>
                <c:pt idx="440">
                  <c:v>0.88200000000000067</c:v>
                </c:pt>
                <c:pt idx="441">
                  <c:v>0.88400000000000067</c:v>
                </c:pt>
                <c:pt idx="442">
                  <c:v>0.88600000000000068</c:v>
                </c:pt>
                <c:pt idx="443">
                  <c:v>0.88800000000000068</c:v>
                </c:pt>
                <c:pt idx="444">
                  <c:v>0.89000000000000068</c:v>
                </c:pt>
                <c:pt idx="445">
                  <c:v>0.89200000000000068</c:v>
                </c:pt>
                <c:pt idx="446">
                  <c:v>0.89400000000000068</c:v>
                </c:pt>
                <c:pt idx="447">
                  <c:v>0.89600000000000068</c:v>
                </c:pt>
                <c:pt idx="448">
                  <c:v>0.89800000000000069</c:v>
                </c:pt>
                <c:pt idx="449">
                  <c:v>0.90000000000000069</c:v>
                </c:pt>
                <c:pt idx="450">
                  <c:v>0.90200000000000069</c:v>
                </c:pt>
                <c:pt idx="451">
                  <c:v>0.90400000000000069</c:v>
                </c:pt>
                <c:pt idx="452">
                  <c:v>0.90600000000000069</c:v>
                </c:pt>
                <c:pt idx="453">
                  <c:v>0.9080000000000007</c:v>
                </c:pt>
                <c:pt idx="454">
                  <c:v>0.9100000000000007</c:v>
                </c:pt>
                <c:pt idx="455">
                  <c:v>0.9120000000000007</c:v>
                </c:pt>
                <c:pt idx="456">
                  <c:v>0.9140000000000007</c:v>
                </c:pt>
                <c:pt idx="457">
                  <c:v>0.9160000000000007</c:v>
                </c:pt>
                <c:pt idx="458">
                  <c:v>0.9180000000000007</c:v>
                </c:pt>
                <c:pt idx="459">
                  <c:v>0.92000000000000071</c:v>
                </c:pt>
                <c:pt idx="460">
                  <c:v>0.92200000000000071</c:v>
                </c:pt>
                <c:pt idx="461">
                  <c:v>0.92400000000000071</c:v>
                </c:pt>
                <c:pt idx="462">
                  <c:v>0.92600000000000071</c:v>
                </c:pt>
                <c:pt idx="463">
                  <c:v>0.92800000000000071</c:v>
                </c:pt>
                <c:pt idx="464">
                  <c:v>0.93000000000000071</c:v>
                </c:pt>
                <c:pt idx="465">
                  <c:v>0.93200000000000072</c:v>
                </c:pt>
                <c:pt idx="466">
                  <c:v>0.93400000000000072</c:v>
                </c:pt>
                <c:pt idx="467">
                  <c:v>0.93600000000000072</c:v>
                </c:pt>
                <c:pt idx="468">
                  <c:v>0.93800000000000072</c:v>
                </c:pt>
                <c:pt idx="469">
                  <c:v>0.94000000000000072</c:v>
                </c:pt>
                <c:pt idx="470">
                  <c:v>0.94200000000000073</c:v>
                </c:pt>
                <c:pt idx="471">
                  <c:v>0.94400000000000073</c:v>
                </c:pt>
                <c:pt idx="472">
                  <c:v>0.94600000000000073</c:v>
                </c:pt>
                <c:pt idx="473">
                  <c:v>0.94800000000000073</c:v>
                </c:pt>
                <c:pt idx="474">
                  <c:v>0.95000000000000073</c:v>
                </c:pt>
                <c:pt idx="475">
                  <c:v>0.95200000000000073</c:v>
                </c:pt>
                <c:pt idx="476">
                  <c:v>0.95400000000000074</c:v>
                </c:pt>
                <c:pt idx="477">
                  <c:v>0.95600000000000074</c:v>
                </c:pt>
                <c:pt idx="478">
                  <c:v>0.95800000000000074</c:v>
                </c:pt>
                <c:pt idx="479">
                  <c:v>0.96000000000000074</c:v>
                </c:pt>
                <c:pt idx="480">
                  <c:v>0.96200000000000074</c:v>
                </c:pt>
                <c:pt idx="481">
                  <c:v>0.96400000000000075</c:v>
                </c:pt>
                <c:pt idx="482">
                  <c:v>0.96600000000000075</c:v>
                </c:pt>
                <c:pt idx="483">
                  <c:v>0.96800000000000075</c:v>
                </c:pt>
                <c:pt idx="484">
                  <c:v>0.97000000000000075</c:v>
                </c:pt>
                <c:pt idx="485">
                  <c:v>0.97200000000000075</c:v>
                </c:pt>
                <c:pt idx="486">
                  <c:v>0.97400000000000075</c:v>
                </c:pt>
                <c:pt idx="487">
                  <c:v>0.97600000000000076</c:v>
                </c:pt>
                <c:pt idx="488">
                  <c:v>0.97800000000000076</c:v>
                </c:pt>
                <c:pt idx="489">
                  <c:v>0.98000000000000076</c:v>
                </c:pt>
                <c:pt idx="490">
                  <c:v>0.98200000000000076</c:v>
                </c:pt>
                <c:pt idx="491">
                  <c:v>0.98400000000000076</c:v>
                </c:pt>
                <c:pt idx="492">
                  <c:v>0.98600000000000076</c:v>
                </c:pt>
                <c:pt idx="493">
                  <c:v>0.98800000000000077</c:v>
                </c:pt>
                <c:pt idx="494">
                  <c:v>0.99000000000000077</c:v>
                </c:pt>
                <c:pt idx="495">
                  <c:v>0.99200000000000077</c:v>
                </c:pt>
                <c:pt idx="496">
                  <c:v>0.99400000000000077</c:v>
                </c:pt>
                <c:pt idx="497">
                  <c:v>0.99600000000000077</c:v>
                </c:pt>
                <c:pt idx="498">
                  <c:v>0.99800000000000078</c:v>
                </c:pt>
                <c:pt idx="499">
                  <c:v>1.0000000000000007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7D-4A54-A62E-ED7DD08BC4E8}"/>
            </c:ext>
          </c:extLst>
        </c:ser>
        <c:ser>
          <c:idx val="1"/>
          <c:order val="1"/>
          <c:tx>
            <c:v>pea</c:v>
          </c:tx>
          <c:spPr>
            <a:solidFill>
              <a:schemeClr val="accent2"/>
            </a:solidFill>
            <a:ln w="25400">
              <a:noFill/>
            </a:ln>
            <a:effectLst/>
            <a:sp3d/>
          </c:spPr>
          <c:val>
            <c:numRef>
              <c:f>unif!$N$5:$N$504</c:f>
              <c:numCache>
                <c:formatCode>General</c:formatCode>
                <c:ptCount val="500"/>
                <c:pt idx="0">
                  <c:v>0</c:v>
                </c:pt>
                <c:pt idx="1">
                  <c:v>4.6448087431693978E-2</c:v>
                </c:pt>
                <c:pt idx="2">
                  <c:v>0.1158469945355191</c:v>
                </c:pt>
                <c:pt idx="3">
                  <c:v>0.14699453551912567</c:v>
                </c:pt>
                <c:pt idx="4">
                  <c:v>0.17540983606557375</c:v>
                </c:pt>
                <c:pt idx="5">
                  <c:v>0.18743169398907095</c:v>
                </c:pt>
                <c:pt idx="6">
                  <c:v>0.19781420765027322</c:v>
                </c:pt>
                <c:pt idx="7">
                  <c:v>0.21639344262295079</c:v>
                </c:pt>
                <c:pt idx="8">
                  <c:v>0.21693989071038258</c:v>
                </c:pt>
                <c:pt idx="9">
                  <c:v>0.21693989071038258</c:v>
                </c:pt>
                <c:pt idx="10">
                  <c:v>0.22240437158469942</c:v>
                </c:pt>
                <c:pt idx="11">
                  <c:v>0.2316939890710383</c:v>
                </c:pt>
                <c:pt idx="12">
                  <c:v>0.25191256830601105</c:v>
                </c:pt>
                <c:pt idx="13">
                  <c:v>0.25245901639344259</c:v>
                </c:pt>
                <c:pt idx="14">
                  <c:v>0.27158469945355201</c:v>
                </c:pt>
                <c:pt idx="15">
                  <c:v>0.27540983606557384</c:v>
                </c:pt>
                <c:pt idx="16">
                  <c:v>0.28087431693989068</c:v>
                </c:pt>
                <c:pt idx="17">
                  <c:v>0.28306010928961745</c:v>
                </c:pt>
                <c:pt idx="18">
                  <c:v>0.28360655737704921</c:v>
                </c:pt>
                <c:pt idx="19">
                  <c:v>0.2896174863387978</c:v>
                </c:pt>
                <c:pt idx="20">
                  <c:v>0.30437158469945352</c:v>
                </c:pt>
                <c:pt idx="21">
                  <c:v>0.30710382513661205</c:v>
                </c:pt>
                <c:pt idx="22">
                  <c:v>0.31038251366120212</c:v>
                </c:pt>
                <c:pt idx="23">
                  <c:v>0.31092896174863388</c:v>
                </c:pt>
                <c:pt idx="24">
                  <c:v>0.3256830601092896</c:v>
                </c:pt>
                <c:pt idx="25">
                  <c:v>0.32786885245901637</c:v>
                </c:pt>
                <c:pt idx="26">
                  <c:v>0.32950819672131149</c:v>
                </c:pt>
                <c:pt idx="27">
                  <c:v>0.32950819672131149</c:v>
                </c:pt>
                <c:pt idx="28">
                  <c:v>0.33333333333333337</c:v>
                </c:pt>
                <c:pt idx="29">
                  <c:v>0.33442622950819673</c:v>
                </c:pt>
                <c:pt idx="30">
                  <c:v>0.33442622950819673</c:v>
                </c:pt>
                <c:pt idx="31">
                  <c:v>0.33770491803278685</c:v>
                </c:pt>
                <c:pt idx="32">
                  <c:v>0.33989071038251373</c:v>
                </c:pt>
                <c:pt idx="33">
                  <c:v>0.33989071038251373</c:v>
                </c:pt>
                <c:pt idx="34">
                  <c:v>0.34043715846994532</c:v>
                </c:pt>
                <c:pt idx="35">
                  <c:v>0.34262295081967209</c:v>
                </c:pt>
                <c:pt idx="36">
                  <c:v>0.34590163934426238</c:v>
                </c:pt>
                <c:pt idx="37">
                  <c:v>0.34918032786885245</c:v>
                </c:pt>
                <c:pt idx="38">
                  <c:v>0.35081967213114756</c:v>
                </c:pt>
                <c:pt idx="39">
                  <c:v>0.35300546448087433</c:v>
                </c:pt>
                <c:pt idx="40">
                  <c:v>0.35300546448087433</c:v>
                </c:pt>
                <c:pt idx="41">
                  <c:v>0.35737704918032798</c:v>
                </c:pt>
                <c:pt idx="42">
                  <c:v>0.35846994535519133</c:v>
                </c:pt>
                <c:pt idx="43">
                  <c:v>0.35901639344262293</c:v>
                </c:pt>
                <c:pt idx="44">
                  <c:v>0.36120218579234986</c:v>
                </c:pt>
                <c:pt idx="45">
                  <c:v>0.3666666666666667</c:v>
                </c:pt>
                <c:pt idx="46">
                  <c:v>0.36775956284153005</c:v>
                </c:pt>
                <c:pt idx="47">
                  <c:v>0.37322404371584705</c:v>
                </c:pt>
                <c:pt idx="48">
                  <c:v>0.37431693989071041</c:v>
                </c:pt>
                <c:pt idx="49">
                  <c:v>0.37540983606557377</c:v>
                </c:pt>
                <c:pt idx="50">
                  <c:v>0.37759562841530053</c:v>
                </c:pt>
                <c:pt idx="51">
                  <c:v>0.37868852459016389</c:v>
                </c:pt>
                <c:pt idx="52">
                  <c:v>0.37868852459016389</c:v>
                </c:pt>
                <c:pt idx="53">
                  <c:v>0.38196721311475418</c:v>
                </c:pt>
                <c:pt idx="54">
                  <c:v>0.38415300546448089</c:v>
                </c:pt>
                <c:pt idx="55">
                  <c:v>0.3863387978142076</c:v>
                </c:pt>
                <c:pt idx="56">
                  <c:v>0.3863387978142076</c:v>
                </c:pt>
                <c:pt idx="57">
                  <c:v>0.38743169398907101</c:v>
                </c:pt>
                <c:pt idx="58">
                  <c:v>0.38743169398907101</c:v>
                </c:pt>
                <c:pt idx="59">
                  <c:v>0.38852459016393454</c:v>
                </c:pt>
                <c:pt idx="60">
                  <c:v>0.38907103825136613</c:v>
                </c:pt>
                <c:pt idx="61">
                  <c:v>0.39016393442622949</c:v>
                </c:pt>
                <c:pt idx="62">
                  <c:v>0.3907103825136613</c:v>
                </c:pt>
                <c:pt idx="63">
                  <c:v>0.39289617486338801</c:v>
                </c:pt>
                <c:pt idx="64">
                  <c:v>0.39344262295081978</c:v>
                </c:pt>
                <c:pt idx="65">
                  <c:v>0.39508196721311473</c:v>
                </c:pt>
                <c:pt idx="66">
                  <c:v>0.39617486338797808</c:v>
                </c:pt>
                <c:pt idx="67">
                  <c:v>0.39617486338797808</c:v>
                </c:pt>
                <c:pt idx="68">
                  <c:v>0.3967213114754099</c:v>
                </c:pt>
                <c:pt idx="69">
                  <c:v>0.39781420765027325</c:v>
                </c:pt>
                <c:pt idx="70">
                  <c:v>0.39890710382513661</c:v>
                </c:pt>
                <c:pt idx="71">
                  <c:v>0.39945355191256837</c:v>
                </c:pt>
                <c:pt idx="72">
                  <c:v>0.39945355191256837</c:v>
                </c:pt>
                <c:pt idx="73">
                  <c:v>0.40163934426229514</c:v>
                </c:pt>
                <c:pt idx="74">
                  <c:v>0.40601092896174856</c:v>
                </c:pt>
                <c:pt idx="75">
                  <c:v>0.40655737704918038</c:v>
                </c:pt>
                <c:pt idx="76">
                  <c:v>0.4081967213114755</c:v>
                </c:pt>
                <c:pt idx="77">
                  <c:v>0.40874316939890709</c:v>
                </c:pt>
                <c:pt idx="78">
                  <c:v>0.40983606557377045</c:v>
                </c:pt>
                <c:pt idx="79">
                  <c:v>0.41366120218579233</c:v>
                </c:pt>
                <c:pt idx="80">
                  <c:v>0.41420765027322409</c:v>
                </c:pt>
                <c:pt idx="81">
                  <c:v>0.41420765027322409</c:v>
                </c:pt>
                <c:pt idx="82">
                  <c:v>0.41475409836065569</c:v>
                </c:pt>
                <c:pt idx="83">
                  <c:v>0.41584699453551927</c:v>
                </c:pt>
                <c:pt idx="84">
                  <c:v>0.41639344262295086</c:v>
                </c:pt>
                <c:pt idx="85">
                  <c:v>0.41693989071038262</c:v>
                </c:pt>
                <c:pt idx="86">
                  <c:v>0.41967213114754093</c:v>
                </c:pt>
                <c:pt idx="87">
                  <c:v>0.42185792349726786</c:v>
                </c:pt>
                <c:pt idx="88">
                  <c:v>0.42349726775956281</c:v>
                </c:pt>
                <c:pt idx="89">
                  <c:v>0.42349726775956281</c:v>
                </c:pt>
                <c:pt idx="90">
                  <c:v>0.42841530054644805</c:v>
                </c:pt>
                <c:pt idx="91">
                  <c:v>0.42896174863387981</c:v>
                </c:pt>
                <c:pt idx="92">
                  <c:v>0.43114754098360658</c:v>
                </c:pt>
                <c:pt idx="93">
                  <c:v>0.43169398907103834</c:v>
                </c:pt>
                <c:pt idx="94">
                  <c:v>0.4327868852459017</c:v>
                </c:pt>
                <c:pt idx="95">
                  <c:v>0.43387978142076505</c:v>
                </c:pt>
                <c:pt idx="96">
                  <c:v>0.43442622950819687</c:v>
                </c:pt>
                <c:pt idx="97">
                  <c:v>0.43497267759562841</c:v>
                </c:pt>
                <c:pt idx="98">
                  <c:v>0.43551912568306023</c:v>
                </c:pt>
                <c:pt idx="99">
                  <c:v>0.43551912568306023</c:v>
                </c:pt>
                <c:pt idx="100">
                  <c:v>0.43715846994535518</c:v>
                </c:pt>
                <c:pt idx="101">
                  <c:v>0.43715846994535518</c:v>
                </c:pt>
                <c:pt idx="102">
                  <c:v>0.44207650273224042</c:v>
                </c:pt>
                <c:pt idx="103">
                  <c:v>0.44480874316939889</c:v>
                </c:pt>
                <c:pt idx="104">
                  <c:v>0.44480874316939889</c:v>
                </c:pt>
                <c:pt idx="105">
                  <c:v>0.44535519125683071</c:v>
                </c:pt>
                <c:pt idx="106">
                  <c:v>0.44535519125683071</c:v>
                </c:pt>
                <c:pt idx="107">
                  <c:v>0.4459016393442623</c:v>
                </c:pt>
                <c:pt idx="108">
                  <c:v>0.44644808743169406</c:v>
                </c:pt>
                <c:pt idx="109">
                  <c:v>0.44699453551912566</c:v>
                </c:pt>
                <c:pt idx="110">
                  <c:v>0.44699453551912566</c:v>
                </c:pt>
                <c:pt idx="111">
                  <c:v>0.44808743169398918</c:v>
                </c:pt>
                <c:pt idx="112">
                  <c:v>0.4513661202185793</c:v>
                </c:pt>
                <c:pt idx="113">
                  <c:v>0.45245901639344266</c:v>
                </c:pt>
                <c:pt idx="114">
                  <c:v>0.45300546448087442</c:v>
                </c:pt>
                <c:pt idx="115">
                  <c:v>0.45355191256830601</c:v>
                </c:pt>
                <c:pt idx="116">
                  <c:v>0.4573770491803279</c:v>
                </c:pt>
                <c:pt idx="117">
                  <c:v>0.45792349726775966</c:v>
                </c:pt>
                <c:pt idx="118">
                  <c:v>0.45792349726775966</c:v>
                </c:pt>
                <c:pt idx="119">
                  <c:v>0.45901639344262302</c:v>
                </c:pt>
                <c:pt idx="120">
                  <c:v>0.45901639344262302</c:v>
                </c:pt>
                <c:pt idx="121">
                  <c:v>0.46010928961748643</c:v>
                </c:pt>
                <c:pt idx="122">
                  <c:v>0.46010928961748643</c:v>
                </c:pt>
                <c:pt idx="123">
                  <c:v>0.46229508196721314</c:v>
                </c:pt>
                <c:pt idx="124">
                  <c:v>0.46557377049180321</c:v>
                </c:pt>
                <c:pt idx="125">
                  <c:v>0.46612021857923502</c:v>
                </c:pt>
                <c:pt idx="126">
                  <c:v>0.46775956284153014</c:v>
                </c:pt>
                <c:pt idx="127">
                  <c:v>0.46830601092896174</c:v>
                </c:pt>
                <c:pt idx="128">
                  <c:v>0.47103825136612026</c:v>
                </c:pt>
                <c:pt idx="129">
                  <c:v>0.47158469945355203</c:v>
                </c:pt>
                <c:pt idx="130">
                  <c:v>0.47213114754098362</c:v>
                </c:pt>
                <c:pt idx="131">
                  <c:v>0.47377049180327874</c:v>
                </c:pt>
                <c:pt idx="132">
                  <c:v>0.47540983606557391</c:v>
                </c:pt>
                <c:pt idx="133">
                  <c:v>0.47704918032786886</c:v>
                </c:pt>
                <c:pt idx="134">
                  <c:v>0.47868852459016398</c:v>
                </c:pt>
                <c:pt idx="135">
                  <c:v>0.47923497267759557</c:v>
                </c:pt>
                <c:pt idx="136">
                  <c:v>0.47923497267759557</c:v>
                </c:pt>
                <c:pt idx="137">
                  <c:v>0.48032786885245915</c:v>
                </c:pt>
                <c:pt idx="138">
                  <c:v>0.48087431693989074</c:v>
                </c:pt>
                <c:pt idx="139">
                  <c:v>0.48142076502732251</c:v>
                </c:pt>
                <c:pt idx="140">
                  <c:v>0.48251366120218586</c:v>
                </c:pt>
                <c:pt idx="141">
                  <c:v>0.48415300546448103</c:v>
                </c:pt>
                <c:pt idx="142">
                  <c:v>0.48469945355191257</c:v>
                </c:pt>
                <c:pt idx="143">
                  <c:v>0.48524590163934439</c:v>
                </c:pt>
                <c:pt idx="144">
                  <c:v>0.48579234972677598</c:v>
                </c:pt>
                <c:pt idx="145">
                  <c:v>0.48688524590163934</c:v>
                </c:pt>
                <c:pt idx="146">
                  <c:v>0.48688524590163934</c:v>
                </c:pt>
                <c:pt idx="147">
                  <c:v>0.48688524590163934</c:v>
                </c:pt>
                <c:pt idx="148">
                  <c:v>0.4874316939890711</c:v>
                </c:pt>
                <c:pt idx="149">
                  <c:v>0.4879781420765027</c:v>
                </c:pt>
                <c:pt idx="150">
                  <c:v>0.48907103825136627</c:v>
                </c:pt>
                <c:pt idx="151">
                  <c:v>0.49071038251366123</c:v>
                </c:pt>
                <c:pt idx="152">
                  <c:v>0.49071038251366123</c:v>
                </c:pt>
                <c:pt idx="153">
                  <c:v>0.49180327868852458</c:v>
                </c:pt>
                <c:pt idx="154">
                  <c:v>0.49398907103825151</c:v>
                </c:pt>
                <c:pt idx="155">
                  <c:v>0.49453551912568305</c:v>
                </c:pt>
                <c:pt idx="156">
                  <c:v>0.49508196721311487</c:v>
                </c:pt>
                <c:pt idx="157">
                  <c:v>0.49562841530054647</c:v>
                </c:pt>
                <c:pt idx="158">
                  <c:v>0.49562841530054647</c:v>
                </c:pt>
                <c:pt idx="159">
                  <c:v>0.49617486338797823</c:v>
                </c:pt>
                <c:pt idx="160">
                  <c:v>0.49617486338797823</c:v>
                </c:pt>
                <c:pt idx="161">
                  <c:v>0.49617486338797823</c:v>
                </c:pt>
                <c:pt idx="162">
                  <c:v>0.49672131147540982</c:v>
                </c:pt>
                <c:pt idx="163">
                  <c:v>0.49836065573770494</c:v>
                </c:pt>
                <c:pt idx="164">
                  <c:v>0.49836065573770494</c:v>
                </c:pt>
                <c:pt idx="165">
                  <c:v>0.49836065573770494</c:v>
                </c:pt>
                <c:pt idx="166">
                  <c:v>0.49890710382513676</c:v>
                </c:pt>
                <c:pt idx="167">
                  <c:v>0.49945355191256829</c:v>
                </c:pt>
                <c:pt idx="168">
                  <c:v>0.50000000000000011</c:v>
                </c:pt>
                <c:pt idx="169">
                  <c:v>0.50054644808743165</c:v>
                </c:pt>
                <c:pt idx="170">
                  <c:v>0.50163934426229506</c:v>
                </c:pt>
                <c:pt idx="171">
                  <c:v>0.50327868852459023</c:v>
                </c:pt>
                <c:pt idx="172">
                  <c:v>0.503825136612022</c:v>
                </c:pt>
                <c:pt idx="173">
                  <c:v>0.5049180327868853</c:v>
                </c:pt>
                <c:pt idx="174">
                  <c:v>0.50546448087431695</c:v>
                </c:pt>
                <c:pt idx="175">
                  <c:v>0.50601092896174871</c:v>
                </c:pt>
                <c:pt idx="176">
                  <c:v>0.50710382513661212</c:v>
                </c:pt>
                <c:pt idx="177">
                  <c:v>0.50710382513661212</c:v>
                </c:pt>
                <c:pt idx="178">
                  <c:v>0.51038251366120213</c:v>
                </c:pt>
                <c:pt idx="179">
                  <c:v>0.51092896174863389</c:v>
                </c:pt>
                <c:pt idx="180">
                  <c:v>0.51311475409836071</c:v>
                </c:pt>
                <c:pt idx="181">
                  <c:v>0.51311475409836071</c:v>
                </c:pt>
                <c:pt idx="182">
                  <c:v>0.51475409836065578</c:v>
                </c:pt>
                <c:pt idx="183">
                  <c:v>0.51530054644808743</c:v>
                </c:pt>
                <c:pt idx="184">
                  <c:v>0.51530054644808743</c:v>
                </c:pt>
                <c:pt idx="185">
                  <c:v>0.51693989071038249</c:v>
                </c:pt>
                <c:pt idx="186">
                  <c:v>0.51857923497267766</c:v>
                </c:pt>
                <c:pt idx="187">
                  <c:v>0.51912568306010931</c:v>
                </c:pt>
                <c:pt idx="188">
                  <c:v>0.51967213114754107</c:v>
                </c:pt>
                <c:pt idx="189">
                  <c:v>0.52076502732240437</c:v>
                </c:pt>
                <c:pt idx="190">
                  <c:v>0.52240437158469955</c:v>
                </c:pt>
                <c:pt idx="191">
                  <c:v>0.52349726775956296</c:v>
                </c:pt>
                <c:pt idx="192">
                  <c:v>0.52459016393442626</c:v>
                </c:pt>
                <c:pt idx="193">
                  <c:v>0.52841530054644814</c:v>
                </c:pt>
                <c:pt idx="194">
                  <c:v>0.52841530054644814</c:v>
                </c:pt>
                <c:pt idx="195">
                  <c:v>0.52950819672131155</c:v>
                </c:pt>
                <c:pt idx="196">
                  <c:v>0.53060109289617485</c:v>
                </c:pt>
                <c:pt idx="197">
                  <c:v>0.53114754098360673</c:v>
                </c:pt>
                <c:pt idx="198">
                  <c:v>0.53278688524590168</c:v>
                </c:pt>
                <c:pt idx="199">
                  <c:v>0.53278688524590168</c:v>
                </c:pt>
                <c:pt idx="200">
                  <c:v>0.53442622950819674</c:v>
                </c:pt>
                <c:pt idx="201">
                  <c:v>0.53770491803278686</c:v>
                </c:pt>
                <c:pt idx="202">
                  <c:v>0.53825136612021862</c:v>
                </c:pt>
                <c:pt idx="203">
                  <c:v>0.53934426229508203</c:v>
                </c:pt>
                <c:pt idx="204">
                  <c:v>0.54043715846994533</c:v>
                </c:pt>
                <c:pt idx="205">
                  <c:v>0.54098360655737721</c:v>
                </c:pt>
                <c:pt idx="206">
                  <c:v>0.54207650273224051</c:v>
                </c:pt>
                <c:pt idx="207">
                  <c:v>0.54316939890710392</c:v>
                </c:pt>
                <c:pt idx="208">
                  <c:v>0.54371584699453568</c:v>
                </c:pt>
                <c:pt idx="209">
                  <c:v>0.54426229508196722</c:v>
                </c:pt>
                <c:pt idx="210">
                  <c:v>0.54426229508196722</c:v>
                </c:pt>
                <c:pt idx="211">
                  <c:v>0.54644808743169393</c:v>
                </c:pt>
                <c:pt idx="212">
                  <c:v>0.5469945355191258</c:v>
                </c:pt>
                <c:pt idx="213">
                  <c:v>0.54754098360655734</c:v>
                </c:pt>
                <c:pt idx="214">
                  <c:v>0.54754098360655734</c:v>
                </c:pt>
                <c:pt idx="215">
                  <c:v>0.54863387978142086</c:v>
                </c:pt>
                <c:pt idx="216">
                  <c:v>0.54972677595628427</c:v>
                </c:pt>
                <c:pt idx="217">
                  <c:v>0.54972677595628427</c:v>
                </c:pt>
                <c:pt idx="218">
                  <c:v>0.55191256830601099</c:v>
                </c:pt>
                <c:pt idx="219">
                  <c:v>0.5540983606557377</c:v>
                </c:pt>
                <c:pt idx="220">
                  <c:v>0.5540983606557377</c:v>
                </c:pt>
                <c:pt idx="221">
                  <c:v>0.55519125683060111</c:v>
                </c:pt>
                <c:pt idx="222">
                  <c:v>0.55737704918032804</c:v>
                </c:pt>
                <c:pt idx="223">
                  <c:v>0.55737704918032804</c:v>
                </c:pt>
                <c:pt idx="224">
                  <c:v>0.55792349726775958</c:v>
                </c:pt>
                <c:pt idx="225">
                  <c:v>0.55901639344262299</c:v>
                </c:pt>
                <c:pt idx="226">
                  <c:v>0.55956284153005476</c:v>
                </c:pt>
                <c:pt idx="227">
                  <c:v>0.56065573770491806</c:v>
                </c:pt>
                <c:pt idx="228">
                  <c:v>0.56229508196721323</c:v>
                </c:pt>
                <c:pt idx="229">
                  <c:v>0.56229508196721323</c:v>
                </c:pt>
                <c:pt idx="230">
                  <c:v>0.56393442622950818</c:v>
                </c:pt>
                <c:pt idx="231">
                  <c:v>0.56448087431693994</c:v>
                </c:pt>
                <c:pt idx="232">
                  <c:v>0.56448087431693994</c:v>
                </c:pt>
                <c:pt idx="233">
                  <c:v>0.56557377049180335</c:v>
                </c:pt>
                <c:pt idx="234">
                  <c:v>0.56666666666666676</c:v>
                </c:pt>
                <c:pt idx="235">
                  <c:v>0.56721311475409852</c:v>
                </c:pt>
                <c:pt idx="236">
                  <c:v>0.56775956284153006</c:v>
                </c:pt>
                <c:pt idx="237">
                  <c:v>0.56939890710382524</c:v>
                </c:pt>
                <c:pt idx="238">
                  <c:v>0.56994535519125678</c:v>
                </c:pt>
                <c:pt idx="239">
                  <c:v>0.56994535519125678</c:v>
                </c:pt>
                <c:pt idx="240">
                  <c:v>0.57049180327868854</c:v>
                </c:pt>
                <c:pt idx="241">
                  <c:v>0.57049180327868854</c:v>
                </c:pt>
                <c:pt idx="242">
                  <c:v>0.57103825136612041</c:v>
                </c:pt>
                <c:pt idx="243">
                  <c:v>0.57158469945355195</c:v>
                </c:pt>
                <c:pt idx="244">
                  <c:v>0.57322404371584712</c:v>
                </c:pt>
                <c:pt idx="245">
                  <c:v>0.57322404371584712</c:v>
                </c:pt>
                <c:pt idx="246">
                  <c:v>0.57377049180327866</c:v>
                </c:pt>
                <c:pt idx="247">
                  <c:v>0.57377049180327866</c:v>
                </c:pt>
                <c:pt idx="248">
                  <c:v>0.57486338797814207</c:v>
                </c:pt>
                <c:pt idx="249">
                  <c:v>0.57540983606557383</c:v>
                </c:pt>
                <c:pt idx="250">
                  <c:v>0.57540983606557383</c:v>
                </c:pt>
                <c:pt idx="251">
                  <c:v>0.57540983606557383</c:v>
                </c:pt>
                <c:pt idx="252">
                  <c:v>0.5781420765027323</c:v>
                </c:pt>
                <c:pt idx="253">
                  <c:v>0.57923497267759572</c:v>
                </c:pt>
                <c:pt idx="254">
                  <c:v>0.58087431693989089</c:v>
                </c:pt>
                <c:pt idx="255">
                  <c:v>0.58142076502732243</c:v>
                </c:pt>
                <c:pt idx="256">
                  <c:v>0.58196721311475419</c:v>
                </c:pt>
                <c:pt idx="257">
                  <c:v>0.58251366120218584</c:v>
                </c:pt>
                <c:pt idx="258">
                  <c:v>0.5841530054644809</c:v>
                </c:pt>
                <c:pt idx="259">
                  <c:v>0.5841530054644809</c:v>
                </c:pt>
                <c:pt idx="260">
                  <c:v>0.58579234972677607</c:v>
                </c:pt>
                <c:pt idx="261">
                  <c:v>0.5890710382513662</c:v>
                </c:pt>
                <c:pt idx="262">
                  <c:v>0.5901639344262295</c:v>
                </c:pt>
                <c:pt idx="263">
                  <c:v>0.5901639344262295</c:v>
                </c:pt>
                <c:pt idx="264">
                  <c:v>0.59125683060109291</c:v>
                </c:pt>
                <c:pt idx="265">
                  <c:v>0.59125683060109291</c:v>
                </c:pt>
                <c:pt idx="266">
                  <c:v>0.59453551912568314</c:v>
                </c:pt>
                <c:pt idx="267">
                  <c:v>0.59508196721311479</c:v>
                </c:pt>
                <c:pt idx="268">
                  <c:v>0.59562841530054655</c:v>
                </c:pt>
                <c:pt idx="269">
                  <c:v>0.59562841530054655</c:v>
                </c:pt>
                <c:pt idx="270">
                  <c:v>0.59617486338797809</c:v>
                </c:pt>
                <c:pt idx="271">
                  <c:v>0.59836065573770503</c:v>
                </c:pt>
                <c:pt idx="272">
                  <c:v>0.59890710382513668</c:v>
                </c:pt>
                <c:pt idx="273">
                  <c:v>0.59945355191256844</c:v>
                </c:pt>
                <c:pt idx="274">
                  <c:v>0.59945355191256844</c:v>
                </c:pt>
                <c:pt idx="275">
                  <c:v>0.59945355191256844</c:v>
                </c:pt>
                <c:pt idx="276">
                  <c:v>0.6</c:v>
                </c:pt>
                <c:pt idx="277">
                  <c:v>0.60273224043715856</c:v>
                </c:pt>
                <c:pt idx="278">
                  <c:v>0.60382513661202186</c:v>
                </c:pt>
                <c:pt idx="279">
                  <c:v>0.60491803278688527</c:v>
                </c:pt>
                <c:pt idx="280">
                  <c:v>0.60765027322404375</c:v>
                </c:pt>
                <c:pt idx="281">
                  <c:v>0.60819672131147551</c:v>
                </c:pt>
                <c:pt idx="282">
                  <c:v>0.61038251366120233</c:v>
                </c:pt>
                <c:pt idx="283">
                  <c:v>0.61147540983606563</c:v>
                </c:pt>
                <c:pt idx="284">
                  <c:v>0.61147540983606563</c:v>
                </c:pt>
                <c:pt idx="285">
                  <c:v>0.61256830601092904</c:v>
                </c:pt>
                <c:pt idx="286">
                  <c:v>0.61256830601092904</c:v>
                </c:pt>
                <c:pt idx="287">
                  <c:v>0.61366120218579234</c:v>
                </c:pt>
                <c:pt idx="288">
                  <c:v>0.61530054644808752</c:v>
                </c:pt>
                <c:pt idx="289">
                  <c:v>0.61584699453551905</c:v>
                </c:pt>
                <c:pt idx="290">
                  <c:v>0.61693989071038269</c:v>
                </c:pt>
                <c:pt idx="291">
                  <c:v>0.61693989071038269</c:v>
                </c:pt>
                <c:pt idx="292">
                  <c:v>0.61803278688524599</c:v>
                </c:pt>
                <c:pt idx="293">
                  <c:v>0.61803278688524599</c:v>
                </c:pt>
                <c:pt idx="294">
                  <c:v>0.62131147540983611</c:v>
                </c:pt>
                <c:pt idx="295">
                  <c:v>0.62185792349726787</c:v>
                </c:pt>
                <c:pt idx="296">
                  <c:v>0.62240437158469952</c:v>
                </c:pt>
                <c:pt idx="297">
                  <c:v>0.62240437158469952</c:v>
                </c:pt>
                <c:pt idx="298">
                  <c:v>0.62295081967213128</c:v>
                </c:pt>
                <c:pt idx="299">
                  <c:v>0.62404371584699458</c:v>
                </c:pt>
                <c:pt idx="300">
                  <c:v>0.62404371584699458</c:v>
                </c:pt>
                <c:pt idx="301">
                  <c:v>0.625136612021858</c:v>
                </c:pt>
                <c:pt idx="302">
                  <c:v>0.62568306010928976</c:v>
                </c:pt>
                <c:pt idx="303">
                  <c:v>0.62677595628415317</c:v>
                </c:pt>
                <c:pt idx="304">
                  <c:v>0.62786885245901647</c:v>
                </c:pt>
                <c:pt idx="305">
                  <c:v>0.62950819672131142</c:v>
                </c:pt>
                <c:pt idx="306">
                  <c:v>0.62950819672131142</c:v>
                </c:pt>
                <c:pt idx="307">
                  <c:v>0.63005464480874318</c:v>
                </c:pt>
                <c:pt idx="308">
                  <c:v>0.63224043715847</c:v>
                </c:pt>
                <c:pt idx="309">
                  <c:v>0.63278688524590176</c:v>
                </c:pt>
                <c:pt idx="310">
                  <c:v>0.6333333333333333</c:v>
                </c:pt>
                <c:pt idx="311">
                  <c:v>0.63387978142076506</c:v>
                </c:pt>
                <c:pt idx="312">
                  <c:v>0.63442622950819694</c:v>
                </c:pt>
                <c:pt idx="313">
                  <c:v>0.63497267759562848</c:v>
                </c:pt>
                <c:pt idx="314">
                  <c:v>0.63551912568306024</c:v>
                </c:pt>
                <c:pt idx="315">
                  <c:v>0.63606557377049189</c:v>
                </c:pt>
                <c:pt idx="316">
                  <c:v>0.63606557377049189</c:v>
                </c:pt>
                <c:pt idx="317">
                  <c:v>0.63661202185792365</c:v>
                </c:pt>
                <c:pt idx="318">
                  <c:v>0.63661202185792365</c:v>
                </c:pt>
                <c:pt idx="319">
                  <c:v>0.63934426229508212</c:v>
                </c:pt>
                <c:pt idx="320">
                  <c:v>0.64043715846994553</c:v>
                </c:pt>
                <c:pt idx="321">
                  <c:v>0.64098360655737707</c:v>
                </c:pt>
                <c:pt idx="322">
                  <c:v>0.64207650273224048</c:v>
                </c:pt>
                <c:pt idx="323">
                  <c:v>0.64371584699453555</c:v>
                </c:pt>
                <c:pt idx="324">
                  <c:v>0.64426229508196742</c:v>
                </c:pt>
                <c:pt idx="325">
                  <c:v>0.64644808743169413</c:v>
                </c:pt>
                <c:pt idx="326">
                  <c:v>0.64863387978142084</c:v>
                </c:pt>
                <c:pt idx="327">
                  <c:v>0.64972677595628414</c:v>
                </c:pt>
                <c:pt idx="328">
                  <c:v>0.64972677595628414</c:v>
                </c:pt>
                <c:pt idx="329">
                  <c:v>0.65191256830601096</c:v>
                </c:pt>
                <c:pt idx="330">
                  <c:v>0.65300546448087449</c:v>
                </c:pt>
                <c:pt idx="331">
                  <c:v>0.65409836065573779</c:v>
                </c:pt>
                <c:pt idx="332">
                  <c:v>0.65464480874316944</c:v>
                </c:pt>
                <c:pt idx="333">
                  <c:v>0.65628415300546461</c:v>
                </c:pt>
                <c:pt idx="334">
                  <c:v>0.65901639344262308</c:v>
                </c:pt>
                <c:pt idx="335">
                  <c:v>0.66174863387978156</c:v>
                </c:pt>
                <c:pt idx="336">
                  <c:v>0.66284153005464497</c:v>
                </c:pt>
                <c:pt idx="337">
                  <c:v>0.66284153005464497</c:v>
                </c:pt>
                <c:pt idx="338">
                  <c:v>0.66284153005464497</c:v>
                </c:pt>
                <c:pt idx="339">
                  <c:v>0.66338797814207651</c:v>
                </c:pt>
                <c:pt idx="340">
                  <c:v>0.66393442622950827</c:v>
                </c:pt>
                <c:pt idx="341">
                  <c:v>0.66448087431693992</c:v>
                </c:pt>
                <c:pt idx="342">
                  <c:v>0.66885245901639356</c:v>
                </c:pt>
                <c:pt idx="343">
                  <c:v>0.6693989071038251</c:v>
                </c:pt>
                <c:pt idx="344">
                  <c:v>0.67103825136612028</c:v>
                </c:pt>
                <c:pt idx="345">
                  <c:v>0.67377049180327875</c:v>
                </c:pt>
                <c:pt idx="346">
                  <c:v>0.6743169398907104</c:v>
                </c:pt>
                <c:pt idx="347">
                  <c:v>0.67704918032786887</c:v>
                </c:pt>
                <c:pt idx="348">
                  <c:v>0.67868852459016404</c:v>
                </c:pt>
                <c:pt idx="349">
                  <c:v>0.67923497267759558</c:v>
                </c:pt>
                <c:pt idx="350">
                  <c:v>0.68087431693989076</c:v>
                </c:pt>
                <c:pt idx="351">
                  <c:v>0.68142076502732252</c:v>
                </c:pt>
                <c:pt idx="352">
                  <c:v>0.68469945355191264</c:v>
                </c:pt>
                <c:pt idx="353">
                  <c:v>0.68469945355191264</c:v>
                </c:pt>
                <c:pt idx="354">
                  <c:v>0.6852459016393444</c:v>
                </c:pt>
                <c:pt idx="355">
                  <c:v>0.68579234972677605</c:v>
                </c:pt>
                <c:pt idx="356">
                  <c:v>0.68633879781420781</c:v>
                </c:pt>
                <c:pt idx="357">
                  <c:v>0.68633879781420781</c:v>
                </c:pt>
                <c:pt idx="358">
                  <c:v>0.68688524590163935</c:v>
                </c:pt>
                <c:pt idx="359">
                  <c:v>0.69071038251366124</c:v>
                </c:pt>
                <c:pt idx="360">
                  <c:v>0.69289617486338795</c:v>
                </c:pt>
                <c:pt idx="361">
                  <c:v>0.69398907103825158</c:v>
                </c:pt>
                <c:pt idx="362">
                  <c:v>0.69398907103825158</c:v>
                </c:pt>
                <c:pt idx="363">
                  <c:v>0.69398907103825158</c:v>
                </c:pt>
                <c:pt idx="364">
                  <c:v>0.69562841530054653</c:v>
                </c:pt>
                <c:pt idx="365">
                  <c:v>0.69617486338797829</c:v>
                </c:pt>
                <c:pt idx="366">
                  <c:v>0.69672131147540983</c:v>
                </c:pt>
                <c:pt idx="367">
                  <c:v>0.69781420765027324</c:v>
                </c:pt>
                <c:pt idx="368">
                  <c:v>0.69836065573770501</c:v>
                </c:pt>
                <c:pt idx="369">
                  <c:v>0.69836065573770501</c:v>
                </c:pt>
                <c:pt idx="370">
                  <c:v>0.69836065573770501</c:v>
                </c:pt>
                <c:pt idx="371">
                  <c:v>0.70000000000000018</c:v>
                </c:pt>
                <c:pt idx="372">
                  <c:v>0.70000000000000018</c:v>
                </c:pt>
                <c:pt idx="373">
                  <c:v>0.70218579234972689</c:v>
                </c:pt>
                <c:pt idx="374">
                  <c:v>0.70273224043715865</c:v>
                </c:pt>
                <c:pt idx="375">
                  <c:v>0.70273224043715865</c:v>
                </c:pt>
                <c:pt idx="376">
                  <c:v>0.70327868852459019</c:v>
                </c:pt>
                <c:pt idx="377">
                  <c:v>0.70491803278688536</c:v>
                </c:pt>
                <c:pt idx="378">
                  <c:v>0.70546448087431701</c:v>
                </c:pt>
                <c:pt idx="379">
                  <c:v>0.70546448087431701</c:v>
                </c:pt>
                <c:pt idx="380">
                  <c:v>0.70601092896174877</c:v>
                </c:pt>
                <c:pt idx="381">
                  <c:v>0.70601092896174877</c:v>
                </c:pt>
                <c:pt idx="382">
                  <c:v>0.70601092896174877</c:v>
                </c:pt>
                <c:pt idx="383">
                  <c:v>0.70601092896174877</c:v>
                </c:pt>
                <c:pt idx="384">
                  <c:v>0.70655737704918031</c:v>
                </c:pt>
                <c:pt idx="385">
                  <c:v>0.70710382513661207</c:v>
                </c:pt>
                <c:pt idx="386">
                  <c:v>0.70765027322404384</c:v>
                </c:pt>
                <c:pt idx="387">
                  <c:v>0.70765027322404384</c:v>
                </c:pt>
                <c:pt idx="388">
                  <c:v>0.70874316939890725</c:v>
                </c:pt>
                <c:pt idx="389">
                  <c:v>0.71311475409836067</c:v>
                </c:pt>
                <c:pt idx="390">
                  <c:v>0.71530054644808749</c:v>
                </c:pt>
                <c:pt idx="391">
                  <c:v>0.71693989071038255</c:v>
                </c:pt>
                <c:pt idx="392">
                  <c:v>0.72076502732240444</c:v>
                </c:pt>
                <c:pt idx="393">
                  <c:v>0.72240437158469961</c:v>
                </c:pt>
                <c:pt idx="394">
                  <c:v>0.7262295081967215</c:v>
                </c:pt>
                <c:pt idx="395">
                  <c:v>0.7262295081967215</c:v>
                </c:pt>
                <c:pt idx="396">
                  <c:v>0.7273224043715848</c:v>
                </c:pt>
                <c:pt idx="397">
                  <c:v>0.7273224043715848</c:v>
                </c:pt>
                <c:pt idx="398">
                  <c:v>0.73005464480874338</c:v>
                </c:pt>
                <c:pt idx="399">
                  <c:v>0.73060109289617492</c:v>
                </c:pt>
                <c:pt idx="400">
                  <c:v>0.73114754098360668</c:v>
                </c:pt>
                <c:pt idx="401">
                  <c:v>0.7344262295081968</c:v>
                </c:pt>
                <c:pt idx="402">
                  <c:v>0.73551912568306022</c:v>
                </c:pt>
                <c:pt idx="403">
                  <c:v>0.73661202185792352</c:v>
                </c:pt>
                <c:pt idx="404">
                  <c:v>0.73770491803278693</c:v>
                </c:pt>
                <c:pt idx="405">
                  <c:v>0.73825136612021869</c:v>
                </c:pt>
                <c:pt idx="406">
                  <c:v>0.73879781420765023</c:v>
                </c:pt>
                <c:pt idx="407">
                  <c:v>0.73989071038251386</c:v>
                </c:pt>
                <c:pt idx="408">
                  <c:v>0.74371584699453575</c:v>
                </c:pt>
                <c:pt idx="409">
                  <c:v>0.74480874316939905</c:v>
                </c:pt>
                <c:pt idx="410">
                  <c:v>0.7453551912568307</c:v>
                </c:pt>
                <c:pt idx="411">
                  <c:v>0.74808743169398917</c:v>
                </c:pt>
                <c:pt idx="412">
                  <c:v>0.74863387978142093</c:v>
                </c:pt>
                <c:pt idx="413">
                  <c:v>0.74972677595628434</c:v>
                </c:pt>
                <c:pt idx="414">
                  <c:v>0.75245901639344259</c:v>
                </c:pt>
                <c:pt idx="415">
                  <c:v>0.75245901639344259</c:v>
                </c:pt>
                <c:pt idx="416">
                  <c:v>0.75300546448087435</c:v>
                </c:pt>
                <c:pt idx="417">
                  <c:v>0.75464480874316953</c:v>
                </c:pt>
                <c:pt idx="418">
                  <c:v>0.75573770491803294</c:v>
                </c:pt>
                <c:pt idx="419">
                  <c:v>0.75683060109289624</c:v>
                </c:pt>
                <c:pt idx="420">
                  <c:v>0.75792349726775965</c:v>
                </c:pt>
                <c:pt idx="421">
                  <c:v>0.76120218579234977</c:v>
                </c:pt>
                <c:pt idx="422">
                  <c:v>0.76174863387978153</c:v>
                </c:pt>
                <c:pt idx="423">
                  <c:v>0.76448087431694001</c:v>
                </c:pt>
                <c:pt idx="424">
                  <c:v>0.76502732240437166</c:v>
                </c:pt>
                <c:pt idx="425">
                  <c:v>0.76612021857923496</c:v>
                </c:pt>
                <c:pt idx="426">
                  <c:v>0.76612021857923496</c:v>
                </c:pt>
                <c:pt idx="427">
                  <c:v>0.76666666666666672</c:v>
                </c:pt>
                <c:pt idx="428">
                  <c:v>0.76666666666666672</c:v>
                </c:pt>
                <c:pt idx="429">
                  <c:v>0.76721311475409848</c:v>
                </c:pt>
                <c:pt idx="430">
                  <c:v>0.76721311475409848</c:v>
                </c:pt>
                <c:pt idx="431">
                  <c:v>0.76994535519125684</c:v>
                </c:pt>
                <c:pt idx="432">
                  <c:v>0.7704918032786886</c:v>
                </c:pt>
                <c:pt idx="433">
                  <c:v>0.77158469945355201</c:v>
                </c:pt>
                <c:pt idx="434">
                  <c:v>0.77213114754098378</c:v>
                </c:pt>
                <c:pt idx="435">
                  <c:v>0.77377049180327873</c:v>
                </c:pt>
                <c:pt idx="436">
                  <c:v>0.77595628415300566</c:v>
                </c:pt>
                <c:pt idx="437">
                  <c:v>0.77595628415300566</c:v>
                </c:pt>
                <c:pt idx="438">
                  <c:v>0.77759562841530061</c:v>
                </c:pt>
                <c:pt idx="439">
                  <c:v>0.78032786885245908</c:v>
                </c:pt>
                <c:pt idx="440">
                  <c:v>0.78087431693989084</c:v>
                </c:pt>
                <c:pt idx="441">
                  <c:v>0.78524590163934438</c:v>
                </c:pt>
                <c:pt idx="442">
                  <c:v>0.78579234972677614</c:v>
                </c:pt>
                <c:pt idx="443">
                  <c:v>0.78907103825136626</c:v>
                </c:pt>
                <c:pt idx="444">
                  <c:v>0.79016393442622956</c:v>
                </c:pt>
                <c:pt idx="445">
                  <c:v>0.79016393442622956</c:v>
                </c:pt>
                <c:pt idx="446">
                  <c:v>0.79234972677595628</c:v>
                </c:pt>
                <c:pt idx="447">
                  <c:v>0.79289617486338804</c:v>
                </c:pt>
                <c:pt idx="448">
                  <c:v>0.79344262295081969</c:v>
                </c:pt>
                <c:pt idx="449">
                  <c:v>0.79781420765027333</c:v>
                </c:pt>
                <c:pt idx="450">
                  <c:v>0.79836065573770509</c:v>
                </c:pt>
                <c:pt idx="451">
                  <c:v>0.8</c:v>
                </c:pt>
                <c:pt idx="452">
                  <c:v>0.80218579234972676</c:v>
                </c:pt>
                <c:pt idx="453">
                  <c:v>0.80382513661202193</c:v>
                </c:pt>
                <c:pt idx="454">
                  <c:v>0.80437158469945369</c:v>
                </c:pt>
                <c:pt idx="455">
                  <c:v>0.80491803278688534</c:v>
                </c:pt>
                <c:pt idx="456">
                  <c:v>0.80710382513661205</c:v>
                </c:pt>
                <c:pt idx="457">
                  <c:v>0.80765027322404381</c:v>
                </c:pt>
                <c:pt idx="458">
                  <c:v>0.80819672131147557</c:v>
                </c:pt>
                <c:pt idx="459">
                  <c:v>0.81092896174863394</c:v>
                </c:pt>
                <c:pt idx="460">
                  <c:v>0.81092896174863394</c:v>
                </c:pt>
                <c:pt idx="461">
                  <c:v>0.8114754098360657</c:v>
                </c:pt>
                <c:pt idx="462">
                  <c:v>0.81420765027322417</c:v>
                </c:pt>
                <c:pt idx="463">
                  <c:v>0.81584699453551912</c:v>
                </c:pt>
                <c:pt idx="464">
                  <c:v>0.81639344262295088</c:v>
                </c:pt>
                <c:pt idx="465">
                  <c:v>0.81912568306010947</c:v>
                </c:pt>
                <c:pt idx="466">
                  <c:v>0.81967213114754101</c:v>
                </c:pt>
                <c:pt idx="467">
                  <c:v>0.82076502732240442</c:v>
                </c:pt>
                <c:pt idx="468">
                  <c:v>0.82185792349726794</c:v>
                </c:pt>
                <c:pt idx="469">
                  <c:v>0.82404371584699465</c:v>
                </c:pt>
                <c:pt idx="470">
                  <c:v>0.82568306010928982</c:v>
                </c:pt>
                <c:pt idx="471">
                  <c:v>0.83278688524590183</c:v>
                </c:pt>
                <c:pt idx="472">
                  <c:v>0.83497267759562854</c:v>
                </c:pt>
                <c:pt idx="473">
                  <c:v>0.84043715846994549</c:v>
                </c:pt>
                <c:pt idx="474">
                  <c:v>0.84262295081967231</c:v>
                </c:pt>
                <c:pt idx="475">
                  <c:v>0.84371584699453561</c:v>
                </c:pt>
                <c:pt idx="476">
                  <c:v>0.84644808743169409</c:v>
                </c:pt>
                <c:pt idx="477">
                  <c:v>0.85300546448087455</c:v>
                </c:pt>
                <c:pt idx="478">
                  <c:v>0.85792349726775974</c:v>
                </c:pt>
                <c:pt idx="479">
                  <c:v>0.86010928961748645</c:v>
                </c:pt>
                <c:pt idx="480">
                  <c:v>0.8606557377049181</c:v>
                </c:pt>
                <c:pt idx="481">
                  <c:v>0.8617486338797814</c:v>
                </c:pt>
                <c:pt idx="482">
                  <c:v>0.86448087431693998</c:v>
                </c:pt>
                <c:pt idx="483">
                  <c:v>0.86721311475409846</c:v>
                </c:pt>
                <c:pt idx="484">
                  <c:v>0.87704918032786883</c:v>
                </c:pt>
                <c:pt idx="485">
                  <c:v>0.88032786885245917</c:v>
                </c:pt>
                <c:pt idx="486">
                  <c:v>0.88196721311475423</c:v>
                </c:pt>
                <c:pt idx="487">
                  <c:v>0.88579234972677612</c:v>
                </c:pt>
                <c:pt idx="488">
                  <c:v>0.88797814207650283</c:v>
                </c:pt>
                <c:pt idx="489">
                  <c:v>0.90655737704918027</c:v>
                </c:pt>
                <c:pt idx="490">
                  <c:v>0.92185792349726781</c:v>
                </c:pt>
                <c:pt idx="491">
                  <c:v>0.93661202185792369</c:v>
                </c:pt>
                <c:pt idx="492">
                  <c:v>0.93661202185792369</c:v>
                </c:pt>
                <c:pt idx="493">
                  <c:v>0.94153005464480877</c:v>
                </c:pt>
                <c:pt idx="494">
                  <c:v>0.94918032786885242</c:v>
                </c:pt>
                <c:pt idx="495">
                  <c:v>0.94972677595628441</c:v>
                </c:pt>
                <c:pt idx="496">
                  <c:v>0.96448087431693996</c:v>
                </c:pt>
                <c:pt idx="497">
                  <c:v>0.97158469945355208</c:v>
                </c:pt>
                <c:pt idx="498">
                  <c:v>0.97486338797814198</c:v>
                </c:pt>
                <c:pt idx="49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7D-4A54-A62E-ED7DD08BC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955216"/>
        <c:axId val="523956856"/>
        <c:axId val="452554072"/>
      </c:line3DChart>
      <c:catAx>
        <c:axId val="52395521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6856"/>
        <c:crosses val="autoZero"/>
        <c:auto val="1"/>
        <c:lblAlgn val="ctr"/>
        <c:lblOffset val="100"/>
        <c:noMultiLvlLbl val="0"/>
      </c:catAx>
      <c:valAx>
        <c:axId val="523956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5216"/>
        <c:crosses val="autoZero"/>
        <c:crossBetween val="between"/>
      </c:valAx>
      <c:serAx>
        <c:axId val="4525540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6856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466725</xdr:colOff>
      <xdr:row>0</xdr:row>
      <xdr:rowOff>104775</xdr:rowOff>
    </xdr:from>
    <xdr:to>
      <xdr:col>11</xdr:col>
      <xdr:colOff>466725</xdr:colOff>
      <xdr:row>14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95E2C64-A0EB-4FE1-9B47-E954C201F7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438150</xdr:colOff>
      <xdr:row>4</xdr:row>
      <xdr:rowOff>142875</xdr:rowOff>
    </xdr:from>
    <xdr:to>
      <xdr:col>11</xdr:col>
      <xdr:colOff>28575</xdr:colOff>
      <xdr:row>15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A63E84D-329B-4193-B4C8-AC4A75EA54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27</xdr:row>
      <xdr:rowOff>9525</xdr:rowOff>
    </xdr:from>
    <xdr:to>
      <xdr:col>6</xdr:col>
      <xdr:colOff>0</xdr:colOff>
      <xdr:row>41</xdr:row>
      <xdr:rowOff>85725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E38BD76-2024-4D04-A458-FBDE826032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3</xdr:row>
      <xdr:rowOff>133350</xdr:rowOff>
    </xdr:from>
    <xdr:to>
      <xdr:col>10</xdr:col>
      <xdr:colOff>47625</xdr:colOff>
      <xdr:row>18</xdr:row>
      <xdr:rowOff>19050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F637398-4715-482A-9E87-AF0912A293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18</xdr:row>
      <xdr:rowOff>19050</xdr:rowOff>
    </xdr:from>
    <xdr:to>
      <xdr:col>10</xdr:col>
      <xdr:colOff>19050</xdr:colOff>
      <xdr:row>32</xdr:row>
      <xdr:rowOff>95250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46F0C45-E4E0-4F53-802A-F5751A84EA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46</xdr:row>
      <xdr:rowOff>19050</xdr:rowOff>
    </xdr:from>
    <xdr:to>
      <xdr:col>8</xdr:col>
      <xdr:colOff>38100</xdr:colOff>
      <xdr:row>56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EFF9857-6FF4-4821-A685-5F171F5F83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59</xdr:row>
      <xdr:rowOff>0</xdr:rowOff>
    </xdr:from>
    <xdr:to>
      <xdr:col>8</xdr:col>
      <xdr:colOff>19050</xdr:colOff>
      <xdr:row>70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E1BC520-3553-42F2-B044-E836C3DCD8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266700</xdr:colOff>
      <xdr:row>13</xdr:row>
      <xdr:rowOff>57150</xdr:rowOff>
    </xdr:from>
    <xdr:to>
      <xdr:col>9</xdr:col>
      <xdr:colOff>390525</xdr:colOff>
      <xdr:row>30</xdr:row>
      <xdr:rowOff>38100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7643BF9-A0BF-4FE0-BD38-9960370E83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46</xdr:row>
      <xdr:rowOff>19050</xdr:rowOff>
    </xdr:from>
    <xdr:to>
      <xdr:col>8</xdr:col>
      <xdr:colOff>38100</xdr:colOff>
      <xdr:row>56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31B1329-BE53-4913-AC51-3BD3491DED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59</xdr:row>
      <xdr:rowOff>0</xdr:rowOff>
    </xdr:from>
    <xdr:to>
      <xdr:col>8</xdr:col>
      <xdr:colOff>19050</xdr:colOff>
      <xdr:row>70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0D49D5C-C318-480E-981F-3AFE006343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46</xdr:row>
      <xdr:rowOff>19050</xdr:rowOff>
    </xdr:from>
    <xdr:to>
      <xdr:col>8</xdr:col>
      <xdr:colOff>38100</xdr:colOff>
      <xdr:row>56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F5C1C7E-A647-4550-9E3D-A59D6D2820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59</xdr:row>
      <xdr:rowOff>0</xdr:rowOff>
    </xdr:from>
    <xdr:to>
      <xdr:col>8</xdr:col>
      <xdr:colOff>19050</xdr:colOff>
      <xdr:row>70</xdr:row>
      <xdr:rowOff>76200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73BE5F0-D853-4C71-9085-E4B8FB98EC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E18"/>
  <sheetViews>
    <sheetView workbookViewId="0">
      <selection activeCell="M15" sqref="M15"/>
    </sheetView>
  </sheetViews>
  <sheetFormatPr baseColWidth="10" defaultRowHeight="15" x14ac:dyDescent="0.25"/>
  <sheetData>
    <row r="4" spans="2:5" x14ac:dyDescent="0.25">
      <c r="B4" t="s">
        <v>0</v>
      </c>
      <c r="C4" t="s">
        <v>1</v>
      </c>
      <c r="D4">
        <v>10000</v>
      </c>
    </row>
    <row r="5" spans="2:5" x14ac:dyDescent="0.25">
      <c r="C5" t="s">
        <v>2</v>
      </c>
      <c r="D5">
        <v>20000</v>
      </c>
    </row>
    <row r="7" spans="2:5" x14ac:dyDescent="0.25">
      <c r="C7" t="s">
        <v>3</v>
      </c>
      <c r="D7" t="s">
        <v>4</v>
      </c>
      <c r="E7" t="s">
        <v>5</v>
      </c>
    </row>
    <row r="8" spans="2:5" x14ac:dyDescent="0.25">
      <c r="C8">
        <f>D4</f>
        <v>10000</v>
      </c>
      <c r="D8">
        <f>1/($D$5-$D$4)</f>
        <v>1E-4</v>
      </c>
      <c r="E8">
        <f>(C8-$D$4)/($D$5-$D$4)</f>
        <v>0</v>
      </c>
    </row>
    <row r="9" spans="2:5" x14ac:dyDescent="0.25">
      <c r="C9">
        <f>C8+1000</f>
        <v>11000</v>
      </c>
      <c r="D9">
        <f t="shared" ref="D9:D18" si="0">1/($D$5-$D$4)</f>
        <v>1E-4</v>
      </c>
      <c r="E9">
        <f t="shared" ref="E9:E18" si="1">(C9-$D$4)/($D$5-$D$4)</f>
        <v>0.1</v>
      </c>
    </row>
    <row r="10" spans="2:5" x14ac:dyDescent="0.25">
      <c r="C10">
        <f t="shared" ref="C10:C18" si="2">C9+1000</f>
        <v>12000</v>
      </c>
      <c r="D10">
        <f t="shared" si="0"/>
        <v>1E-4</v>
      </c>
      <c r="E10">
        <f t="shared" si="1"/>
        <v>0.2</v>
      </c>
    </row>
    <row r="11" spans="2:5" x14ac:dyDescent="0.25">
      <c r="C11">
        <f t="shared" si="2"/>
        <v>13000</v>
      </c>
      <c r="D11">
        <f t="shared" si="0"/>
        <v>1E-4</v>
      </c>
      <c r="E11">
        <f t="shared" si="1"/>
        <v>0.3</v>
      </c>
    </row>
    <row r="12" spans="2:5" x14ac:dyDescent="0.25">
      <c r="C12">
        <f t="shared" si="2"/>
        <v>14000</v>
      </c>
      <c r="D12">
        <f t="shared" si="0"/>
        <v>1E-4</v>
      </c>
      <c r="E12">
        <f t="shared" si="1"/>
        <v>0.4</v>
      </c>
    </row>
    <row r="13" spans="2:5" x14ac:dyDescent="0.25">
      <c r="C13">
        <f t="shared" si="2"/>
        <v>15000</v>
      </c>
      <c r="D13">
        <f t="shared" si="0"/>
        <v>1E-4</v>
      </c>
      <c r="E13">
        <f t="shared" si="1"/>
        <v>0.5</v>
      </c>
    </row>
    <row r="14" spans="2:5" x14ac:dyDescent="0.25">
      <c r="C14">
        <f t="shared" si="2"/>
        <v>16000</v>
      </c>
      <c r="D14">
        <f t="shared" si="0"/>
        <v>1E-4</v>
      </c>
      <c r="E14">
        <f t="shared" si="1"/>
        <v>0.6</v>
      </c>
    </row>
    <row r="15" spans="2:5" x14ac:dyDescent="0.25">
      <c r="C15">
        <f t="shared" si="2"/>
        <v>17000</v>
      </c>
      <c r="D15">
        <f t="shared" si="0"/>
        <v>1E-4</v>
      </c>
      <c r="E15">
        <f t="shared" si="1"/>
        <v>0.7</v>
      </c>
    </row>
    <row r="16" spans="2:5" x14ac:dyDescent="0.25">
      <c r="C16">
        <f t="shared" si="2"/>
        <v>18000</v>
      </c>
      <c r="D16">
        <f t="shared" si="0"/>
        <v>1E-4</v>
      </c>
      <c r="E16">
        <f t="shared" si="1"/>
        <v>0.8</v>
      </c>
    </row>
    <row r="17" spans="3:5" x14ac:dyDescent="0.25">
      <c r="C17">
        <f t="shared" si="2"/>
        <v>19000</v>
      </c>
      <c r="D17">
        <f t="shared" si="0"/>
        <v>1E-4</v>
      </c>
      <c r="E17">
        <f t="shared" si="1"/>
        <v>0.9</v>
      </c>
    </row>
    <row r="18" spans="3:5" x14ac:dyDescent="0.25">
      <c r="C18">
        <f t="shared" si="2"/>
        <v>20000</v>
      </c>
      <c r="D18">
        <f t="shared" si="0"/>
        <v>1E-4</v>
      </c>
      <c r="E18">
        <f t="shared" si="1"/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23"/>
  <sheetViews>
    <sheetView workbookViewId="0">
      <selection activeCell="G19" sqref="G19"/>
    </sheetView>
  </sheetViews>
  <sheetFormatPr baseColWidth="10" defaultRowHeight="15" x14ac:dyDescent="0.25"/>
  <sheetData>
    <row r="2" spans="1:5" x14ac:dyDescent="0.25">
      <c r="A2" t="s">
        <v>0</v>
      </c>
    </row>
    <row r="3" spans="1:5" x14ac:dyDescent="0.25">
      <c r="A3" t="s">
        <v>9</v>
      </c>
      <c r="B3" t="s">
        <v>6</v>
      </c>
      <c r="C3">
        <v>15</v>
      </c>
    </row>
    <row r="4" spans="1:5" x14ac:dyDescent="0.25">
      <c r="A4" t="s">
        <v>10</v>
      </c>
      <c r="B4" t="s">
        <v>7</v>
      </c>
      <c r="C4">
        <v>30</v>
      </c>
    </row>
    <row r="5" spans="1:5" x14ac:dyDescent="0.25">
      <c r="A5" t="s">
        <v>11</v>
      </c>
      <c r="B5" t="s">
        <v>8</v>
      </c>
      <c r="C5">
        <v>20</v>
      </c>
      <c r="E5" t="s">
        <v>12</v>
      </c>
    </row>
    <row r="6" spans="1:5" x14ac:dyDescent="0.25">
      <c r="E6" t="s">
        <v>13</v>
      </c>
    </row>
    <row r="7" spans="1:5" x14ac:dyDescent="0.25">
      <c r="B7" t="s">
        <v>3</v>
      </c>
      <c r="C7" t="s">
        <v>4</v>
      </c>
      <c r="E7" t="s">
        <v>14</v>
      </c>
    </row>
    <row r="8" spans="1:5" x14ac:dyDescent="0.25">
      <c r="B8" s="1">
        <f>C3</f>
        <v>15</v>
      </c>
      <c r="C8" s="2">
        <f>(2*(B8-$C$3))/($C$4-$C$3)*($C$5-$C$3)</f>
        <v>0</v>
      </c>
      <c r="E8" s="2">
        <f>((B8-$C$3)^2)/(($C$4-$C$3)*($C$5-$C$3))</f>
        <v>0</v>
      </c>
    </row>
    <row r="9" spans="1:5" x14ac:dyDescent="0.25">
      <c r="B9">
        <f>B8+1</f>
        <v>16</v>
      </c>
      <c r="C9" s="2">
        <f>(2*(B9-$C$3))/(($C$4-$C$3)*($C$5-$C$3))</f>
        <v>2.6666666666666668E-2</v>
      </c>
      <c r="E9" s="2">
        <f t="shared" ref="E9:E13" si="0">((B9-$C$3)^2)/(($C$4-$C$3)*($C$5-$C$3))</f>
        <v>1.3333333333333334E-2</v>
      </c>
    </row>
    <row r="10" spans="1:5" x14ac:dyDescent="0.25">
      <c r="B10">
        <f t="shared" ref="B10:B23" si="1">B9+1</f>
        <v>17</v>
      </c>
      <c r="C10" s="2">
        <f>(2*(B10-$C$3))/(($C$4-$C$3)*($C$5-$C$3))</f>
        <v>5.3333333333333337E-2</v>
      </c>
      <c r="E10" s="2">
        <f t="shared" si="0"/>
        <v>5.3333333333333337E-2</v>
      </c>
    </row>
    <row r="11" spans="1:5" x14ac:dyDescent="0.25">
      <c r="B11">
        <f t="shared" si="1"/>
        <v>18</v>
      </c>
      <c r="C11" s="2">
        <f t="shared" ref="C11:C13" si="2">(2*(B11-$C$3))/(($C$4-$C$3)*($C$5-$C$3))</f>
        <v>0.08</v>
      </c>
      <c r="E11" s="2">
        <f t="shared" si="0"/>
        <v>0.12</v>
      </c>
    </row>
    <row r="12" spans="1:5" x14ac:dyDescent="0.25">
      <c r="B12">
        <f t="shared" si="1"/>
        <v>19</v>
      </c>
      <c r="C12" s="2">
        <f t="shared" si="2"/>
        <v>0.10666666666666667</v>
      </c>
      <c r="E12" s="2">
        <f t="shared" si="0"/>
        <v>0.21333333333333335</v>
      </c>
    </row>
    <row r="13" spans="1:5" x14ac:dyDescent="0.25">
      <c r="B13" s="1">
        <f t="shared" si="1"/>
        <v>20</v>
      </c>
      <c r="C13" s="2">
        <f t="shared" si="2"/>
        <v>0.13333333333333333</v>
      </c>
      <c r="D13" s="4"/>
      <c r="E13" s="2">
        <f t="shared" si="0"/>
        <v>0.33333333333333331</v>
      </c>
    </row>
    <row r="14" spans="1:5" x14ac:dyDescent="0.25">
      <c r="B14">
        <f t="shared" si="1"/>
        <v>21</v>
      </c>
      <c r="C14" s="3">
        <f>(2*($C$4-B14))/(($C$4-$C$3)*($C$4-$C$5))</f>
        <v>0.12</v>
      </c>
      <c r="E14" s="2">
        <f>1-(($C$4-B14)^2/(($C$4-$C$3)*($C$4-$C$5)))</f>
        <v>0.45999999999999996</v>
      </c>
    </row>
    <row r="15" spans="1:5" x14ac:dyDescent="0.25">
      <c r="B15">
        <f t="shared" si="1"/>
        <v>22</v>
      </c>
      <c r="C15" s="3">
        <f t="shared" ref="C15:C23" si="3">(2*($C$4-B15))/(($C$4-$C$3)*($C$4-$C$5))</f>
        <v>0.10666666666666667</v>
      </c>
      <c r="E15" s="2">
        <f t="shared" ref="E15:E23" si="4">1-(($C$4-B15)^2/(($C$4-$C$3)*($C$4-$C$5)))</f>
        <v>0.57333333333333325</v>
      </c>
    </row>
    <row r="16" spans="1:5" x14ac:dyDescent="0.25">
      <c r="B16">
        <f t="shared" si="1"/>
        <v>23</v>
      </c>
      <c r="C16" s="3">
        <f t="shared" si="3"/>
        <v>9.3333333333333338E-2</v>
      </c>
      <c r="E16" s="2">
        <f t="shared" si="4"/>
        <v>0.67333333333333334</v>
      </c>
    </row>
    <row r="17" spans="2:5" x14ac:dyDescent="0.25">
      <c r="B17">
        <f t="shared" si="1"/>
        <v>24</v>
      </c>
      <c r="C17" s="3">
        <f t="shared" si="3"/>
        <v>0.08</v>
      </c>
      <c r="E17" s="2">
        <f t="shared" si="4"/>
        <v>0.76</v>
      </c>
    </row>
    <row r="18" spans="2:5" x14ac:dyDescent="0.25">
      <c r="B18">
        <f t="shared" si="1"/>
        <v>25</v>
      </c>
      <c r="C18" s="3">
        <f t="shared" si="3"/>
        <v>6.6666666666666666E-2</v>
      </c>
      <c r="E18" s="2">
        <f t="shared" si="4"/>
        <v>0.83333333333333337</v>
      </c>
    </row>
    <row r="19" spans="2:5" x14ac:dyDescent="0.25">
      <c r="B19">
        <f t="shared" si="1"/>
        <v>26</v>
      </c>
      <c r="C19" s="3">
        <f t="shared" si="3"/>
        <v>5.3333333333333337E-2</v>
      </c>
      <c r="E19" s="2">
        <f t="shared" si="4"/>
        <v>0.89333333333333331</v>
      </c>
    </row>
    <row r="20" spans="2:5" x14ac:dyDescent="0.25">
      <c r="B20">
        <f t="shared" si="1"/>
        <v>27</v>
      </c>
      <c r="C20" s="3">
        <f t="shared" si="3"/>
        <v>0.04</v>
      </c>
      <c r="E20" s="2">
        <f t="shared" si="4"/>
        <v>0.94</v>
      </c>
    </row>
    <row r="21" spans="2:5" x14ac:dyDescent="0.25">
      <c r="B21">
        <f t="shared" si="1"/>
        <v>28</v>
      </c>
      <c r="C21" s="3">
        <f t="shared" si="3"/>
        <v>2.6666666666666668E-2</v>
      </c>
      <c r="E21" s="2">
        <f t="shared" si="4"/>
        <v>0.97333333333333338</v>
      </c>
    </row>
    <row r="22" spans="2:5" x14ac:dyDescent="0.25">
      <c r="B22">
        <f t="shared" si="1"/>
        <v>29</v>
      </c>
      <c r="C22" s="3">
        <f t="shared" si="3"/>
        <v>1.3333333333333334E-2</v>
      </c>
      <c r="E22" s="2">
        <f t="shared" si="4"/>
        <v>0.99333333333333329</v>
      </c>
    </row>
    <row r="23" spans="2:5" x14ac:dyDescent="0.25">
      <c r="B23" s="1">
        <f t="shared" si="1"/>
        <v>30</v>
      </c>
      <c r="C23" s="3">
        <f t="shared" si="3"/>
        <v>0</v>
      </c>
      <c r="E23" s="2">
        <f t="shared" si="4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5"/>
  <sheetViews>
    <sheetView workbookViewId="0">
      <selection activeCell="A5" sqref="A5"/>
    </sheetView>
  </sheetViews>
  <sheetFormatPr baseColWidth="10" defaultRowHeight="15" x14ac:dyDescent="0.25"/>
  <sheetData>
    <row r="1" spans="1:3" x14ac:dyDescent="0.25">
      <c r="A1" t="s">
        <v>15</v>
      </c>
    </row>
    <row r="2" spans="1:3" x14ac:dyDescent="0.25">
      <c r="A2" t="s">
        <v>16</v>
      </c>
      <c r="B2">
        <v>3</v>
      </c>
    </row>
    <row r="4" spans="1:3" x14ac:dyDescent="0.25">
      <c r="A4" t="s">
        <v>3</v>
      </c>
      <c r="B4" t="s">
        <v>4</v>
      </c>
      <c r="C4" t="s">
        <v>17</v>
      </c>
    </row>
    <row r="5" spans="1:3" x14ac:dyDescent="0.25">
      <c r="A5">
        <v>0</v>
      </c>
      <c r="B5">
        <f>$B$2*EXP(-$B$2*A5)</f>
        <v>3</v>
      </c>
      <c r="C5">
        <f>1-EXP(-$B$2*A5)</f>
        <v>0</v>
      </c>
    </row>
    <row r="6" spans="1:3" x14ac:dyDescent="0.25">
      <c r="A6">
        <v>0.1</v>
      </c>
      <c r="B6">
        <f t="shared" ref="B6:B35" si="0">$B$2*EXP(-$B$2*A6)</f>
        <v>2.2224546620451537</v>
      </c>
      <c r="C6">
        <f t="shared" ref="C6:C35" si="1">1-EXP(-$B$2*A6)</f>
        <v>0.25918177931828212</v>
      </c>
    </row>
    <row r="7" spans="1:3" x14ac:dyDescent="0.25">
      <c r="A7">
        <v>0.2</v>
      </c>
      <c r="B7">
        <f t="shared" si="0"/>
        <v>1.6464349082820791</v>
      </c>
      <c r="C7">
        <f t="shared" si="1"/>
        <v>0.45118836390597361</v>
      </c>
    </row>
    <row r="8" spans="1:3" x14ac:dyDescent="0.25">
      <c r="A8">
        <v>0.3</v>
      </c>
      <c r="B8">
        <f t="shared" si="0"/>
        <v>1.2197089792217974</v>
      </c>
      <c r="C8">
        <f t="shared" si="1"/>
        <v>0.59343034025940078</v>
      </c>
    </row>
    <row r="9" spans="1:3" x14ac:dyDescent="0.25">
      <c r="A9">
        <v>0.4</v>
      </c>
      <c r="B9">
        <f t="shared" si="0"/>
        <v>0.90358263573660613</v>
      </c>
      <c r="C9">
        <f t="shared" si="1"/>
        <v>0.69880578808779803</v>
      </c>
    </row>
    <row r="10" spans="1:3" x14ac:dyDescent="0.25">
      <c r="A10">
        <v>0.5</v>
      </c>
      <c r="B10">
        <f t="shared" si="0"/>
        <v>0.66939048044528948</v>
      </c>
      <c r="C10">
        <f t="shared" si="1"/>
        <v>0.77686983985157021</v>
      </c>
    </row>
    <row r="11" spans="1:3" x14ac:dyDescent="0.25">
      <c r="A11">
        <v>0.6</v>
      </c>
      <c r="B11">
        <f t="shared" si="0"/>
        <v>0.49589666466475968</v>
      </c>
      <c r="C11">
        <f t="shared" si="1"/>
        <v>0.83470111177841344</v>
      </c>
    </row>
    <row r="12" spans="1:3" x14ac:dyDescent="0.25">
      <c r="A12">
        <v>0.7</v>
      </c>
      <c r="B12">
        <f t="shared" si="0"/>
        <v>0.36736928475894581</v>
      </c>
      <c r="C12">
        <f t="shared" si="1"/>
        <v>0.87754357174701803</v>
      </c>
    </row>
    <row r="13" spans="1:3" x14ac:dyDescent="0.25">
      <c r="A13">
        <v>0.8</v>
      </c>
      <c r="B13">
        <f t="shared" si="0"/>
        <v>0.27215385986823742</v>
      </c>
      <c r="C13">
        <f t="shared" si="1"/>
        <v>0.90928204671058754</v>
      </c>
    </row>
    <row r="14" spans="1:3" x14ac:dyDescent="0.25">
      <c r="A14">
        <v>0.9</v>
      </c>
      <c r="B14">
        <f t="shared" si="0"/>
        <v>0.20161653821924927</v>
      </c>
      <c r="C14">
        <f t="shared" si="1"/>
        <v>0.93279448726025027</v>
      </c>
    </row>
    <row r="15" spans="1:3" x14ac:dyDescent="0.25">
      <c r="A15">
        <v>1</v>
      </c>
      <c r="B15">
        <f t="shared" si="0"/>
        <v>0.14936120510359183</v>
      </c>
      <c r="C15">
        <f t="shared" si="1"/>
        <v>0.95021293163213605</v>
      </c>
    </row>
    <row r="16" spans="1:3" x14ac:dyDescent="0.25">
      <c r="A16">
        <v>1.1000000000000001</v>
      </c>
      <c r="B16">
        <f t="shared" si="0"/>
        <v>0.11064950220371998</v>
      </c>
      <c r="C16">
        <f t="shared" si="1"/>
        <v>0.96311683259876002</v>
      </c>
    </row>
    <row r="17" spans="1:12" x14ac:dyDescent="0.25">
      <c r="A17">
        <v>1.2</v>
      </c>
      <c r="B17">
        <f t="shared" si="0"/>
        <v>8.1971167341877704E-2</v>
      </c>
      <c r="C17">
        <f t="shared" si="1"/>
        <v>0.97267627755270747</v>
      </c>
    </row>
    <row r="18" spans="1:12" x14ac:dyDescent="0.25">
      <c r="A18">
        <v>1.3</v>
      </c>
      <c r="B18">
        <f t="shared" si="0"/>
        <v>6.0725734337413143E-2</v>
      </c>
      <c r="C18">
        <f t="shared" si="1"/>
        <v>0.97975808855419566</v>
      </c>
    </row>
    <row r="19" spans="1:12" x14ac:dyDescent="0.25">
      <c r="A19">
        <v>1.4</v>
      </c>
      <c r="B19">
        <f t="shared" si="0"/>
        <v>4.4986730461433151E-2</v>
      </c>
      <c r="C19">
        <f t="shared" si="1"/>
        <v>0.9850044231795223</v>
      </c>
    </row>
    <row r="20" spans="1:12" x14ac:dyDescent="0.25">
      <c r="A20">
        <v>1.5</v>
      </c>
      <c r="B20">
        <f t="shared" si="0"/>
        <v>3.3326989614726917E-2</v>
      </c>
      <c r="C20">
        <f t="shared" si="1"/>
        <v>0.98889100346175773</v>
      </c>
    </row>
    <row r="21" spans="1:12" x14ac:dyDescent="0.25">
      <c r="A21">
        <v>1.6</v>
      </c>
      <c r="B21">
        <f t="shared" si="0"/>
        <v>2.468924114706007E-2</v>
      </c>
      <c r="C21">
        <f t="shared" si="1"/>
        <v>0.99177025295097998</v>
      </c>
    </row>
    <row r="22" spans="1:12" x14ac:dyDescent="0.25">
      <c r="A22">
        <v>1.7</v>
      </c>
      <c r="B22">
        <f t="shared" si="0"/>
        <v>1.8290239696546914E-2</v>
      </c>
      <c r="C22">
        <f t="shared" si="1"/>
        <v>0.99390325343448438</v>
      </c>
    </row>
    <row r="23" spans="1:12" x14ac:dyDescent="0.25">
      <c r="A23">
        <v>1.8</v>
      </c>
      <c r="B23">
        <f t="shared" si="0"/>
        <v>1.3549742827837998E-2</v>
      </c>
      <c r="C23">
        <f t="shared" si="1"/>
        <v>0.99548341905738735</v>
      </c>
    </row>
    <row r="24" spans="1:12" x14ac:dyDescent="0.25">
      <c r="A24">
        <v>1.9</v>
      </c>
      <c r="B24">
        <f t="shared" si="0"/>
        <v>1.0037896372413825E-2</v>
      </c>
      <c r="C24">
        <f t="shared" si="1"/>
        <v>0.99665403454252877</v>
      </c>
      <c r="L24" s="5"/>
    </row>
    <row r="25" spans="1:12" x14ac:dyDescent="0.25">
      <c r="A25">
        <v>2</v>
      </c>
      <c r="B25">
        <f t="shared" si="0"/>
        <v>7.4362565299990755E-3</v>
      </c>
      <c r="C25">
        <f t="shared" si="1"/>
        <v>0.99752124782333362</v>
      </c>
    </row>
    <row r="26" spans="1:12" x14ac:dyDescent="0.25">
      <c r="A26">
        <v>2.1</v>
      </c>
      <c r="B26">
        <f t="shared" si="0"/>
        <v>5.5089143310867172E-3</v>
      </c>
      <c r="C26">
        <f t="shared" si="1"/>
        <v>0.9981636952229711</v>
      </c>
    </row>
    <row r="27" spans="1:12" x14ac:dyDescent="0.25">
      <c r="A27">
        <v>2.2000000000000002</v>
      </c>
      <c r="B27">
        <f t="shared" si="0"/>
        <v>4.0811041126436786E-3</v>
      </c>
      <c r="C27">
        <f t="shared" si="1"/>
        <v>0.99863963196245209</v>
      </c>
    </row>
    <row r="28" spans="1:12" x14ac:dyDescent="0.25">
      <c r="A28">
        <v>2.2999999999999998</v>
      </c>
      <c r="B28">
        <f t="shared" si="0"/>
        <v>3.023356287145534E-3</v>
      </c>
      <c r="C28">
        <f t="shared" si="1"/>
        <v>0.99899221457095144</v>
      </c>
    </row>
    <row r="29" spans="1:12" x14ac:dyDescent="0.25">
      <c r="A29">
        <v>2.4</v>
      </c>
      <c r="B29">
        <f t="shared" si="0"/>
        <v>2.2397574251300395E-3</v>
      </c>
      <c r="C29">
        <f t="shared" si="1"/>
        <v>0.99925341419162328</v>
      </c>
    </row>
    <row r="30" spans="1:12" x14ac:dyDescent="0.25">
      <c r="A30">
        <v>2.5</v>
      </c>
      <c r="B30">
        <f t="shared" si="0"/>
        <v>1.659253110443501E-3</v>
      </c>
      <c r="C30">
        <f t="shared" si="1"/>
        <v>0.99944691562985222</v>
      </c>
    </row>
    <row r="31" spans="1:12" x14ac:dyDescent="0.25">
      <c r="A31">
        <v>2.6</v>
      </c>
      <c r="B31">
        <f t="shared" si="0"/>
        <v>1.2292049369393592E-3</v>
      </c>
      <c r="C31">
        <f t="shared" si="1"/>
        <v>0.99959026502102022</v>
      </c>
    </row>
    <row r="32" spans="1:12" x14ac:dyDescent="0.25">
      <c r="A32">
        <v>2.7</v>
      </c>
      <c r="B32">
        <f t="shared" si="0"/>
        <v>9.1061741423659865E-4</v>
      </c>
      <c r="C32">
        <f t="shared" si="1"/>
        <v>0.9996964608619211</v>
      </c>
    </row>
    <row r="33" spans="1:3" x14ac:dyDescent="0.25">
      <c r="A33">
        <v>2.8</v>
      </c>
      <c r="B33">
        <f t="shared" si="0"/>
        <v>6.746019725365458E-4</v>
      </c>
      <c r="C33">
        <f t="shared" si="1"/>
        <v>0.99977513267582119</v>
      </c>
    </row>
    <row r="34" spans="1:3" x14ac:dyDescent="0.25">
      <c r="A34">
        <v>2.9</v>
      </c>
      <c r="B34">
        <f t="shared" si="0"/>
        <v>4.9975743296290065E-4</v>
      </c>
      <c r="C34">
        <f t="shared" si="1"/>
        <v>0.99983341418901239</v>
      </c>
    </row>
    <row r="35" spans="1:3" x14ac:dyDescent="0.25">
      <c r="A35">
        <v>3</v>
      </c>
      <c r="B35">
        <f t="shared" si="0"/>
        <v>3.7022941226003868E-4</v>
      </c>
      <c r="C35">
        <f t="shared" si="1"/>
        <v>0.99987659019591335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P508"/>
  <sheetViews>
    <sheetView topLeftCell="B1" workbookViewId="0">
      <selection activeCell="I13" sqref="I13"/>
    </sheetView>
  </sheetViews>
  <sheetFormatPr baseColWidth="10" defaultRowHeight="15" x14ac:dyDescent="0.25"/>
  <cols>
    <col min="8" max="8" width="11.85546875" customWidth="1"/>
    <col min="13" max="13" width="13.5703125" customWidth="1"/>
    <col min="14" max="14" width="14.42578125" customWidth="1"/>
    <col min="15" max="15" width="12.7109375" customWidth="1"/>
  </cols>
  <sheetData>
    <row r="2" spans="2:16" x14ac:dyDescent="0.25">
      <c r="E2" t="s">
        <v>48</v>
      </c>
      <c r="J2" s="17" t="s">
        <v>36</v>
      </c>
      <c r="K2" s="17"/>
      <c r="L2" s="17"/>
      <c r="M2" s="17"/>
      <c r="N2" s="17"/>
    </row>
    <row r="3" spans="2:16" x14ac:dyDescent="0.25">
      <c r="E3" t="s">
        <v>54</v>
      </c>
      <c r="K3" t="s">
        <v>42</v>
      </c>
      <c r="L3" t="s">
        <v>39</v>
      </c>
      <c r="M3" t="s">
        <v>40</v>
      </c>
      <c r="N3" t="s">
        <v>44</v>
      </c>
      <c r="O3" t="s">
        <v>10</v>
      </c>
    </row>
    <row r="4" spans="2:16" ht="21" x14ac:dyDescent="0.35">
      <c r="B4" s="6" t="s">
        <v>18</v>
      </c>
      <c r="J4" s="15" t="s">
        <v>3</v>
      </c>
      <c r="K4" s="15" t="s">
        <v>41</v>
      </c>
      <c r="L4" s="15" t="s">
        <v>37</v>
      </c>
      <c r="M4" s="15" t="s">
        <v>38</v>
      </c>
      <c r="N4" s="15" t="s">
        <v>43</v>
      </c>
      <c r="O4" s="15" t="s">
        <v>50</v>
      </c>
      <c r="P4" s="15" t="s">
        <v>49</v>
      </c>
    </row>
    <row r="5" spans="2:16" ht="15.75" thickBot="1" x14ac:dyDescent="0.3">
      <c r="B5" s="7">
        <v>19.350000000000001</v>
      </c>
      <c r="J5" s="7">
        <v>14.31</v>
      </c>
      <c r="K5">
        <v>1</v>
      </c>
      <c r="L5">
        <f>K5/$E$20</f>
        <v>2E-3</v>
      </c>
      <c r="M5">
        <f>L5</f>
        <v>2E-3</v>
      </c>
      <c r="N5">
        <f>1-EXP(-$H$11*J5)</f>
        <v>0.43675540673019708</v>
      </c>
      <c r="O5">
        <f>ABS(M5-N5)</f>
        <v>0.43475540673019708</v>
      </c>
    </row>
    <row r="6" spans="2:16" x14ac:dyDescent="0.25">
      <c r="B6" s="7">
        <v>24.37</v>
      </c>
      <c r="D6" s="11" t="s">
        <v>19</v>
      </c>
      <c r="E6" s="11"/>
      <c r="G6" s="12" t="s">
        <v>45</v>
      </c>
      <c r="J6" s="7">
        <v>15.16</v>
      </c>
      <c r="K6">
        <v>1</v>
      </c>
      <c r="L6">
        <f t="shared" ref="L6:L69" si="0">K6/$E$20</f>
        <v>2E-3</v>
      </c>
      <c r="M6">
        <f>M5+L6</f>
        <v>4.0000000000000001E-3</v>
      </c>
      <c r="N6">
        <f t="shared" ref="N6:N69" si="1">1-EXP(-$H$11*J6)</f>
        <v>0.45563689939258911</v>
      </c>
      <c r="O6">
        <f t="shared" ref="O6:O69" si="2">ABS(M6-N6)</f>
        <v>0.45163689939258911</v>
      </c>
    </row>
    <row r="7" spans="2:16" x14ac:dyDescent="0.25">
      <c r="B7" s="7">
        <v>25.2</v>
      </c>
      <c r="D7" s="8"/>
      <c r="E7" s="8"/>
      <c r="F7" s="13" t="s">
        <v>46</v>
      </c>
      <c r="G7" t="s">
        <v>9</v>
      </c>
      <c r="H7">
        <f>MIN(J5:J504)</f>
        <v>14.31</v>
      </c>
      <c r="J7" s="7">
        <v>16.43</v>
      </c>
      <c r="K7">
        <v>1</v>
      </c>
      <c r="L7">
        <f t="shared" si="0"/>
        <v>2E-3</v>
      </c>
      <c r="M7">
        <f t="shared" ref="M7:M70" si="3">M6+L7</f>
        <v>6.0000000000000001E-3</v>
      </c>
      <c r="N7">
        <f t="shared" si="1"/>
        <v>0.4826752477921018</v>
      </c>
      <c r="O7">
        <f t="shared" si="2"/>
        <v>0.4766752477921018</v>
      </c>
    </row>
    <row r="8" spans="2:16" x14ac:dyDescent="0.25">
      <c r="B8" s="7">
        <v>24.91</v>
      </c>
      <c r="D8" s="8" t="s">
        <v>20</v>
      </c>
      <c r="E8" s="8">
        <v>24.928520000000013</v>
      </c>
      <c r="F8" s="13" t="s">
        <v>47</v>
      </c>
      <c r="G8" t="s">
        <v>10</v>
      </c>
      <c r="H8">
        <f>MAX(J5:J504)</f>
        <v>32.61</v>
      </c>
      <c r="J8" s="7">
        <v>17</v>
      </c>
      <c r="K8">
        <v>1</v>
      </c>
      <c r="L8">
        <f t="shared" si="0"/>
        <v>2E-3</v>
      </c>
      <c r="M8">
        <f t="shared" si="3"/>
        <v>8.0000000000000002E-3</v>
      </c>
      <c r="N8">
        <f t="shared" si="1"/>
        <v>0.49436986271635064</v>
      </c>
      <c r="O8">
        <f t="shared" si="2"/>
        <v>0.48636986271635063</v>
      </c>
    </row>
    <row r="9" spans="2:16" x14ac:dyDescent="0.25">
      <c r="B9" s="7">
        <v>29.16</v>
      </c>
      <c r="D9" s="8" t="s">
        <v>21</v>
      </c>
      <c r="E9" s="8">
        <v>0.13643978616846866</v>
      </c>
      <c r="J9" s="7">
        <v>17.52</v>
      </c>
      <c r="K9">
        <v>1</v>
      </c>
      <c r="L9">
        <f t="shared" si="0"/>
        <v>2E-3</v>
      </c>
      <c r="M9">
        <f t="shared" si="3"/>
        <v>0.01</v>
      </c>
      <c r="N9">
        <f>1-EXP(-$H$11*J9)</f>
        <v>0.50480788116066955</v>
      </c>
      <c r="O9">
        <f t="shared" si="2"/>
        <v>0.49480788116066954</v>
      </c>
    </row>
    <row r="10" spans="2:16" x14ac:dyDescent="0.25">
      <c r="B10" s="7">
        <v>26.01</v>
      </c>
      <c r="D10" s="8" t="s">
        <v>22</v>
      </c>
      <c r="E10" s="8">
        <v>24.84</v>
      </c>
      <c r="G10" t="s">
        <v>55</v>
      </c>
      <c r="J10" s="7">
        <v>17.739999999999998</v>
      </c>
      <c r="K10">
        <v>1</v>
      </c>
      <c r="L10">
        <f t="shared" si="0"/>
        <v>2E-3</v>
      </c>
      <c r="M10">
        <f t="shared" si="3"/>
        <v>1.2E-2</v>
      </c>
      <c r="N10">
        <f t="shared" si="1"/>
        <v>0.50915883969089171</v>
      </c>
      <c r="O10">
        <f t="shared" si="2"/>
        <v>0.4971588396908917</v>
      </c>
    </row>
    <row r="11" spans="2:16" x14ac:dyDescent="0.25">
      <c r="B11" s="7">
        <v>21.89</v>
      </c>
      <c r="D11" s="8" t="s">
        <v>23</v>
      </c>
      <c r="E11" s="8">
        <v>27.23</v>
      </c>
      <c r="G11" t="s">
        <v>16</v>
      </c>
      <c r="H11">
        <f>1/E8</f>
        <v>4.0114695938627702E-2</v>
      </c>
      <c r="J11" s="7">
        <v>17.93</v>
      </c>
      <c r="K11">
        <v>1</v>
      </c>
      <c r="L11">
        <f t="shared" si="0"/>
        <v>2E-3</v>
      </c>
      <c r="M11">
        <f t="shared" si="3"/>
        <v>1.4E-2</v>
      </c>
      <c r="N11">
        <f t="shared" si="1"/>
        <v>0.5128857082811904</v>
      </c>
      <c r="O11">
        <f t="shared" si="2"/>
        <v>0.49888570828119039</v>
      </c>
    </row>
    <row r="12" spans="2:16" x14ac:dyDescent="0.25">
      <c r="B12" s="7">
        <v>21.3</v>
      </c>
      <c r="D12" s="8" t="s">
        <v>24</v>
      </c>
      <c r="E12" s="8">
        <v>3.0508863670823154</v>
      </c>
      <c r="J12" s="7">
        <v>18.27</v>
      </c>
      <c r="K12">
        <v>1</v>
      </c>
      <c r="L12">
        <f t="shared" si="0"/>
        <v>2E-3</v>
      </c>
      <c r="M12">
        <f t="shared" si="3"/>
        <v>1.6E-2</v>
      </c>
      <c r="N12">
        <f t="shared" si="1"/>
        <v>0.51948435669640525</v>
      </c>
      <c r="O12">
        <f t="shared" si="2"/>
        <v>0.50348435669640523</v>
      </c>
    </row>
    <row r="13" spans="2:16" x14ac:dyDescent="0.25">
      <c r="B13" s="7">
        <v>26.46</v>
      </c>
      <c r="D13" s="8" t="s">
        <v>25</v>
      </c>
      <c r="E13" s="8">
        <v>9.3079076248487294</v>
      </c>
      <c r="J13" s="7">
        <v>18.28</v>
      </c>
      <c r="K13">
        <v>1</v>
      </c>
      <c r="L13">
        <f t="shared" si="0"/>
        <v>2E-3</v>
      </c>
      <c r="M13">
        <f t="shared" si="3"/>
        <v>1.8000000000000002E-2</v>
      </c>
      <c r="N13">
        <f t="shared" si="1"/>
        <v>0.51967707542880304</v>
      </c>
      <c r="O13">
        <f t="shared" si="2"/>
        <v>0.50167707542880302</v>
      </c>
    </row>
    <row r="14" spans="2:16" x14ac:dyDescent="0.25">
      <c r="B14" s="7">
        <v>21.56</v>
      </c>
      <c r="D14" s="8" t="s">
        <v>26</v>
      </c>
      <c r="E14" s="8">
        <v>-7.5958871966522956E-2</v>
      </c>
      <c r="J14" s="7">
        <v>18.28</v>
      </c>
      <c r="K14">
        <v>1</v>
      </c>
      <c r="L14">
        <f t="shared" si="0"/>
        <v>2E-3</v>
      </c>
      <c r="M14">
        <f t="shared" si="3"/>
        <v>2.0000000000000004E-2</v>
      </c>
      <c r="N14">
        <f t="shared" si="1"/>
        <v>0.51967707542880304</v>
      </c>
      <c r="O14">
        <f t="shared" si="2"/>
        <v>0.49967707542880302</v>
      </c>
    </row>
    <row r="15" spans="2:16" x14ac:dyDescent="0.25">
      <c r="B15" s="7">
        <v>22.49</v>
      </c>
      <c r="D15" s="8" t="s">
        <v>27</v>
      </c>
      <c r="E15" s="8">
        <v>-0.12956245557651511</v>
      </c>
      <c r="J15" s="7">
        <v>18.38</v>
      </c>
      <c r="K15">
        <v>1</v>
      </c>
      <c r="L15">
        <f t="shared" si="0"/>
        <v>2E-3</v>
      </c>
      <c r="M15">
        <f t="shared" si="3"/>
        <v>2.2000000000000006E-2</v>
      </c>
      <c r="N15">
        <f t="shared" si="1"/>
        <v>0.52160001674699541</v>
      </c>
      <c r="O15">
        <f t="shared" si="2"/>
        <v>0.49960001674699539</v>
      </c>
    </row>
    <row r="16" spans="2:16" x14ac:dyDescent="0.25">
      <c r="B16" s="7">
        <v>25.54</v>
      </c>
      <c r="D16" s="8" t="s">
        <v>28</v>
      </c>
      <c r="E16" s="8">
        <v>18.299999999999997</v>
      </c>
      <c r="J16" s="7">
        <v>18.55</v>
      </c>
      <c r="K16">
        <v>1</v>
      </c>
      <c r="L16">
        <f t="shared" si="0"/>
        <v>2E-3</v>
      </c>
      <c r="M16">
        <f t="shared" si="3"/>
        <v>2.4000000000000007E-2</v>
      </c>
      <c r="N16">
        <f t="shared" si="1"/>
        <v>0.52485136573913493</v>
      </c>
      <c r="O16">
        <f t="shared" si="2"/>
        <v>0.50085136573913491</v>
      </c>
    </row>
    <row r="17" spans="2:15" x14ac:dyDescent="0.25">
      <c r="B17" s="7">
        <v>28.01</v>
      </c>
      <c r="D17" s="8" t="s">
        <v>29</v>
      </c>
      <c r="E17" s="8">
        <v>14.31</v>
      </c>
      <c r="J17" s="7">
        <v>18.920000000000002</v>
      </c>
      <c r="K17">
        <v>1</v>
      </c>
      <c r="L17">
        <f t="shared" si="0"/>
        <v>2E-3</v>
      </c>
      <c r="M17">
        <f t="shared" si="3"/>
        <v>2.6000000000000009E-2</v>
      </c>
      <c r="N17">
        <f t="shared" si="1"/>
        <v>0.53185165048875227</v>
      </c>
      <c r="O17">
        <f t="shared" si="2"/>
        <v>0.50585165048875225</v>
      </c>
    </row>
    <row r="18" spans="2:15" x14ac:dyDescent="0.25">
      <c r="B18" s="7">
        <v>28.47</v>
      </c>
      <c r="D18" s="8" t="s">
        <v>30</v>
      </c>
      <c r="E18" s="8">
        <v>32.61</v>
      </c>
      <c r="J18" s="7">
        <v>18.93</v>
      </c>
      <c r="K18">
        <v>1</v>
      </c>
      <c r="L18">
        <f t="shared" si="0"/>
        <v>2E-3</v>
      </c>
      <c r="M18">
        <f t="shared" si="3"/>
        <v>2.8000000000000011E-2</v>
      </c>
      <c r="N18">
        <f t="shared" si="1"/>
        <v>0.53203940911378189</v>
      </c>
      <c r="O18">
        <f t="shared" si="2"/>
        <v>0.50403940911378187</v>
      </c>
    </row>
    <row r="19" spans="2:15" x14ac:dyDescent="0.25">
      <c r="B19" s="7">
        <v>27.09</v>
      </c>
      <c r="D19" s="8" t="s">
        <v>31</v>
      </c>
      <c r="E19" s="8">
        <v>12464.260000000006</v>
      </c>
      <c r="J19" s="7">
        <v>19.28</v>
      </c>
      <c r="K19">
        <v>1</v>
      </c>
      <c r="L19">
        <f t="shared" si="0"/>
        <v>2E-3</v>
      </c>
      <c r="M19">
        <f t="shared" si="3"/>
        <v>3.0000000000000013E-2</v>
      </c>
      <c r="N19">
        <f t="shared" si="1"/>
        <v>0.53856373459006368</v>
      </c>
      <c r="O19">
        <f t="shared" si="2"/>
        <v>0.50856373459006365</v>
      </c>
    </row>
    <row r="20" spans="2:15" ht="15.75" thickBot="1" x14ac:dyDescent="0.3">
      <c r="B20" s="7">
        <v>21.02</v>
      </c>
      <c r="D20" s="9" t="s">
        <v>32</v>
      </c>
      <c r="E20" s="9">
        <v>500</v>
      </c>
      <c r="J20" s="7">
        <v>19.350000000000001</v>
      </c>
      <c r="K20">
        <v>1</v>
      </c>
      <c r="L20">
        <f t="shared" si="0"/>
        <v>2E-3</v>
      </c>
      <c r="M20">
        <f t="shared" si="3"/>
        <v>3.2000000000000015E-2</v>
      </c>
      <c r="N20">
        <f t="shared" si="1"/>
        <v>0.53985764335710673</v>
      </c>
      <c r="O20">
        <f t="shared" si="2"/>
        <v>0.5078576433571067</v>
      </c>
    </row>
    <row r="21" spans="2:15" ht="15.75" thickBot="1" x14ac:dyDescent="0.3">
      <c r="B21" s="7">
        <v>28.51</v>
      </c>
      <c r="J21" s="7">
        <v>19.45</v>
      </c>
      <c r="K21">
        <v>1</v>
      </c>
      <c r="L21">
        <f t="shared" si="0"/>
        <v>2E-3</v>
      </c>
      <c r="M21">
        <f t="shared" si="3"/>
        <v>3.4000000000000016E-2</v>
      </c>
      <c r="N21">
        <f t="shared" si="1"/>
        <v>0.54169979309549166</v>
      </c>
      <c r="O21">
        <f t="shared" si="2"/>
        <v>0.50769979309549162</v>
      </c>
    </row>
    <row r="22" spans="2:15" x14ac:dyDescent="0.25">
      <c r="B22" s="7">
        <v>24.75</v>
      </c>
      <c r="D22" s="10" t="s">
        <v>33</v>
      </c>
      <c r="E22" s="10" t="s">
        <v>35</v>
      </c>
      <c r="J22" s="7">
        <v>19.489999999999998</v>
      </c>
      <c r="K22">
        <v>1</v>
      </c>
      <c r="L22">
        <f t="shared" si="0"/>
        <v>2E-3</v>
      </c>
      <c r="M22">
        <f t="shared" si="3"/>
        <v>3.6000000000000018E-2</v>
      </c>
      <c r="N22">
        <f t="shared" si="1"/>
        <v>0.5424345863556147</v>
      </c>
      <c r="O22">
        <f t="shared" si="2"/>
        <v>0.50643458635561467</v>
      </c>
    </row>
    <row r="23" spans="2:15" x14ac:dyDescent="0.25">
      <c r="B23" s="7">
        <v>24.06</v>
      </c>
      <c r="D23" s="8">
        <v>14.31</v>
      </c>
      <c r="E23" s="8">
        <v>1</v>
      </c>
      <c r="J23" s="7">
        <v>19.5</v>
      </c>
      <c r="K23">
        <v>1</v>
      </c>
      <c r="L23">
        <f t="shared" si="0"/>
        <v>2E-3</v>
      </c>
      <c r="M23">
        <f t="shared" si="3"/>
        <v>3.800000000000002E-2</v>
      </c>
      <c r="N23">
        <f t="shared" si="1"/>
        <v>0.54261810051948323</v>
      </c>
      <c r="O23">
        <f t="shared" si="2"/>
        <v>0.50461810051948319</v>
      </c>
    </row>
    <row r="24" spans="2:15" x14ac:dyDescent="0.25">
      <c r="B24" s="7">
        <v>25.6</v>
      </c>
      <c r="D24" s="8">
        <v>15.141818181818183</v>
      </c>
      <c r="E24" s="8">
        <v>0</v>
      </c>
      <c r="J24" s="7">
        <v>19.61</v>
      </c>
      <c r="K24">
        <v>1</v>
      </c>
      <c r="L24">
        <f t="shared" si="0"/>
        <v>2E-3</v>
      </c>
      <c r="M24">
        <f t="shared" si="3"/>
        <v>4.0000000000000022E-2</v>
      </c>
      <c r="N24">
        <f t="shared" si="1"/>
        <v>0.54463190511893633</v>
      </c>
      <c r="O24">
        <f t="shared" si="2"/>
        <v>0.5046319051189363</v>
      </c>
    </row>
    <row r="25" spans="2:15" x14ac:dyDescent="0.25">
      <c r="B25" s="7">
        <v>27.79</v>
      </c>
      <c r="D25" s="8">
        <v>15.973636363636365</v>
      </c>
      <c r="E25" s="8">
        <v>1</v>
      </c>
      <c r="J25" s="7">
        <v>19.88</v>
      </c>
      <c r="K25">
        <v>1</v>
      </c>
      <c r="L25">
        <f t="shared" si="0"/>
        <v>2E-3</v>
      </c>
      <c r="M25">
        <f t="shared" si="3"/>
        <v>4.2000000000000023E-2</v>
      </c>
      <c r="N25">
        <f t="shared" si="1"/>
        <v>0.54953736892348182</v>
      </c>
      <c r="O25">
        <f t="shared" si="2"/>
        <v>0.50753736892348178</v>
      </c>
    </row>
    <row r="26" spans="2:15" x14ac:dyDescent="0.25">
      <c r="B26" s="7">
        <v>20.73</v>
      </c>
      <c r="D26" s="8">
        <v>16.805454545454545</v>
      </c>
      <c r="E26" s="8">
        <v>1</v>
      </c>
      <c r="J26" s="7">
        <v>19.93</v>
      </c>
      <c r="K26">
        <v>1</v>
      </c>
      <c r="L26">
        <f t="shared" si="0"/>
        <v>2E-3</v>
      </c>
      <c r="M26">
        <f t="shared" si="3"/>
        <v>4.4000000000000025E-2</v>
      </c>
      <c r="N26">
        <f t="shared" si="1"/>
        <v>0.55043997200355088</v>
      </c>
      <c r="O26">
        <f t="shared" si="2"/>
        <v>0.50643997200355084</v>
      </c>
    </row>
    <row r="27" spans="2:15" x14ac:dyDescent="0.25">
      <c r="B27" s="7">
        <v>22.84</v>
      </c>
      <c r="D27" s="8">
        <v>17.637272727272727</v>
      </c>
      <c r="E27" s="8">
        <v>2</v>
      </c>
      <c r="J27" s="7">
        <v>19.989999999999998</v>
      </c>
      <c r="K27">
        <v>1</v>
      </c>
      <c r="L27">
        <f t="shared" si="0"/>
        <v>2E-3</v>
      </c>
      <c r="M27">
        <f t="shared" si="3"/>
        <v>4.6000000000000027E-2</v>
      </c>
      <c r="N27">
        <f t="shared" si="1"/>
        <v>0.55152070870884273</v>
      </c>
      <c r="O27">
        <f t="shared" si="2"/>
        <v>0.50552070870884269</v>
      </c>
    </row>
    <row r="28" spans="2:15" x14ac:dyDescent="0.25">
      <c r="B28" s="7">
        <v>28.14</v>
      </c>
      <c r="D28" s="8">
        <v>18.469090909090909</v>
      </c>
      <c r="E28" s="8">
        <v>6</v>
      </c>
      <c r="J28" s="7">
        <v>20</v>
      </c>
      <c r="K28">
        <v>1</v>
      </c>
      <c r="L28">
        <f t="shared" si="0"/>
        <v>2E-3</v>
      </c>
      <c r="M28">
        <f t="shared" si="3"/>
        <v>4.8000000000000029E-2</v>
      </c>
      <c r="N28">
        <f t="shared" si="1"/>
        <v>0.55170057873332323</v>
      </c>
      <c r="O28">
        <f t="shared" si="2"/>
        <v>0.50370057873332319</v>
      </c>
    </row>
    <row r="29" spans="2:15" x14ac:dyDescent="0.25">
      <c r="B29" s="7">
        <v>26.44</v>
      </c>
      <c r="D29" s="8">
        <v>19.300909090909091</v>
      </c>
      <c r="E29" s="8">
        <v>4</v>
      </c>
      <c r="J29" s="7">
        <v>20.27</v>
      </c>
      <c r="K29">
        <v>1</v>
      </c>
      <c r="L29">
        <f t="shared" si="0"/>
        <v>2E-3</v>
      </c>
      <c r="M29">
        <f t="shared" si="3"/>
        <v>5.0000000000000031E-2</v>
      </c>
      <c r="N29">
        <f t="shared" si="1"/>
        <v>0.55652989508056694</v>
      </c>
      <c r="O29">
        <f t="shared" si="2"/>
        <v>0.50652989508056689</v>
      </c>
    </row>
    <row r="30" spans="2:15" x14ac:dyDescent="0.25">
      <c r="B30" s="7">
        <v>27.16</v>
      </c>
      <c r="D30" s="8">
        <v>20.132727272727273</v>
      </c>
      <c r="E30" s="8">
        <v>9</v>
      </c>
      <c r="J30" s="7">
        <v>20.309999999999999</v>
      </c>
      <c r="K30">
        <v>1</v>
      </c>
      <c r="L30">
        <f t="shared" si="0"/>
        <v>2E-3</v>
      </c>
      <c r="M30">
        <f t="shared" si="3"/>
        <v>5.2000000000000032E-2</v>
      </c>
      <c r="N30">
        <f t="shared" si="1"/>
        <v>0.55724091122075559</v>
      </c>
      <c r="O30">
        <f t="shared" si="2"/>
        <v>0.50524091122075554</v>
      </c>
    </row>
    <row r="31" spans="2:15" x14ac:dyDescent="0.25">
      <c r="B31" s="7">
        <v>24.45</v>
      </c>
      <c r="D31" s="8">
        <v>20.964545454545455</v>
      </c>
      <c r="E31" s="8">
        <v>21</v>
      </c>
      <c r="J31" s="7">
        <v>20.34</v>
      </c>
      <c r="K31">
        <v>1</v>
      </c>
      <c r="L31">
        <f t="shared" si="0"/>
        <v>2E-3</v>
      </c>
      <c r="M31">
        <f t="shared" si="3"/>
        <v>5.4000000000000034E-2</v>
      </c>
      <c r="N31">
        <f t="shared" si="1"/>
        <v>0.55777342511860373</v>
      </c>
      <c r="O31">
        <f t="shared" si="2"/>
        <v>0.50377342511860368</v>
      </c>
    </row>
    <row r="32" spans="2:15" x14ac:dyDescent="0.25">
      <c r="B32" s="7">
        <v>23.87</v>
      </c>
      <c r="D32" s="8">
        <v>21.796363636363637</v>
      </c>
      <c r="E32" s="8">
        <v>33</v>
      </c>
      <c r="J32" s="7">
        <v>20.34</v>
      </c>
      <c r="K32">
        <v>1</v>
      </c>
      <c r="L32">
        <f t="shared" si="0"/>
        <v>2E-3</v>
      </c>
      <c r="M32">
        <f t="shared" si="3"/>
        <v>5.6000000000000036E-2</v>
      </c>
      <c r="N32">
        <f t="shared" si="1"/>
        <v>0.55777342511860373</v>
      </c>
      <c r="O32">
        <f t="shared" si="2"/>
        <v>0.50177342511860368</v>
      </c>
    </row>
    <row r="33" spans="2:15" x14ac:dyDescent="0.25">
      <c r="B33" s="7">
        <v>24.76</v>
      </c>
      <c r="D33" s="8">
        <v>22.628181818181815</v>
      </c>
      <c r="E33" s="8">
        <v>38</v>
      </c>
      <c r="J33" s="7">
        <v>20.41</v>
      </c>
      <c r="K33">
        <v>1</v>
      </c>
      <c r="L33">
        <f t="shared" si="0"/>
        <v>2E-3</v>
      </c>
      <c r="M33">
        <f t="shared" si="3"/>
        <v>5.8000000000000038E-2</v>
      </c>
      <c r="N33">
        <f t="shared" si="1"/>
        <v>0.55901346818663211</v>
      </c>
      <c r="O33">
        <f t="shared" si="2"/>
        <v>0.50101346818663206</v>
      </c>
    </row>
    <row r="34" spans="2:15" x14ac:dyDescent="0.25">
      <c r="B34" s="7">
        <v>19.45</v>
      </c>
      <c r="D34" s="8">
        <v>23.46</v>
      </c>
      <c r="E34" s="8">
        <v>53</v>
      </c>
      <c r="J34" s="7">
        <v>20.43</v>
      </c>
      <c r="K34">
        <v>1</v>
      </c>
      <c r="L34">
        <f t="shared" si="0"/>
        <v>2E-3</v>
      </c>
      <c r="M34">
        <f t="shared" si="3"/>
        <v>6.0000000000000039E-2</v>
      </c>
      <c r="N34">
        <f t="shared" si="1"/>
        <v>0.55936712711119418</v>
      </c>
      <c r="O34">
        <f t="shared" si="2"/>
        <v>0.49936712711119413</v>
      </c>
    </row>
    <row r="35" spans="2:15" x14ac:dyDescent="0.25">
      <c r="B35" s="7">
        <v>23.89</v>
      </c>
      <c r="D35" s="8">
        <v>24.291818181818179</v>
      </c>
      <c r="E35" s="8">
        <v>42</v>
      </c>
      <c r="J35" s="7">
        <v>20.43</v>
      </c>
      <c r="K35">
        <v>1</v>
      </c>
      <c r="L35">
        <f t="shared" si="0"/>
        <v>2E-3</v>
      </c>
      <c r="M35">
        <f t="shared" si="3"/>
        <v>6.2000000000000041E-2</v>
      </c>
      <c r="N35">
        <f t="shared" si="1"/>
        <v>0.55936712711119418</v>
      </c>
      <c r="O35">
        <f t="shared" si="2"/>
        <v>0.49736712711119413</v>
      </c>
    </row>
    <row r="36" spans="2:15" x14ac:dyDescent="0.25">
      <c r="B36" s="7">
        <v>25.76</v>
      </c>
      <c r="D36" s="8">
        <v>25.123636363636365</v>
      </c>
      <c r="E36" s="8">
        <v>53</v>
      </c>
      <c r="J36" s="7">
        <v>20.49</v>
      </c>
      <c r="K36">
        <v>1</v>
      </c>
      <c r="L36">
        <f t="shared" si="0"/>
        <v>2E-3</v>
      </c>
      <c r="M36">
        <f t="shared" si="3"/>
        <v>6.4000000000000043E-2</v>
      </c>
      <c r="N36">
        <f t="shared" si="1"/>
        <v>0.56042640304684943</v>
      </c>
      <c r="O36">
        <f t="shared" si="2"/>
        <v>0.49642640304684937</v>
      </c>
    </row>
    <row r="37" spans="2:15" x14ac:dyDescent="0.25">
      <c r="B37" s="7">
        <v>29.1</v>
      </c>
      <c r="D37" s="8">
        <v>25.955454545454543</v>
      </c>
      <c r="E37" s="8">
        <v>53</v>
      </c>
      <c r="J37" s="7">
        <v>20.53</v>
      </c>
      <c r="K37">
        <v>1</v>
      </c>
      <c r="L37">
        <f t="shared" si="0"/>
        <v>2E-3</v>
      </c>
      <c r="M37">
        <f t="shared" si="3"/>
        <v>6.6000000000000045E-2</v>
      </c>
      <c r="N37">
        <f t="shared" si="1"/>
        <v>0.56113117191123829</v>
      </c>
      <c r="O37">
        <f t="shared" si="2"/>
        <v>0.49513117191123823</v>
      </c>
    </row>
    <row r="38" spans="2:15" x14ac:dyDescent="0.25">
      <c r="B38" s="7">
        <v>23.04</v>
      </c>
      <c r="D38" s="8">
        <v>26.787272727272725</v>
      </c>
      <c r="E38" s="8">
        <v>35</v>
      </c>
      <c r="J38" s="7">
        <v>20.53</v>
      </c>
      <c r="K38">
        <v>1</v>
      </c>
      <c r="L38">
        <f t="shared" si="0"/>
        <v>2E-3</v>
      </c>
      <c r="M38">
        <f t="shared" si="3"/>
        <v>6.8000000000000047E-2</v>
      </c>
      <c r="N38">
        <f t="shared" si="1"/>
        <v>0.56113117191123829</v>
      </c>
      <c r="O38">
        <f t="shared" si="2"/>
        <v>0.49313117191123823</v>
      </c>
    </row>
    <row r="39" spans="2:15" x14ac:dyDescent="0.25">
      <c r="B39" s="7">
        <v>25.83</v>
      </c>
      <c r="D39" s="8">
        <v>27.619090909090907</v>
      </c>
      <c r="E39" s="8">
        <v>44</v>
      </c>
      <c r="J39" s="7">
        <v>20.54</v>
      </c>
      <c r="K39">
        <v>1</v>
      </c>
      <c r="L39">
        <f t="shared" si="0"/>
        <v>2E-3</v>
      </c>
      <c r="M39">
        <f t="shared" si="3"/>
        <v>7.0000000000000048E-2</v>
      </c>
      <c r="N39">
        <f t="shared" si="1"/>
        <v>0.56130718750077579</v>
      </c>
      <c r="O39">
        <f t="shared" si="2"/>
        <v>0.49130718750077573</v>
      </c>
    </row>
    <row r="40" spans="2:15" x14ac:dyDescent="0.25">
      <c r="B40" s="7">
        <v>22.47</v>
      </c>
      <c r="D40" s="8">
        <v>28.450909090909089</v>
      </c>
      <c r="E40" s="8">
        <v>39</v>
      </c>
      <c r="J40" s="7">
        <v>20.58</v>
      </c>
      <c r="K40">
        <v>1</v>
      </c>
      <c r="L40">
        <f t="shared" si="0"/>
        <v>2E-3</v>
      </c>
      <c r="M40">
        <f t="shared" si="3"/>
        <v>7.200000000000005E-2</v>
      </c>
      <c r="N40">
        <f t="shared" si="1"/>
        <v>0.56201054420241492</v>
      </c>
      <c r="O40">
        <f t="shared" si="2"/>
        <v>0.49001054420241485</v>
      </c>
    </row>
    <row r="41" spans="2:15" x14ac:dyDescent="0.25">
      <c r="B41" s="7">
        <v>25.84</v>
      </c>
      <c r="D41" s="8">
        <v>29.282727272727271</v>
      </c>
      <c r="E41" s="8">
        <v>30</v>
      </c>
      <c r="J41" s="7">
        <v>20.64</v>
      </c>
      <c r="K41">
        <v>1</v>
      </c>
      <c r="L41">
        <f t="shared" si="0"/>
        <v>2E-3</v>
      </c>
      <c r="M41">
        <f t="shared" si="3"/>
        <v>7.4000000000000052E-2</v>
      </c>
      <c r="N41">
        <f t="shared" si="1"/>
        <v>0.56306346539632279</v>
      </c>
      <c r="O41">
        <f t="shared" si="2"/>
        <v>0.48906346539632273</v>
      </c>
    </row>
    <row r="42" spans="2:15" x14ac:dyDescent="0.25">
      <c r="B42" s="7">
        <v>30.56</v>
      </c>
      <c r="D42" s="8">
        <v>30.11454545454545</v>
      </c>
      <c r="E42" s="8">
        <v>17</v>
      </c>
      <c r="J42" s="7">
        <v>20.7</v>
      </c>
      <c r="K42">
        <v>1</v>
      </c>
      <c r="L42">
        <f t="shared" si="0"/>
        <v>2E-3</v>
      </c>
      <c r="M42">
        <f t="shared" si="3"/>
        <v>7.6000000000000054E-2</v>
      </c>
      <c r="N42">
        <f t="shared" si="1"/>
        <v>0.56411385538080094</v>
      </c>
      <c r="O42">
        <f t="shared" si="2"/>
        <v>0.48811385538080088</v>
      </c>
    </row>
    <row r="43" spans="2:15" x14ac:dyDescent="0.25">
      <c r="B43" s="7">
        <v>22.71</v>
      </c>
      <c r="D43" s="8">
        <v>30.946363636363635</v>
      </c>
      <c r="E43" s="8">
        <v>8</v>
      </c>
      <c r="J43" s="7">
        <v>20.73</v>
      </c>
      <c r="K43">
        <v>1</v>
      </c>
      <c r="L43">
        <f t="shared" si="0"/>
        <v>2E-3</v>
      </c>
      <c r="M43">
        <f t="shared" si="3"/>
        <v>7.8000000000000055E-2</v>
      </c>
      <c r="N43">
        <f t="shared" si="1"/>
        <v>0.56463810307163698</v>
      </c>
      <c r="O43">
        <f t="shared" si="2"/>
        <v>0.48663810307163691</v>
      </c>
    </row>
    <row r="44" spans="2:15" x14ac:dyDescent="0.25">
      <c r="B44" s="7">
        <v>26.29</v>
      </c>
      <c r="D44" s="8">
        <v>31.778181818181814</v>
      </c>
      <c r="E44" s="8">
        <v>6</v>
      </c>
      <c r="J44" s="7">
        <v>20.77</v>
      </c>
      <c r="K44">
        <v>1</v>
      </c>
      <c r="L44">
        <f t="shared" si="0"/>
        <v>2E-3</v>
      </c>
      <c r="M44">
        <f t="shared" si="3"/>
        <v>8.0000000000000057E-2</v>
      </c>
      <c r="N44">
        <f t="shared" si="1"/>
        <v>0.56533611931242844</v>
      </c>
      <c r="O44">
        <f t="shared" si="2"/>
        <v>0.48533611931242837</v>
      </c>
    </row>
    <row r="45" spans="2:15" ht="15.75" thickBot="1" x14ac:dyDescent="0.3">
      <c r="B45" s="7">
        <v>26.06</v>
      </c>
      <c r="D45" s="9" t="s">
        <v>34</v>
      </c>
      <c r="E45" s="9">
        <v>4</v>
      </c>
      <c r="J45" s="7">
        <v>20.77</v>
      </c>
      <c r="K45">
        <v>1</v>
      </c>
      <c r="L45">
        <f t="shared" si="0"/>
        <v>2E-3</v>
      </c>
      <c r="M45">
        <f t="shared" si="3"/>
        <v>8.2000000000000059E-2</v>
      </c>
      <c r="N45">
        <f t="shared" si="1"/>
        <v>0.56533611931242844</v>
      </c>
      <c r="O45">
        <f t="shared" si="2"/>
        <v>0.48333611931242837</v>
      </c>
    </row>
    <row r="46" spans="2:15" x14ac:dyDescent="0.25">
      <c r="B46" s="7">
        <v>25.28</v>
      </c>
      <c r="J46" s="7">
        <v>20.85</v>
      </c>
      <c r="K46">
        <v>1</v>
      </c>
      <c r="L46">
        <f t="shared" si="0"/>
        <v>2E-3</v>
      </c>
      <c r="M46">
        <f t="shared" si="3"/>
        <v>8.4000000000000061E-2</v>
      </c>
      <c r="N46">
        <f t="shared" si="1"/>
        <v>0.56672879619753735</v>
      </c>
      <c r="O46">
        <f t="shared" si="2"/>
        <v>0.48272879619753728</v>
      </c>
    </row>
    <row r="47" spans="2:15" x14ac:dyDescent="0.25">
      <c r="B47" s="7">
        <v>26.99</v>
      </c>
      <c r="J47" s="7">
        <v>20.87</v>
      </c>
      <c r="K47">
        <v>1</v>
      </c>
      <c r="L47">
        <f t="shared" si="0"/>
        <v>2E-3</v>
      </c>
      <c r="M47">
        <f t="shared" si="3"/>
        <v>8.6000000000000063E-2</v>
      </c>
      <c r="N47">
        <f t="shared" si="1"/>
        <v>0.56707626764377483</v>
      </c>
      <c r="O47">
        <f t="shared" si="2"/>
        <v>0.48107626764377476</v>
      </c>
    </row>
    <row r="48" spans="2:15" x14ac:dyDescent="0.25">
      <c r="B48" s="7">
        <v>28.24</v>
      </c>
      <c r="J48" s="7">
        <v>20.88</v>
      </c>
      <c r="K48">
        <v>1</v>
      </c>
      <c r="L48">
        <f t="shared" si="0"/>
        <v>2E-3</v>
      </c>
      <c r="M48">
        <f t="shared" si="3"/>
        <v>8.8000000000000064E-2</v>
      </c>
      <c r="N48">
        <f t="shared" si="1"/>
        <v>0.56724989885451116</v>
      </c>
      <c r="O48">
        <f t="shared" si="2"/>
        <v>0.47924989885451108</v>
      </c>
    </row>
    <row r="49" spans="2:15" x14ac:dyDescent="0.25">
      <c r="B49" s="7">
        <v>24.27</v>
      </c>
      <c r="J49" s="7">
        <v>20.92</v>
      </c>
      <c r="K49">
        <v>1</v>
      </c>
      <c r="L49">
        <f t="shared" si="0"/>
        <v>2E-3</v>
      </c>
      <c r="M49">
        <f t="shared" si="3"/>
        <v>9.0000000000000066E-2</v>
      </c>
      <c r="N49">
        <f t="shared" si="1"/>
        <v>0.56794372760005563</v>
      </c>
      <c r="O49">
        <f t="shared" si="2"/>
        <v>0.47794372760005555</v>
      </c>
    </row>
    <row r="50" spans="2:15" x14ac:dyDescent="0.25">
      <c r="B50" s="7">
        <v>23.39</v>
      </c>
      <c r="J50" s="7">
        <v>21.02</v>
      </c>
      <c r="K50">
        <v>1</v>
      </c>
      <c r="L50">
        <f t="shared" si="0"/>
        <v>2E-3</v>
      </c>
      <c r="M50">
        <f t="shared" si="3"/>
        <v>9.2000000000000068E-2</v>
      </c>
      <c r="N50">
        <f t="shared" si="1"/>
        <v>0.56967343654268787</v>
      </c>
      <c r="O50">
        <f t="shared" si="2"/>
        <v>0.47767343654268779</v>
      </c>
    </row>
    <row r="51" spans="2:15" x14ac:dyDescent="0.25">
      <c r="B51" s="7">
        <v>18.28</v>
      </c>
      <c r="J51" s="7">
        <v>21.04</v>
      </c>
      <c r="K51">
        <v>1</v>
      </c>
      <c r="L51">
        <f t="shared" si="0"/>
        <v>2E-3</v>
      </c>
      <c r="M51">
        <f t="shared" si="3"/>
        <v>9.400000000000007E-2</v>
      </c>
      <c r="N51">
        <f t="shared" si="1"/>
        <v>0.5700185464693267</v>
      </c>
      <c r="O51">
        <f t="shared" si="2"/>
        <v>0.47601854646932662</v>
      </c>
    </row>
    <row r="52" spans="2:15" x14ac:dyDescent="0.25">
      <c r="B52" s="7">
        <v>23.36</v>
      </c>
      <c r="J52" s="7">
        <v>21.14</v>
      </c>
      <c r="K52">
        <v>1</v>
      </c>
      <c r="L52">
        <f t="shared" si="0"/>
        <v>2E-3</v>
      </c>
      <c r="M52">
        <f t="shared" si="3"/>
        <v>9.6000000000000071E-2</v>
      </c>
      <c r="N52">
        <f t="shared" si="1"/>
        <v>0.571739949010729</v>
      </c>
      <c r="O52">
        <f t="shared" si="2"/>
        <v>0.47573994901072891</v>
      </c>
    </row>
    <row r="53" spans="2:15" x14ac:dyDescent="0.25">
      <c r="B53" s="7">
        <v>27.82</v>
      </c>
      <c r="J53" s="7">
        <v>21.16</v>
      </c>
      <c r="K53">
        <v>1</v>
      </c>
      <c r="L53">
        <f t="shared" si="0"/>
        <v>2E-3</v>
      </c>
      <c r="M53">
        <f t="shared" si="3"/>
        <v>9.8000000000000073E-2</v>
      </c>
      <c r="N53">
        <f t="shared" si="1"/>
        <v>0.57208340165188543</v>
      </c>
      <c r="O53">
        <f t="shared" si="2"/>
        <v>0.47408340165188534</v>
      </c>
    </row>
    <row r="54" spans="2:15" x14ac:dyDescent="0.25">
      <c r="B54" s="7">
        <v>25.9</v>
      </c>
      <c r="J54" s="7">
        <v>21.18</v>
      </c>
      <c r="K54">
        <v>1</v>
      </c>
      <c r="L54">
        <f t="shared" si="0"/>
        <v>2E-3</v>
      </c>
      <c r="M54">
        <f t="shared" si="3"/>
        <v>0.10000000000000007</v>
      </c>
      <c r="N54">
        <f t="shared" si="1"/>
        <v>0.57242657885358317</v>
      </c>
      <c r="O54">
        <f t="shared" si="2"/>
        <v>0.47242657885358308</v>
      </c>
    </row>
    <row r="55" spans="2:15" x14ac:dyDescent="0.25">
      <c r="B55" s="7">
        <v>18.93</v>
      </c>
      <c r="J55" s="7">
        <v>21.22</v>
      </c>
      <c r="K55">
        <v>1</v>
      </c>
      <c r="L55">
        <f t="shared" si="0"/>
        <v>2E-3</v>
      </c>
      <c r="M55">
        <f t="shared" si="3"/>
        <v>0.10200000000000008</v>
      </c>
      <c r="N55">
        <f t="shared" si="1"/>
        <v>0.57311210782200361</v>
      </c>
      <c r="O55">
        <f t="shared" si="2"/>
        <v>0.47111210782200352</v>
      </c>
    </row>
    <row r="56" spans="2:15" x14ac:dyDescent="0.25">
      <c r="B56" s="7">
        <v>21.38</v>
      </c>
      <c r="J56" s="7">
        <v>21.24</v>
      </c>
      <c r="K56">
        <v>1</v>
      </c>
      <c r="L56">
        <f t="shared" si="0"/>
        <v>2E-3</v>
      </c>
      <c r="M56">
        <f t="shared" si="3"/>
        <v>0.10400000000000008</v>
      </c>
      <c r="N56">
        <f t="shared" si="1"/>
        <v>0.57345446002998479</v>
      </c>
      <c r="O56">
        <f t="shared" si="2"/>
        <v>0.4694544600299847</v>
      </c>
    </row>
    <row r="57" spans="2:15" x14ac:dyDescent="0.25">
      <c r="B57" s="7">
        <v>25.13</v>
      </c>
      <c r="J57" s="7">
        <v>21.24</v>
      </c>
      <c r="K57">
        <v>1</v>
      </c>
      <c r="L57">
        <f t="shared" si="0"/>
        <v>2E-3</v>
      </c>
      <c r="M57">
        <f t="shared" si="3"/>
        <v>0.10600000000000008</v>
      </c>
      <c r="N57">
        <f t="shared" si="1"/>
        <v>0.57345446002998479</v>
      </c>
      <c r="O57">
        <f t="shared" si="2"/>
        <v>0.4674544600299847</v>
      </c>
    </row>
    <row r="58" spans="2:15" x14ac:dyDescent="0.25">
      <c r="B58" s="7">
        <v>32.090000000000003</v>
      </c>
      <c r="J58" s="7">
        <v>21.3</v>
      </c>
      <c r="K58">
        <v>1</v>
      </c>
      <c r="L58">
        <f t="shared" si="0"/>
        <v>2E-3</v>
      </c>
      <c r="M58">
        <f t="shared" si="3"/>
        <v>0.10800000000000008</v>
      </c>
      <c r="N58">
        <f t="shared" si="1"/>
        <v>0.57447987019284685</v>
      </c>
      <c r="O58">
        <f t="shared" si="2"/>
        <v>0.46647987019284676</v>
      </c>
    </row>
    <row r="59" spans="2:15" x14ac:dyDescent="0.25">
      <c r="B59" s="7">
        <v>27.95</v>
      </c>
      <c r="J59" s="7">
        <v>21.34</v>
      </c>
      <c r="K59">
        <v>1</v>
      </c>
      <c r="L59">
        <f t="shared" si="0"/>
        <v>2E-3</v>
      </c>
      <c r="M59">
        <f t="shared" si="3"/>
        <v>0.11000000000000008</v>
      </c>
      <c r="N59">
        <f t="shared" si="1"/>
        <v>0.57516210711685101</v>
      </c>
      <c r="O59">
        <f t="shared" si="2"/>
        <v>0.46516210711685091</v>
      </c>
    </row>
    <row r="60" spans="2:15" x14ac:dyDescent="0.25">
      <c r="B60" s="7">
        <v>19.61</v>
      </c>
      <c r="J60" s="7">
        <v>21.38</v>
      </c>
      <c r="K60">
        <v>1</v>
      </c>
      <c r="L60">
        <f t="shared" si="0"/>
        <v>2E-3</v>
      </c>
      <c r="M60">
        <f t="shared" si="3"/>
        <v>0.11200000000000009</v>
      </c>
      <c r="N60">
        <f t="shared" si="1"/>
        <v>0.57584325020959348</v>
      </c>
      <c r="O60">
        <f t="shared" si="2"/>
        <v>0.46384325020959338</v>
      </c>
    </row>
    <row r="61" spans="2:15" x14ac:dyDescent="0.25">
      <c r="B61" s="7">
        <v>21.51</v>
      </c>
      <c r="J61" s="7">
        <v>21.38</v>
      </c>
      <c r="K61">
        <v>1</v>
      </c>
      <c r="L61">
        <f t="shared" si="0"/>
        <v>2E-3</v>
      </c>
      <c r="M61">
        <f t="shared" si="3"/>
        <v>0.11400000000000009</v>
      </c>
      <c r="N61">
        <f t="shared" si="1"/>
        <v>0.57584325020959348</v>
      </c>
      <c r="O61">
        <f t="shared" si="2"/>
        <v>0.46184325020959338</v>
      </c>
    </row>
    <row r="62" spans="2:15" x14ac:dyDescent="0.25">
      <c r="B62" s="7">
        <v>25.94</v>
      </c>
      <c r="J62" s="7">
        <v>21.4</v>
      </c>
      <c r="K62">
        <v>1</v>
      </c>
      <c r="L62">
        <f t="shared" si="0"/>
        <v>2E-3</v>
      </c>
      <c r="M62">
        <f t="shared" si="3"/>
        <v>0.11600000000000009</v>
      </c>
      <c r="N62">
        <f t="shared" si="1"/>
        <v>0.57618341211739543</v>
      </c>
      <c r="O62">
        <f t="shared" si="2"/>
        <v>0.46018341211739533</v>
      </c>
    </row>
    <row r="63" spans="2:15" x14ac:dyDescent="0.25">
      <c r="B63" s="7">
        <v>29.02</v>
      </c>
      <c r="J63" s="7">
        <v>21.4</v>
      </c>
      <c r="K63">
        <v>1</v>
      </c>
      <c r="L63">
        <f t="shared" si="0"/>
        <v>2E-3</v>
      </c>
      <c r="M63">
        <f t="shared" si="3"/>
        <v>0.11800000000000009</v>
      </c>
      <c r="N63">
        <f t="shared" si="1"/>
        <v>0.57618341211739543</v>
      </c>
      <c r="O63">
        <f t="shared" si="2"/>
        <v>0.45818341211739533</v>
      </c>
    </row>
    <row r="64" spans="2:15" x14ac:dyDescent="0.25">
      <c r="B64" s="7">
        <v>32.61</v>
      </c>
      <c r="J64" s="7">
        <v>21.42</v>
      </c>
      <c r="K64">
        <v>1</v>
      </c>
      <c r="L64">
        <f t="shared" si="0"/>
        <v>2E-3</v>
      </c>
      <c r="M64">
        <f t="shared" si="3"/>
        <v>0.12000000000000009</v>
      </c>
      <c r="N64">
        <f t="shared" si="1"/>
        <v>0.57652330122481521</v>
      </c>
      <c r="O64">
        <f t="shared" si="2"/>
        <v>0.4565233012248151</v>
      </c>
    </row>
    <row r="65" spans="2:15" x14ac:dyDescent="0.25">
      <c r="B65" s="7">
        <v>24.83</v>
      </c>
      <c r="J65" s="7">
        <v>21.43</v>
      </c>
      <c r="K65">
        <v>1</v>
      </c>
      <c r="L65">
        <f t="shared" si="0"/>
        <v>2E-3</v>
      </c>
      <c r="M65">
        <f t="shared" si="3"/>
        <v>0.12200000000000009</v>
      </c>
      <c r="N65">
        <f t="shared" si="1"/>
        <v>0.5766931435467566</v>
      </c>
      <c r="O65">
        <f t="shared" si="2"/>
        <v>0.4546931435467565</v>
      </c>
    </row>
    <row r="66" spans="2:15" x14ac:dyDescent="0.25">
      <c r="B66" s="7">
        <v>25.71</v>
      </c>
      <c r="J66" s="7">
        <v>21.45</v>
      </c>
      <c r="K66">
        <v>1</v>
      </c>
      <c r="L66">
        <f t="shared" si="0"/>
        <v>2E-3</v>
      </c>
      <c r="M66">
        <f t="shared" si="3"/>
        <v>0.1240000000000001</v>
      </c>
      <c r="N66">
        <f t="shared" si="1"/>
        <v>0.57703262386375731</v>
      </c>
      <c r="O66">
        <f t="shared" si="2"/>
        <v>0.4530326238637572</v>
      </c>
    </row>
    <row r="67" spans="2:15" x14ac:dyDescent="0.25">
      <c r="B67" s="7">
        <v>26.86</v>
      </c>
      <c r="J67" s="7">
        <v>21.46</v>
      </c>
      <c r="K67">
        <v>1</v>
      </c>
      <c r="L67">
        <f t="shared" si="0"/>
        <v>2E-3</v>
      </c>
      <c r="M67">
        <f t="shared" si="3"/>
        <v>0.12600000000000008</v>
      </c>
      <c r="N67">
        <f t="shared" si="1"/>
        <v>0.57720226191344515</v>
      </c>
      <c r="O67">
        <f t="shared" si="2"/>
        <v>0.45120226191344504</v>
      </c>
    </row>
    <row r="68" spans="2:15" x14ac:dyDescent="0.25">
      <c r="B68" s="7">
        <v>27.62</v>
      </c>
      <c r="J68" s="7">
        <v>21.5</v>
      </c>
      <c r="K68">
        <v>1</v>
      </c>
      <c r="L68">
        <f t="shared" si="0"/>
        <v>2E-3</v>
      </c>
      <c r="M68">
        <f t="shared" si="3"/>
        <v>0.12800000000000009</v>
      </c>
      <c r="N68">
        <f t="shared" si="1"/>
        <v>0.5778801340236055</v>
      </c>
      <c r="O68">
        <f t="shared" si="2"/>
        <v>0.44988013402360538</v>
      </c>
    </row>
    <row r="69" spans="2:15" x14ac:dyDescent="0.25">
      <c r="B69" s="7">
        <v>26.87</v>
      </c>
      <c r="J69" s="7">
        <v>21.51</v>
      </c>
      <c r="K69">
        <v>1</v>
      </c>
      <c r="L69">
        <f t="shared" si="0"/>
        <v>2E-3</v>
      </c>
      <c r="M69">
        <f t="shared" si="3"/>
        <v>0.13000000000000009</v>
      </c>
      <c r="N69">
        <f t="shared" si="1"/>
        <v>0.57804943216535087</v>
      </c>
      <c r="O69">
        <f t="shared" si="2"/>
        <v>0.44804943216535076</v>
      </c>
    </row>
    <row r="70" spans="2:15" x14ac:dyDescent="0.25">
      <c r="B70" s="7">
        <v>21.24</v>
      </c>
      <c r="J70" s="7">
        <v>21.54</v>
      </c>
      <c r="K70">
        <v>1</v>
      </c>
      <c r="L70">
        <f t="shared" ref="L70:L133" si="4">K70/$E$20</f>
        <v>2E-3</v>
      </c>
      <c r="M70">
        <f t="shared" si="3"/>
        <v>0.13200000000000009</v>
      </c>
      <c r="N70">
        <f t="shared" ref="N70:N133" si="5">1-EXP(-$H$11*J70)</f>
        <v>0.57855691930061526</v>
      </c>
      <c r="O70">
        <f t="shared" ref="O70:O133" si="6">ABS(M70-N70)</f>
        <v>0.44655691930061514</v>
      </c>
    </row>
    <row r="71" spans="2:15" x14ac:dyDescent="0.25">
      <c r="B71" s="7">
        <v>22.73</v>
      </c>
      <c r="J71" s="7">
        <v>21.56</v>
      </c>
      <c r="K71">
        <v>1</v>
      </c>
      <c r="L71">
        <f t="shared" si="4"/>
        <v>2E-3</v>
      </c>
      <c r="M71">
        <f t="shared" ref="M71:M134" si="7">M70+L71</f>
        <v>0.13400000000000009</v>
      </c>
      <c r="N71">
        <f t="shared" si="5"/>
        <v>0.57889490492133566</v>
      </c>
      <c r="O71">
        <f t="shared" si="6"/>
        <v>0.44489490492133554</v>
      </c>
    </row>
    <row r="72" spans="2:15" x14ac:dyDescent="0.25">
      <c r="B72" s="7">
        <v>26.1</v>
      </c>
      <c r="J72" s="7">
        <v>21.56</v>
      </c>
      <c r="K72">
        <v>1</v>
      </c>
      <c r="L72">
        <f t="shared" si="4"/>
        <v>2E-3</v>
      </c>
      <c r="M72">
        <f t="shared" si="7"/>
        <v>0.13600000000000009</v>
      </c>
      <c r="N72">
        <f t="shared" si="5"/>
        <v>0.57889490492133566</v>
      </c>
      <c r="O72">
        <f t="shared" si="6"/>
        <v>0.44289490492133554</v>
      </c>
    </row>
    <row r="73" spans="2:15" x14ac:dyDescent="0.25">
      <c r="B73" s="7">
        <v>21.4</v>
      </c>
      <c r="J73" s="7">
        <v>21.57</v>
      </c>
      <c r="K73">
        <v>1</v>
      </c>
      <c r="L73">
        <f t="shared" si="4"/>
        <v>2E-3</v>
      </c>
      <c r="M73">
        <f t="shared" si="7"/>
        <v>0.13800000000000009</v>
      </c>
      <c r="N73">
        <f t="shared" si="5"/>
        <v>0.57906379607245784</v>
      </c>
      <c r="O73">
        <f t="shared" si="6"/>
        <v>0.44106379607245771</v>
      </c>
    </row>
    <row r="74" spans="2:15" x14ac:dyDescent="0.25">
      <c r="B74" s="7">
        <v>28</v>
      </c>
      <c r="J74" s="7">
        <v>21.59</v>
      </c>
      <c r="K74">
        <v>1</v>
      </c>
      <c r="L74">
        <f t="shared" si="4"/>
        <v>2E-3</v>
      </c>
      <c r="M74">
        <f t="shared" si="7"/>
        <v>0.1400000000000001</v>
      </c>
      <c r="N74">
        <f t="shared" si="5"/>
        <v>0.57940137519211521</v>
      </c>
      <c r="O74">
        <f t="shared" si="6"/>
        <v>0.43940137519211508</v>
      </c>
    </row>
    <row r="75" spans="2:15" x14ac:dyDescent="0.25">
      <c r="B75" s="7">
        <v>27.23</v>
      </c>
      <c r="J75" s="7">
        <v>21.61</v>
      </c>
      <c r="K75">
        <v>1</v>
      </c>
      <c r="L75">
        <f t="shared" si="4"/>
        <v>2E-3</v>
      </c>
      <c r="M75">
        <f t="shared" si="7"/>
        <v>0.1420000000000001</v>
      </c>
      <c r="N75">
        <f t="shared" si="5"/>
        <v>0.5797386835827143</v>
      </c>
      <c r="O75">
        <f t="shared" si="6"/>
        <v>0.43773868358271417</v>
      </c>
    </row>
    <row r="76" spans="2:15" x14ac:dyDescent="0.25">
      <c r="B76" s="7">
        <v>25.26</v>
      </c>
      <c r="J76" s="7">
        <v>21.62</v>
      </c>
      <c r="K76">
        <v>1</v>
      </c>
      <c r="L76">
        <f t="shared" si="4"/>
        <v>2E-3</v>
      </c>
      <c r="M76">
        <f t="shared" si="7"/>
        <v>0.1440000000000001</v>
      </c>
      <c r="N76">
        <f t="shared" si="5"/>
        <v>0.57990723632247299</v>
      </c>
      <c r="O76">
        <f t="shared" si="6"/>
        <v>0.43590723632247286</v>
      </c>
    </row>
    <row r="77" spans="2:15" x14ac:dyDescent="0.25">
      <c r="B77" s="7">
        <v>24.64</v>
      </c>
      <c r="J77" s="7">
        <v>21.62</v>
      </c>
      <c r="K77">
        <v>1</v>
      </c>
      <c r="L77">
        <f t="shared" si="4"/>
        <v>2E-3</v>
      </c>
      <c r="M77">
        <f t="shared" si="7"/>
        <v>0.1460000000000001</v>
      </c>
      <c r="N77">
        <f t="shared" si="5"/>
        <v>0.57990723632247299</v>
      </c>
      <c r="O77">
        <f t="shared" si="6"/>
        <v>0.43390723632247286</v>
      </c>
    </row>
    <row r="78" spans="2:15" x14ac:dyDescent="0.25">
      <c r="B78" s="7">
        <v>31.68</v>
      </c>
      <c r="J78" s="7">
        <v>21.66</v>
      </c>
      <c r="K78">
        <v>1</v>
      </c>
      <c r="L78">
        <f t="shared" si="4"/>
        <v>2E-3</v>
      </c>
      <c r="M78">
        <f t="shared" si="7"/>
        <v>0.1480000000000001</v>
      </c>
      <c r="N78">
        <f t="shared" si="5"/>
        <v>0.58058077154398557</v>
      </c>
      <c r="O78">
        <f t="shared" si="6"/>
        <v>0.43258077154398544</v>
      </c>
    </row>
    <row r="79" spans="2:15" x14ac:dyDescent="0.25">
      <c r="B79" s="7">
        <v>23.4</v>
      </c>
      <c r="J79" s="7">
        <v>21.74</v>
      </c>
      <c r="K79">
        <v>1</v>
      </c>
      <c r="L79">
        <f t="shared" si="4"/>
        <v>2E-3</v>
      </c>
      <c r="M79">
        <f t="shared" si="7"/>
        <v>0.15000000000000011</v>
      </c>
      <c r="N79">
        <f t="shared" si="5"/>
        <v>0.58192460407894786</v>
      </c>
      <c r="O79">
        <f t="shared" si="6"/>
        <v>0.43192460407894773</v>
      </c>
    </row>
    <row r="80" spans="2:15" x14ac:dyDescent="0.25">
      <c r="B80" s="7">
        <v>27.28</v>
      </c>
      <c r="J80" s="7">
        <v>21.75</v>
      </c>
      <c r="K80">
        <v>1</v>
      </c>
      <c r="L80">
        <f t="shared" si="4"/>
        <v>2E-3</v>
      </c>
      <c r="M80">
        <f t="shared" si="7"/>
        <v>0.15200000000000011</v>
      </c>
      <c r="N80">
        <f t="shared" si="5"/>
        <v>0.58209228011920033</v>
      </c>
      <c r="O80">
        <f t="shared" si="6"/>
        <v>0.4300922801192002</v>
      </c>
    </row>
    <row r="81" spans="2:15" x14ac:dyDescent="0.25">
      <c r="B81" s="7">
        <v>21.99</v>
      </c>
      <c r="J81" s="7">
        <v>21.78</v>
      </c>
      <c r="K81">
        <v>1</v>
      </c>
      <c r="L81">
        <f t="shared" si="4"/>
        <v>2E-3</v>
      </c>
      <c r="M81">
        <f t="shared" si="7"/>
        <v>0.15400000000000011</v>
      </c>
      <c r="N81">
        <f t="shared" si="5"/>
        <v>0.58259490485236665</v>
      </c>
      <c r="O81">
        <f t="shared" si="6"/>
        <v>0.42859490485236651</v>
      </c>
    </row>
    <row r="82" spans="2:15" x14ac:dyDescent="0.25">
      <c r="B82" s="7">
        <v>29.24</v>
      </c>
      <c r="J82" s="7">
        <v>21.79</v>
      </c>
      <c r="K82">
        <v>1</v>
      </c>
      <c r="L82">
        <f t="shared" si="4"/>
        <v>2E-3</v>
      </c>
      <c r="M82">
        <f t="shared" si="7"/>
        <v>0.15600000000000011</v>
      </c>
      <c r="N82">
        <f t="shared" si="5"/>
        <v>0.58276231205742679</v>
      </c>
      <c r="O82">
        <f t="shared" si="6"/>
        <v>0.42676231205742665</v>
      </c>
    </row>
    <row r="83" spans="2:15" x14ac:dyDescent="0.25">
      <c r="B83" s="7">
        <v>23.46</v>
      </c>
      <c r="J83" s="7">
        <v>21.81</v>
      </c>
      <c r="K83">
        <v>1</v>
      </c>
      <c r="L83">
        <f t="shared" si="4"/>
        <v>2E-3</v>
      </c>
      <c r="M83">
        <f t="shared" si="7"/>
        <v>0.15800000000000011</v>
      </c>
      <c r="N83">
        <f t="shared" si="5"/>
        <v>0.58309692507020472</v>
      </c>
      <c r="O83">
        <f t="shared" si="6"/>
        <v>0.42509692507020458</v>
      </c>
    </row>
    <row r="84" spans="2:15" x14ac:dyDescent="0.25">
      <c r="B84" s="7">
        <v>24.51</v>
      </c>
      <c r="J84" s="7">
        <v>21.88</v>
      </c>
      <c r="K84">
        <v>1</v>
      </c>
      <c r="L84">
        <f t="shared" si="4"/>
        <v>2E-3</v>
      </c>
      <c r="M84">
        <f t="shared" si="7"/>
        <v>0.16000000000000011</v>
      </c>
      <c r="N84">
        <f t="shared" si="5"/>
        <v>0.58426595876802145</v>
      </c>
      <c r="O84">
        <f t="shared" si="6"/>
        <v>0.42426595876802131</v>
      </c>
    </row>
    <row r="85" spans="2:15" x14ac:dyDescent="0.25">
      <c r="B85" s="7">
        <v>27.53</v>
      </c>
      <c r="J85" s="7">
        <v>21.89</v>
      </c>
      <c r="K85">
        <v>1</v>
      </c>
      <c r="L85">
        <f t="shared" si="4"/>
        <v>2E-3</v>
      </c>
      <c r="M85">
        <f t="shared" si="7"/>
        <v>0.16200000000000012</v>
      </c>
      <c r="N85">
        <f t="shared" si="5"/>
        <v>0.58443269576931844</v>
      </c>
      <c r="O85">
        <f t="shared" si="6"/>
        <v>0.4224326957693183</v>
      </c>
    </row>
    <row r="86" spans="2:15" x14ac:dyDescent="0.25">
      <c r="B86" s="7">
        <v>21.59</v>
      </c>
      <c r="J86" s="7">
        <v>21.89</v>
      </c>
      <c r="K86">
        <v>1</v>
      </c>
      <c r="L86">
        <f t="shared" si="4"/>
        <v>2E-3</v>
      </c>
      <c r="M86">
        <f t="shared" si="7"/>
        <v>0.16400000000000012</v>
      </c>
      <c r="N86">
        <f t="shared" si="5"/>
        <v>0.58443269576931844</v>
      </c>
      <c r="O86">
        <f t="shared" si="6"/>
        <v>0.4204326957693183</v>
      </c>
    </row>
    <row r="87" spans="2:15" x14ac:dyDescent="0.25">
      <c r="B87" s="7">
        <v>23.17</v>
      </c>
      <c r="J87" s="7">
        <v>21.9</v>
      </c>
      <c r="K87">
        <v>1</v>
      </c>
      <c r="L87">
        <f t="shared" si="4"/>
        <v>2E-3</v>
      </c>
      <c r="M87">
        <f t="shared" si="7"/>
        <v>0.16600000000000012</v>
      </c>
      <c r="N87">
        <f t="shared" si="5"/>
        <v>0.58459936589798822</v>
      </c>
      <c r="O87">
        <f t="shared" si="6"/>
        <v>0.41859936589798807</v>
      </c>
    </row>
    <row r="88" spans="2:15" x14ac:dyDescent="0.25">
      <c r="B88" s="7">
        <v>27.4</v>
      </c>
      <c r="J88" s="7">
        <v>21.92</v>
      </c>
      <c r="K88">
        <v>1</v>
      </c>
      <c r="L88">
        <f t="shared" si="4"/>
        <v>2E-3</v>
      </c>
      <c r="M88">
        <f t="shared" si="7"/>
        <v>0.16800000000000012</v>
      </c>
      <c r="N88">
        <f t="shared" si="5"/>
        <v>0.58493250564471677</v>
      </c>
      <c r="O88">
        <f t="shared" si="6"/>
        <v>0.41693250564471662</v>
      </c>
    </row>
    <row r="89" spans="2:15" x14ac:dyDescent="0.25">
      <c r="B89" s="7">
        <v>29.39</v>
      </c>
      <c r="J89" s="7">
        <v>21.93</v>
      </c>
      <c r="K89">
        <v>1</v>
      </c>
      <c r="L89">
        <f t="shared" si="4"/>
        <v>2E-3</v>
      </c>
      <c r="M89">
        <f t="shared" si="7"/>
        <v>0.17000000000000012</v>
      </c>
      <c r="N89">
        <f t="shared" si="5"/>
        <v>0.58509897531638377</v>
      </c>
      <c r="O89">
        <f t="shared" si="6"/>
        <v>0.41509897531638362</v>
      </c>
    </row>
    <row r="90" spans="2:15" x14ac:dyDescent="0.25">
      <c r="B90" s="7">
        <v>23.84</v>
      </c>
      <c r="J90" s="7">
        <v>21.94</v>
      </c>
      <c r="K90">
        <v>1</v>
      </c>
      <c r="L90">
        <f t="shared" si="4"/>
        <v>2E-3</v>
      </c>
      <c r="M90">
        <f t="shared" si="7"/>
        <v>0.17200000000000013</v>
      </c>
      <c r="N90">
        <f t="shared" si="5"/>
        <v>0.58526537822264046</v>
      </c>
      <c r="O90">
        <f t="shared" si="6"/>
        <v>0.41326537822264031</v>
      </c>
    </row>
    <row r="91" spans="2:15" x14ac:dyDescent="0.25">
      <c r="B91" s="7">
        <v>23.57</v>
      </c>
      <c r="J91" s="7">
        <v>21.99</v>
      </c>
      <c r="K91">
        <v>1</v>
      </c>
      <c r="L91">
        <f t="shared" si="4"/>
        <v>2E-3</v>
      </c>
      <c r="M91">
        <f t="shared" si="7"/>
        <v>0.17400000000000013</v>
      </c>
      <c r="N91">
        <f t="shared" si="5"/>
        <v>0.58609639220960075</v>
      </c>
      <c r="O91">
        <f t="shared" si="6"/>
        <v>0.41209639220960059</v>
      </c>
    </row>
    <row r="92" spans="2:15" x14ac:dyDescent="0.25">
      <c r="B92" s="7">
        <v>29.8</v>
      </c>
      <c r="J92" s="7">
        <v>22.03</v>
      </c>
      <c r="K92">
        <v>1</v>
      </c>
      <c r="L92">
        <f t="shared" si="4"/>
        <v>2E-3</v>
      </c>
      <c r="M92">
        <f t="shared" si="7"/>
        <v>0.17600000000000013</v>
      </c>
      <c r="N92">
        <f t="shared" si="5"/>
        <v>0.58676000435020881</v>
      </c>
      <c r="O92">
        <f t="shared" si="6"/>
        <v>0.41076000435020865</v>
      </c>
    </row>
    <row r="93" spans="2:15" x14ac:dyDescent="0.25">
      <c r="B93" s="7">
        <v>23.43</v>
      </c>
      <c r="J93" s="7">
        <v>22.06</v>
      </c>
      <c r="K93">
        <v>1</v>
      </c>
      <c r="L93">
        <f t="shared" si="4"/>
        <v>2E-3</v>
      </c>
      <c r="M93">
        <f t="shared" si="7"/>
        <v>0.17800000000000013</v>
      </c>
      <c r="N93">
        <f t="shared" si="5"/>
        <v>0.58725701513193429</v>
      </c>
      <c r="O93">
        <f t="shared" si="6"/>
        <v>0.40925701513193413</v>
      </c>
    </row>
    <row r="94" spans="2:15" x14ac:dyDescent="0.25">
      <c r="B94" s="7">
        <v>25.11</v>
      </c>
      <c r="J94" s="7">
        <v>22.06</v>
      </c>
      <c r="K94">
        <v>1</v>
      </c>
      <c r="L94">
        <f t="shared" si="4"/>
        <v>2E-3</v>
      </c>
      <c r="M94">
        <f t="shared" si="7"/>
        <v>0.18000000000000013</v>
      </c>
      <c r="N94">
        <f t="shared" si="5"/>
        <v>0.58725701513193429</v>
      </c>
      <c r="O94">
        <f t="shared" si="6"/>
        <v>0.40725701513193413</v>
      </c>
    </row>
    <row r="95" spans="2:15" x14ac:dyDescent="0.25">
      <c r="B95" s="7">
        <v>25.28</v>
      </c>
      <c r="J95" s="7">
        <v>22.15</v>
      </c>
      <c r="K95">
        <v>1</v>
      </c>
      <c r="L95">
        <f t="shared" si="4"/>
        <v>2E-3</v>
      </c>
      <c r="M95">
        <f t="shared" si="7"/>
        <v>0.18200000000000013</v>
      </c>
      <c r="N95">
        <f t="shared" si="5"/>
        <v>0.5887444637720084</v>
      </c>
      <c r="O95">
        <f t="shared" si="6"/>
        <v>0.40674446377200824</v>
      </c>
    </row>
    <row r="96" spans="2:15" x14ac:dyDescent="0.25">
      <c r="B96" s="7">
        <v>24.77</v>
      </c>
      <c r="J96" s="7">
        <v>22.16</v>
      </c>
      <c r="K96">
        <v>1</v>
      </c>
      <c r="L96">
        <f t="shared" si="4"/>
        <v>2E-3</v>
      </c>
      <c r="M96">
        <f t="shared" si="7"/>
        <v>0.18400000000000014</v>
      </c>
      <c r="N96">
        <f t="shared" si="5"/>
        <v>0.58890940459493046</v>
      </c>
      <c r="O96">
        <f t="shared" si="6"/>
        <v>0.4049094045949303</v>
      </c>
    </row>
    <row r="97" spans="2:15" x14ac:dyDescent="0.25">
      <c r="B97" s="7">
        <v>22.28</v>
      </c>
      <c r="J97" s="7">
        <v>22.2</v>
      </c>
      <c r="K97">
        <v>1</v>
      </c>
      <c r="L97">
        <f t="shared" si="4"/>
        <v>2E-3</v>
      </c>
      <c r="M97">
        <f t="shared" si="7"/>
        <v>0.18600000000000014</v>
      </c>
      <c r="N97">
        <f t="shared" si="5"/>
        <v>0.58956850662947646</v>
      </c>
      <c r="O97">
        <f t="shared" si="6"/>
        <v>0.4035685066294763</v>
      </c>
    </row>
    <row r="98" spans="2:15" x14ac:dyDescent="0.25">
      <c r="B98" s="7">
        <v>24.81</v>
      </c>
      <c r="J98" s="7">
        <v>22.21</v>
      </c>
      <c r="K98">
        <v>1</v>
      </c>
      <c r="L98">
        <f t="shared" si="4"/>
        <v>2E-3</v>
      </c>
      <c r="M98">
        <f t="shared" si="7"/>
        <v>0.18800000000000014</v>
      </c>
      <c r="N98">
        <f t="shared" si="5"/>
        <v>0.58973311695640496</v>
      </c>
      <c r="O98">
        <f t="shared" si="6"/>
        <v>0.40173311695640479</v>
      </c>
    </row>
    <row r="99" spans="2:15" x14ac:dyDescent="0.25">
      <c r="B99" s="7">
        <v>29.33</v>
      </c>
      <c r="J99" s="7">
        <v>22.23</v>
      </c>
      <c r="K99">
        <v>1</v>
      </c>
      <c r="L99">
        <f t="shared" si="4"/>
        <v>2E-3</v>
      </c>
      <c r="M99">
        <f t="shared" si="7"/>
        <v>0.19000000000000014</v>
      </c>
      <c r="N99">
        <f t="shared" si="5"/>
        <v>0.59006213957767195</v>
      </c>
      <c r="O99">
        <f t="shared" si="6"/>
        <v>0.40006213957767178</v>
      </c>
    </row>
    <row r="100" spans="2:15" x14ac:dyDescent="0.25">
      <c r="B100" s="7">
        <v>22.87</v>
      </c>
      <c r="J100" s="7">
        <v>22.25</v>
      </c>
      <c r="K100">
        <v>1</v>
      </c>
      <c r="L100">
        <f t="shared" si="4"/>
        <v>2E-3</v>
      </c>
      <c r="M100">
        <f t="shared" si="7"/>
        <v>0.19200000000000014</v>
      </c>
      <c r="N100">
        <f t="shared" si="5"/>
        <v>0.59039089833195413</v>
      </c>
      <c r="O100">
        <f t="shared" si="6"/>
        <v>0.39839089833195396</v>
      </c>
    </row>
    <row r="101" spans="2:15" x14ac:dyDescent="0.25">
      <c r="B101" s="7">
        <v>28.33</v>
      </c>
      <c r="J101" s="7">
        <v>22.26</v>
      </c>
      <c r="K101">
        <v>1</v>
      </c>
      <c r="L101">
        <f t="shared" si="4"/>
        <v>2E-3</v>
      </c>
      <c r="M101">
        <f t="shared" si="7"/>
        <v>0.19400000000000014</v>
      </c>
      <c r="N101">
        <f t="shared" si="5"/>
        <v>0.5905551788251121</v>
      </c>
      <c r="O101">
        <f t="shared" si="6"/>
        <v>0.39655517882511193</v>
      </c>
    </row>
    <row r="102" spans="2:15" x14ac:dyDescent="0.25">
      <c r="B102" s="7">
        <v>20.7</v>
      </c>
      <c r="J102" s="7">
        <v>22.27</v>
      </c>
      <c r="K102">
        <v>1</v>
      </c>
      <c r="L102">
        <f t="shared" si="4"/>
        <v>2E-3</v>
      </c>
      <c r="M102">
        <f t="shared" si="7"/>
        <v>0.19600000000000015</v>
      </c>
      <c r="N102">
        <f t="shared" si="5"/>
        <v>0.59071939343086588</v>
      </c>
      <c r="O102">
        <f t="shared" si="6"/>
        <v>0.39471939343086571</v>
      </c>
    </row>
    <row r="103" spans="2:15" x14ac:dyDescent="0.25">
      <c r="B103" s="7">
        <v>23.22</v>
      </c>
      <c r="J103" s="7">
        <v>22.28</v>
      </c>
      <c r="K103">
        <v>1</v>
      </c>
      <c r="L103">
        <f t="shared" si="4"/>
        <v>2E-3</v>
      </c>
      <c r="M103">
        <f t="shared" si="7"/>
        <v>0.19800000000000015</v>
      </c>
      <c r="N103">
        <f t="shared" si="5"/>
        <v>0.59088354217564065</v>
      </c>
      <c r="O103">
        <f t="shared" si="6"/>
        <v>0.39288354217564048</v>
      </c>
    </row>
    <row r="104" spans="2:15" x14ac:dyDescent="0.25">
      <c r="B104" s="7">
        <v>23.91</v>
      </c>
      <c r="J104" s="7">
        <v>22.28</v>
      </c>
      <c r="K104">
        <v>1</v>
      </c>
      <c r="L104">
        <f t="shared" si="4"/>
        <v>2E-3</v>
      </c>
      <c r="M104">
        <f t="shared" si="7"/>
        <v>0.20000000000000015</v>
      </c>
      <c r="N104">
        <f t="shared" si="5"/>
        <v>0.59088354217564065</v>
      </c>
      <c r="O104">
        <f t="shared" si="6"/>
        <v>0.39088354217564047</v>
      </c>
    </row>
    <row r="105" spans="2:15" x14ac:dyDescent="0.25">
      <c r="B105" s="7">
        <v>20.41</v>
      </c>
      <c r="J105" s="7">
        <v>22.31</v>
      </c>
      <c r="K105">
        <v>1</v>
      </c>
      <c r="L105">
        <f t="shared" si="4"/>
        <v>2E-3</v>
      </c>
      <c r="M105">
        <f t="shared" si="7"/>
        <v>0.20200000000000015</v>
      </c>
      <c r="N105">
        <f t="shared" si="5"/>
        <v>0.59137559350818503</v>
      </c>
      <c r="O105">
        <f t="shared" si="6"/>
        <v>0.38937559350818485</v>
      </c>
    </row>
    <row r="106" spans="2:15" x14ac:dyDescent="0.25">
      <c r="B106" s="7">
        <v>25.8</v>
      </c>
      <c r="J106" s="7">
        <v>22.31</v>
      </c>
      <c r="K106">
        <v>1</v>
      </c>
      <c r="L106">
        <f t="shared" si="4"/>
        <v>2E-3</v>
      </c>
      <c r="M106">
        <f t="shared" si="7"/>
        <v>0.20400000000000015</v>
      </c>
      <c r="N106">
        <f t="shared" si="5"/>
        <v>0.59137559350818503</v>
      </c>
      <c r="O106">
        <f t="shared" si="6"/>
        <v>0.38737559350818485</v>
      </c>
    </row>
    <row r="107" spans="2:15" x14ac:dyDescent="0.25">
      <c r="B107" s="7">
        <v>31.45</v>
      </c>
      <c r="J107" s="7">
        <v>22.4</v>
      </c>
      <c r="K107">
        <v>1</v>
      </c>
      <c r="L107">
        <f t="shared" si="4"/>
        <v>2E-3</v>
      </c>
      <c r="M107">
        <f t="shared" si="7"/>
        <v>0.20600000000000016</v>
      </c>
      <c r="N107">
        <f t="shared" si="5"/>
        <v>0.59284819956091206</v>
      </c>
      <c r="O107">
        <f t="shared" si="6"/>
        <v>0.38684819956091188</v>
      </c>
    </row>
    <row r="108" spans="2:15" x14ac:dyDescent="0.25">
      <c r="B108" s="7">
        <v>24.2</v>
      </c>
      <c r="J108" s="7">
        <v>22.45</v>
      </c>
      <c r="K108">
        <v>1</v>
      </c>
      <c r="L108">
        <f t="shared" si="4"/>
        <v>2E-3</v>
      </c>
      <c r="M108">
        <f t="shared" si="7"/>
        <v>0.20800000000000016</v>
      </c>
      <c r="N108">
        <f t="shared" si="5"/>
        <v>0.59366401966180193</v>
      </c>
      <c r="O108">
        <f t="shared" si="6"/>
        <v>0.38566401966180175</v>
      </c>
    </row>
    <row r="109" spans="2:15" x14ac:dyDescent="0.25">
      <c r="B109" s="7">
        <v>23.66</v>
      </c>
      <c r="J109" s="7">
        <v>22.45</v>
      </c>
      <c r="K109">
        <v>1</v>
      </c>
      <c r="L109">
        <f t="shared" si="4"/>
        <v>2E-3</v>
      </c>
      <c r="M109">
        <f t="shared" si="7"/>
        <v>0.21000000000000016</v>
      </c>
      <c r="N109">
        <f t="shared" si="5"/>
        <v>0.59366401966180193</v>
      </c>
      <c r="O109">
        <f t="shared" si="6"/>
        <v>0.38366401966180175</v>
      </c>
    </row>
    <row r="110" spans="2:15" x14ac:dyDescent="0.25">
      <c r="B110" s="7">
        <v>21.61</v>
      </c>
      <c r="J110" s="7">
        <v>22.46</v>
      </c>
      <c r="K110">
        <v>1</v>
      </c>
      <c r="L110">
        <f t="shared" si="4"/>
        <v>2E-3</v>
      </c>
      <c r="M110">
        <f t="shared" si="7"/>
        <v>0.21200000000000016</v>
      </c>
      <c r="N110">
        <f t="shared" si="5"/>
        <v>0.59382698741560902</v>
      </c>
      <c r="O110">
        <f t="shared" si="6"/>
        <v>0.38182698741560883</v>
      </c>
    </row>
    <row r="111" spans="2:15" x14ac:dyDescent="0.25">
      <c r="B111" s="7">
        <v>21.75</v>
      </c>
      <c r="J111" s="7">
        <v>22.46</v>
      </c>
      <c r="K111">
        <v>1</v>
      </c>
      <c r="L111">
        <f t="shared" si="4"/>
        <v>2E-3</v>
      </c>
      <c r="M111">
        <f t="shared" si="7"/>
        <v>0.21400000000000016</v>
      </c>
      <c r="N111">
        <f t="shared" si="5"/>
        <v>0.59382698741560902</v>
      </c>
      <c r="O111">
        <f t="shared" si="6"/>
        <v>0.37982698741560883</v>
      </c>
    </row>
    <row r="112" spans="2:15" x14ac:dyDescent="0.25">
      <c r="B112" s="7">
        <v>26.65</v>
      </c>
      <c r="J112" s="7">
        <v>22.47</v>
      </c>
      <c r="K112">
        <v>1</v>
      </c>
      <c r="L112">
        <f t="shared" si="4"/>
        <v>2E-3</v>
      </c>
      <c r="M112">
        <f t="shared" si="7"/>
        <v>0.21600000000000016</v>
      </c>
      <c r="N112">
        <f t="shared" si="5"/>
        <v>0.59398988980850775</v>
      </c>
      <c r="O112">
        <f t="shared" si="6"/>
        <v>0.37798988980850756</v>
      </c>
    </row>
    <row r="113" spans="2:15" x14ac:dyDescent="0.25">
      <c r="B113" s="7">
        <v>22.28</v>
      </c>
      <c r="J113" s="7">
        <v>22.48</v>
      </c>
      <c r="K113">
        <v>1</v>
      </c>
      <c r="L113">
        <f t="shared" si="4"/>
        <v>2E-3</v>
      </c>
      <c r="M113">
        <f t="shared" si="7"/>
        <v>0.21800000000000017</v>
      </c>
      <c r="N113">
        <f t="shared" si="5"/>
        <v>0.59415272686671217</v>
      </c>
      <c r="O113">
        <f t="shared" si="6"/>
        <v>0.37615272686671197</v>
      </c>
    </row>
    <row r="114" spans="2:15" x14ac:dyDescent="0.25">
      <c r="B114" s="7">
        <v>27.21</v>
      </c>
      <c r="J114" s="7">
        <v>22.49</v>
      </c>
      <c r="K114">
        <v>1</v>
      </c>
      <c r="L114">
        <f t="shared" si="4"/>
        <v>2E-3</v>
      </c>
      <c r="M114">
        <f t="shared" si="7"/>
        <v>0.22000000000000017</v>
      </c>
      <c r="N114">
        <f t="shared" si="5"/>
        <v>0.59431549861642574</v>
      </c>
      <c r="O114">
        <f t="shared" si="6"/>
        <v>0.37431549861642555</v>
      </c>
    </row>
    <row r="115" spans="2:15" x14ac:dyDescent="0.25">
      <c r="B115" s="7">
        <v>27.83</v>
      </c>
      <c r="J115" s="7">
        <v>22.49</v>
      </c>
      <c r="K115">
        <v>1</v>
      </c>
      <c r="L115">
        <f t="shared" si="4"/>
        <v>2E-3</v>
      </c>
      <c r="M115">
        <f t="shared" si="7"/>
        <v>0.22200000000000017</v>
      </c>
      <c r="N115">
        <f t="shared" si="5"/>
        <v>0.59431549861642574</v>
      </c>
      <c r="O115">
        <f t="shared" si="6"/>
        <v>0.37231549861642554</v>
      </c>
    </row>
    <row r="116" spans="2:15" x14ac:dyDescent="0.25">
      <c r="B116" s="7">
        <v>22.27</v>
      </c>
      <c r="J116" s="7">
        <v>22.51</v>
      </c>
      <c r="K116">
        <v>1</v>
      </c>
      <c r="L116">
        <f t="shared" si="4"/>
        <v>2E-3</v>
      </c>
      <c r="M116">
        <f t="shared" si="7"/>
        <v>0.22400000000000017</v>
      </c>
      <c r="N116">
        <f t="shared" si="5"/>
        <v>0.59464084629514247</v>
      </c>
      <c r="O116">
        <f t="shared" si="6"/>
        <v>0.37064084629514227</v>
      </c>
    </row>
    <row r="117" spans="2:15" x14ac:dyDescent="0.25">
      <c r="B117" s="7">
        <v>20.58</v>
      </c>
      <c r="J117" s="7">
        <v>22.57</v>
      </c>
      <c r="K117">
        <v>1</v>
      </c>
      <c r="L117">
        <f t="shared" si="4"/>
        <v>2E-3</v>
      </c>
      <c r="M117">
        <f t="shared" si="7"/>
        <v>0.22600000000000017</v>
      </c>
      <c r="N117">
        <f t="shared" si="5"/>
        <v>0.59561532464942879</v>
      </c>
      <c r="O117">
        <f t="shared" si="6"/>
        <v>0.36961532464942859</v>
      </c>
    </row>
    <row r="118" spans="2:15" x14ac:dyDescent="0.25">
      <c r="B118" s="7">
        <v>24.55</v>
      </c>
      <c r="J118" s="7">
        <v>22.59</v>
      </c>
      <c r="K118">
        <v>1</v>
      </c>
      <c r="L118">
        <f t="shared" si="4"/>
        <v>2E-3</v>
      </c>
      <c r="M118">
        <f t="shared" si="7"/>
        <v>0.22800000000000017</v>
      </c>
      <c r="N118">
        <f t="shared" si="5"/>
        <v>0.59593962990384508</v>
      </c>
      <c r="O118">
        <f t="shared" si="6"/>
        <v>0.36793962990384488</v>
      </c>
    </row>
    <row r="119" spans="2:15" x14ac:dyDescent="0.25">
      <c r="B119" s="7">
        <v>19.93</v>
      </c>
      <c r="J119" s="7">
        <v>22.6</v>
      </c>
      <c r="K119">
        <v>1</v>
      </c>
      <c r="L119">
        <f t="shared" si="4"/>
        <v>2E-3</v>
      </c>
      <c r="M119">
        <f t="shared" si="7"/>
        <v>0.23000000000000018</v>
      </c>
      <c r="N119">
        <f t="shared" si="5"/>
        <v>0.59610168498659266</v>
      </c>
      <c r="O119">
        <f t="shared" si="6"/>
        <v>0.36610168498659246</v>
      </c>
    </row>
    <row r="120" spans="2:15" x14ac:dyDescent="0.25">
      <c r="B120" s="7">
        <v>21.04</v>
      </c>
      <c r="J120" s="7">
        <v>22.61</v>
      </c>
      <c r="K120">
        <v>1</v>
      </c>
      <c r="L120">
        <f t="shared" si="4"/>
        <v>2E-3</v>
      </c>
      <c r="M120">
        <f t="shared" si="7"/>
        <v>0.23200000000000018</v>
      </c>
      <c r="N120">
        <f t="shared" si="5"/>
        <v>0.59626367507447364</v>
      </c>
      <c r="O120">
        <f t="shared" si="6"/>
        <v>0.36426367507447344</v>
      </c>
    </row>
    <row r="121" spans="2:15" x14ac:dyDescent="0.25">
      <c r="B121" s="7">
        <v>27.85</v>
      </c>
      <c r="J121" s="7">
        <v>22.68</v>
      </c>
      <c r="K121">
        <v>1</v>
      </c>
      <c r="L121">
        <f t="shared" si="4"/>
        <v>2E-3</v>
      </c>
      <c r="M121">
        <f t="shared" si="7"/>
        <v>0.23400000000000018</v>
      </c>
      <c r="N121">
        <f t="shared" si="5"/>
        <v>0.59739578802170978</v>
      </c>
      <c r="O121">
        <f t="shared" si="6"/>
        <v>0.36339578802170958</v>
      </c>
    </row>
    <row r="122" spans="2:15" x14ac:dyDescent="0.25">
      <c r="B122" s="7">
        <v>20.87</v>
      </c>
      <c r="J122" s="7">
        <v>22.69</v>
      </c>
      <c r="K122">
        <v>1</v>
      </c>
      <c r="L122">
        <f t="shared" si="4"/>
        <v>2E-3</v>
      </c>
      <c r="M122">
        <f t="shared" si="7"/>
        <v>0.23600000000000018</v>
      </c>
      <c r="N122">
        <f t="shared" si="5"/>
        <v>0.59755725908820212</v>
      </c>
      <c r="O122">
        <f t="shared" si="6"/>
        <v>0.36155725908820191</v>
      </c>
    </row>
    <row r="123" spans="2:15" x14ac:dyDescent="0.25">
      <c r="B123" s="7">
        <v>21.62</v>
      </c>
      <c r="J123" s="7">
        <v>22.69</v>
      </c>
      <c r="K123">
        <v>1</v>
      </c>
      <c r="L123">
        <f t="shared" si="4"/>
        <v>2E-3</v>
      </c>
      <c r="M123">
        <f t="shared" si="7"/>
        <v>0.23800000000000018</v>
      </c>
      <c r="N123">
        <f t="shared" si="5"/>
        <v>0.59755725908820212</v>
      </c>
      <c r="O123">
        <f t="shared" si="6"/>
        <v>0.35955725908820191</v>
      </c>
    </row>
    <row r="124" spans="2:15" x14ac:dyDescent="0.25">
      <c r="B124" s="7">
        <v>24.75</v>
      </c>
      <c r="J124" s="7">
        <v>22.71</v>
      </c>
      <c r="K124">
        <v>1</v>
      </c>
      <c r="L124">
        <f t="shared" si="4"/>
        <v>2E-3</v>
      </c>
      <c r="M124">
        <f t="shared" si="7"/>
        <v>0.24000000000000019</v>
      </c>
      <c r="N124">
        <f t="shared" si="5"/>
        <v>0.59788000696524812</v>
      </c>
      <c r="O124">
        <f t="shared" si="6"/>
        <v>0.35788000696524791</v>
      </c>
    </row>
    <row r="125" spans="2:15" x14ac:dyDescent="0.25">
      <c r="B125" s="7">
        <v>27.6</v>
      </c>
      <c r="J125" s="7">
        <v>22.71</v>
      </c>
      <c r="K125">
        <v>1</v>
      </c>
      <c r="L125">
        <f t="shared" si="4"/>
        <v>2E-3</v>
      </c>
      <c r="M125">
        <f t="shared" si="7"/>
        <v>0.24200000000000019</v>
      </c>
      <c r="N125">
        <f t="shared" si="5"/>
        <v>0.59788000696524812</v>
      </c>
      <c r="O125">
        <f t="shared" si="6"/>
        <v>0.35588000696524791</v>
      </c>
    </row>
    <row r="126" spans="2:15" x14ac:dyDescent="0.25">
      <c r="B126" s="7">
        <v>29.25</v>
      </c>
      <c r="J126" s="7">
        <v>22.73</v>
      </c>
      <c r="K126">
        <v>1</v>
      </c>
      <c r="L126">
        <f t="shared" si="4"/>
        <v>2E-3</v>
      </c>
      <c r="M126">
        <f t="shared" si="7"/>
        <v>0.24400000000000019</v>
      </c>
      <c r="N126">
        <f t="shared" si="5"/>
        <v>0.59820249600747988</v>
      </c>
      <c r="O126">
        <f t="shared" si="6"/>
        <v>0.35420249600747966</v>
      </c>
    </row>
    <row r="127" spans="2:15" x14ac:dyDescent="0.25">
      <c r="B127" s="7">
        <v>21.34</v>
      </c>
      <c r="J127" s="7">
        <v>22.73</v>
      </c>
      <c r="K127">
        <v>1</v>
      </c>
      <c r="L127">
        <f t="shared" si="4"/>
        <v>2E-3</v>
      </c>
      <c r="M127">
        <f t="shared" si="7"/>
        <v>0.24600000000000019</v>
      </c>
      <c r="N127">
        <f t="shared" si="5"/>
        <v>0.59820249600747988</v>
      </c>
      <c r="O127">
        <f t="shared" si="6"/>
        <v>0.35220249600747966</v>
      </c>
    </row>
    <row r="128" spans="2:15" x14ac:dyDescent="0.25">
      <c r="B128" s="7">
        <v>25.93</v>
      </c>
      <c r="J128" s="7">
        <v>22.77</v>
      </c>
      <c r="K128">
        <v>1</v>
      </c>
      <c r="L128">
        <f t="shared" si="4"/>
        <v>2E-3</v>
      </c>
      <c r="M128">
        <f t="shared" si="7"/>
        <v>0.24800000000000019</v>
      </c>
      <c r="N128">
        <f t="shared" si="5"/>
        <v>0.59884669841764704</v>
      </c>
      <c r="O128">
        <f t="shared" si="6"/>
        <v>0.35084669841764682</v>
      </c>
    </row>
    <row r="129" spans="2:15" x14ac:dyDescent="0.25">
      <c r="B129" s="7">
        <v>23.45</v>
      </c>
      <c r="J129" s="7">
        <v>22.83</v>
      </c>
      <c r="K129">
        <v>1</v>
      </c>
      <c r="L129">
        <f t="shared" si="4"/>
        <v>2E-3</v>
      </c>
      <c r="M129">
        <f t="shared" si="7"/>
        <v>0.25000000000000017</v>
      </c>
      <c r="N129">
        <f t="shared" si="5"/>
        <v>0.59981106595584022</v>
      </c>
      <c r="O129">
        <f t="shared" si="6"/>
        <v>0.34981106595584005</v>
      </c>
    </row>
    <row r="130" spans="2:15" x14ac:dyDescent="0.25">
      <c r="B130" s="7">
        <v>27.22</v>
      </c>
      <c r="J130" s="7">
        <v>22.84</v>
      </c>
      <c r="K130">
        <v>1</v>
      </c>
      <c r="L130">
        <f t="shared" si="4"/>
        <v>2E-3</v>
      </c>
      <c r="M130">
        <f t="shared" si="7"/>
        <v>0.25200000000000017</v>
      </c>
      <c r="N130">
        <f t="shared" si="5"/>
        <v>0.59997156833523912</v>
      </c>
      <c r="O130">
        <f t="shared" si="6"/>
        <v>0.34797156833523896</v>
      </c>
    </row>
    <row r="131" spans="2:15" x14ac:dyDescent="0.25">
      <c r="B131" s="7">
        <v>28.82</v>
      </c>
      <c r="J131" s="7">
        <v>22.87</v>
      </c>
      <c r="K131">
        <v>1</v>
      </c>
      <c r="L131">
        <f t="shared" si="4"/>
        <v>2E-3</v>
      </c>
      <c r="M131">
        <f t="shared" si="7"/>
        <v>0.25400000000000017</v>
      </c>
      <c r="N131">
        <f t="shared" si="5"/>
        <v>0.60045268934391949</v>
      </c>
      <c r="O131">
        <f t="shared" si="6"/>
        <v>0.34645268934391932</v>
      </c>
    </row>
    <row r="132" spans="2:15" x14ac:dyDescent="0.25">
      <c r="B132" s="7">
        <v>23.01</v>
      </c>
      <c r="J132" s="7">
        <v>22.88</v>
      </c>
      <c r="K132">
        <v>1</v>
      </c>
      <c r="L132">
        <f t="shared" si="4"/>
        <v>2E-3</v>
      </c>
      <c r="M132">
        <f t="shared" si="7"/>
        <v>0.25600000000000017</v>
      </c>
      <c r="N132">
        <f t="shared" si="5"/>
        <v>0.6006129343896649</v>
      </c>
      <c r="O132">
        <f t="shared" si="6"/>
        <v>0.34461293438966473</v>
      </c>
    </row>
    <row r="133" spans="2:15" x14ac:dyDescent="0.25">
      <c r="B133" s="7">
        <v>24.8</v>
      </c>
      <c r="J133" s="7">
        <v>22.93</v>
      </c>
      <c r="K133">
        <v>1</v>
      </c>
      <c r="L133">
        <f t="shared" si="4"/>
        <v>2E-3</v>
      </c>
      <c r="M133">
        <f t="shared" si="7"/>
        <v>0.25800000000000017</v>
      </c>
      <c r="N133">
        <f t="shared" si="5"/>
        <v>0.60141319609993849</v>
      </c>
      <c r="O133">
        <f t="shared" si="6"/>
        <v>0.34341319609993831</v>
      </c>
    </row>
    <row r="134" spans="2:15" x14ac:dyDescent="0.25">
      <c r="B134" s="7">
        <v>29.73</v>
      </c>
      <c r="J134" s="7">
        <v>22.94</v>
      </c>
      <c r="K134">
        <v>1</v>
      </c>
      <c r="L134">
        <f t="shared" ref="L134:L197" si="8">K134/$E$20</f>
        <v>2E-3</v>
      </c>
      <c r="M134">
        <f t="shared" si="7"/>
        <v>0.26000000000000018</v>
      </c>
      <c r="N134">
        <f t="shared" ref="N134:N197" si="9">1-EXP(-$H$11*J134)</f>
        <v>0.60157305591859078</v>
      </c>
      <c r="O134">
        <f t="shared" ref="O134:O197" si="10">ABS(M134-N134)</f>
        <v>0.34157305591859061</v>
      </c>
    </row>
    <row r="135" spans="2:15" x14ac:dyDescent="0.25">
      <c r="B135" s="7">
        <v>26.56</v>
      </c>
      <c r="J135" s="7">
        <v>22.95</v>
      </c>
      <c r="K135">
        <v>1</v>
      </c>
      <c r="L135">
        <f t="shared" si="8"/>
        <v>2E-3</v>
      </c>
      <c r="M135">
        <f t="shared" ref="M135:M198" si="11">M134+L135</f>
        <v>0.26200000000000018</v>
      </c>
      <c r="N135">
        <f t="shared" si="9"/>
        <v>0.60173285162282331</v>
      </c>
      <c r="O135">
        <f t="shared" si="10"/>
        <v>0.33973285162282313</v>
      </c>
    </row>
    <row r="136" spans="2:15" x14ac:dyDescent="0.25">
      <c r="B136" s="7">
        <v>27.43</v>
      </c>
      <c r="J136" s="7">
        <v>22.98</v>
      </c>
      <c r="K136">
        <v>1</v>
      </c>
      <c r="L136">
        <f t="shared" si="8"/>
        <v>2E-3</v>
      </c>
      <c r="M136">
        <f t="shared" si="11"/>
        <v>0.26400000000000018</v>
      </c>
      <c r="N136">
        <f t="shared" si="9"/>
        <v>0.60221185430609281</v>
      </c>
      <c r="O136">
        <f t="shared" si="10"/>
        <v>0.33821185430609263</v>
      </c>
    </row>
    <row r="137" spans="2:15" x14ac:dyDescent="0.25">
      <c r="B137" s="7">
        <v>23.98</v>
      </c>
      <c r="J137" s="7">
        <v>23.01</v>
      </c>
      <c r="K137">
        <v>1</v>
      </c>
      <c r="L137">
        <f t="shared" si="8"/>
        <v>2E-3</v>
      </c>
      <c r="M137">
        <f t="shared" si="11"/>
        <v>0.26600000000000018</v>
      </c>
      <c r="N137">
        <f t="shared" si="9"/>
        <v>0.60269028088467602</v>
      </c>
      <c r="O137">
        <f t="shared" si="10"/>
        <v>0.33669028088467584</v>
      </c>
    </row>
    <row r="138" spans="2:15" x14ac:dyDescent="0.25">
      <c r="B138" s="7">
        <v>27.23</v>
      </c>
      <c r="J138" s="7">
        <v>23.04</v>
      </c>
      <c r="K138">
        <v>1</v>
      </c>
      <c r="L138">
        <f t="shared" si="8"/>
        <v>2E-3</v>
      </c>
      <c r="M138">
        <f t="shared" si="11"/>
        <v>0.26800000000000018</v>
      </c>
      <c r="N138">
        <f t="shared" si="9"/>
        <v>0.60316813205146391</v>
      </c>
      <c r="O138">
        <f t="shared" si="10"/>
        <v>0.33516813205146373</v>
      </c>
    </row>
    <row r="139" spans="2:15" x14ac:dyDescent="0.25">
      <c r="B139" s="7">
        <v>25.62</v>
      </c>
      <c r="J139" s="7">
        <v>23.07</v>
      </c>
      <c r="K139">
        <v>1</v>
      </c>
      <c r="L139">
        <f t="shared" si="8"/>
        <v>2E-3</v>
      </c>
      <c r="M139">
        <f t="shared" si="11"/>
        <v>0.27000000000000018</v>
      </c>
      <c r="N139">
        <f t="shared" si="9"/>
        <v>0.60364540849851389</v>
      </c>
      <c r="O139">
        <f t="shared" si="10"/>
        <v>0.33364540849851371</v>
      </c>
    </row>
    <row r="140" spans="2:15" x14ac:dyDescent="0.25">
      <c r="B140" s="7">
        <v>23.74</v>
      </c>
      <c r="J140" s="7">
        <v>23.08</v>
      </c>
      <c r="K140">
        <v>1</v>
      </c>
      <c r="L140">
        <f t="shared" si="8"/>
        <v>2E-3</v>
      </c>
      <c r="M140">
        <f t="shared" si="11"/>
        <v>0.27200000000000019</v>
      </c>
      <c r="N140">
        <f t="shared" si="9"/>
        <v>0.60380437305152812</v>
      </c>
      <c r="O140">
        <f t="shared" si="10"/>
        <v>0.33180437305152793</v>
      </c>
    </row>
    <row r="141" spans="2:15" x14ac:dyDescent="0.25">
      <c r="B141" s="7">
        <v>22.93</v>
      </c>
      <c r="J141" s="7">
        <v>23.08</v>
      </c>
      <c r="K141">
        <v>1</v>
      </c>
      <c r="L141">
        <f t="shared" si="8"/>
        <v>2E-3</v>
      </c>
      <c r="M141">
        <f t="shared" si="11"/>
        <v>0.27400000000000019</v>
      </c>
      <c r="N141">
        <f t="shared" si="9"/>
        <v>0.60380437305152812</v>
      </c>
      <c r="O141">
        <f t="shared" si="10"/>
        <v>0.32980437305152793</v>
      </c>
    </row>
    <row r="142" spans="2:15" x14ac:dyDescent="0.25">
      <c r="B142" s="7">
        <v>23.2</v>
      </c>
      <c r="J142" s="7">
        <v>23.1</v>
      </c>
      <c r="K142">
        <v>1</v>
      </c>
      <c r="L142">
        <f t="shared" si="8"/>
        <v>2E-3</v>
      </c>
      <c r="M142">
        <f t="shared" si="11"/>
        <v>0.27600000000000019</v>
      </c>
      <c r="N142">
        <f t="shared" si="9"/>
        <v>0.60412211091705137</v>
      </c>
      <c r="O142">
        <f t="shared" si="10"/>
        <v>0.32812211091705118</v>
      </c>
    </row>
    <row r="143" spans="2:15" x14ac:dyDescent="0.25">
      <c r="B143" s="7">
        <v>25.69</v>
      </c>
      <c r="J143" s="7">
        <v>23.11</v>
      </c>
      <c r="K143">
        <v>1</v>
      </c>
      <c r="L143">
        <f t="shared" si="8"/>
        <v>2E-3</v>
      </c>
      <c r="M143">
        <f t="shared" si="11"/>
        <v>0.27800000000000019</v>
      </c>
      <c r="N143">
        <f t="shared" si="9"/>
        <v>0.60428088428068993</v>
      </c>
      <c r="O143">
        <f t="shared" si="10"/>
        <v>0.32628088428068974</v>
      </c>
    </row>
    <row r="144" spans="2:15" x14ac:dyDescent="0.25">
      <c r="B144" s="7">
        <v>30.13</v>
      </c>
      <c r="J144" s="7">
        <v>23.12</v>
      </c>
      <c r="K144">
        <v>1</v>
      </c>
      <c r="L144">
        <f t="shared" si="8"/>
        <v>2E-3</v>
      </c>
      <c r="M144">
        <f t="shared" si="11"/>
        <v>0.28000000000000019</v>
      </c>
      <c r="N144">
        <f t="shared" si="9"/>
        <v>0.60443959396564972</v>
      </c>
      <c r="O144">
        <f t="shared" si="10"/>
        <v>0.32443959396564953</v>
      </c>
    </row>
    <row r="145" spans="2:15" x14ac:dyDescent="0.25">
      <c r="B145" s="7">
        <v>27.92</v>
      </c>
      <c r="J145" s="7">
        <v>23.14</v>
      </c>
      <c r="K145">
        <v>1</v>
      </c>
      <c r="L145">
        <f t="shared" si="8"/>
        <v>2E-3</v>
      </c>
      <c r="M145">
        <f t="shared" si="11"/>
        <v>0.28200000000000019</v>
      </c>
      <c r="N145">
        <f t="shared" si="9"/>
        <v>0.60475682240167972</v>
      </c>
      <c r="O145">
        <f t="shared" si="10"/>
        <v>0.32275682240167952</v>
      </c>
    </row>
    <row r="146" spans="2:15" x14ac:dyDescent="0.25">
      <c r="B146" s="7">
        <v>18.38</v>
      </c>
      <c r="J146" s="7">
        <v>23.17</v>
      </c>
      <c r="K146">
        <v>1</v>
      </c>
      <c r="L146">
        <f t="shared" si="8"/>
        <v>2E-3</v>
      </c>
      <c r="M146">
        <f t="shared" si="11"/>
        <v>0.2840000000000002</v>
      </c>
      <c r="N146">
        <f t="shared" si="9"/>
        <v>0.60523218810378454</v>
      </c>
      <c r="O146">
        <f t="shared" si="10"/>
        <v>0.32123218810378434</v>
      </c>
    </row>
    <row r="147" spans="2:15" x14ac:dyDescent="0.25">
      <c r="B147" s="7">
        <v>23.52</v>
      </c>
      <c r="J147" s="7">
        <v>23.18</v>
      </c>
      <c r="K147">
        <v>1</v>
      </c>
      <c r="L147">
        <f t="shared" si="8"/>
        <v>2E-3</v>
      </c>
      <c r="M147">
        <f t="shared" si="11"/>
        <v>0.2860000000000002</v>
      </c>
      <c r="N147">
        <f t="shared" si="9"/>
        <v>0.6053905162526394</v>
      </c>
      <c r="O147">
        <f t="shared" si="10"/>
        <v>0.3193905162526392</v>
      </c>
    </row>
    <row r="148" spans="2:15" x14ac:dyDescent="0.25">
      <c r="B148" s="7">
        <v>25.73</v>
      </c>
      <c r="J148" s="7">
        <v>23.19</v>
      </c>
      <c r="K148">
        <v>1</v>
      </c>
      <c r="L148">
        <f t="shared" si="8"/>
        <v>2E-3</v>
      </c>
      <c r="M148">
        <f t="shared" si="11"/>
        <v>0.2880000000000002</v>
      </c>
      <c r="N148">
        <f t="shared" si="9"/>
        <v>0.60554878090137598</v>
      </c>
      <c r="O148">
        <f t="shared" si="10"/>
        <v>0.31754878090137578</v>
      </c>
    </row>
    <row r="149" spans="2:15" x14ac:dyDescent="0.25">
      <c r="B149" s="7">
        <v>26.45</v>
      </c>
      <c r="J149" s="7">
        <v>23.2</v>
      </c>
      <c r="K149">
        <v>1</v>
      </c>
      <c r="L149">
        <f t="shared" si="8"/>
        <v>2E-3</v>
      </c>
      <c r="M149">
        <f t="shared" si="11"/>
        <v>0.2900000000000002</v>
      </c>
      <c r="N149">
        <f t="shared" si="9"/>
        <v>0.60570698207546214</v>
      </c>
      <c r="O149">
        <f t="shared" si="10"/>
        <v>0.31570698207546194</v>
      </c>
    </row>
    <row r="150" spans="2:15" x14ac:dyDescent="0.25">
      <c r="B150" s="7">
        <v>26.2</v>
      </c>
      <c r="J150" s="7">
        <v>23.22</v>
      </c>
      <c r="K150">
        <v>1</v>
      </c>
      <c r="L150">
        <f t="shared" si="8"/>
        <v>2E-3</v>
      </c>
      <c r="M150">
        <f t="shared" si="11"/>
        <v>0.2920000000000002</v>
      </c>
      <c r="N150">
        <f t="shared" si="9"/>
        <v>0.60602319410150318</v>
      </c>
      <c r="O150">
        <f t="shared" si="10"/>
        <v>0.31402319410150298</v>
      </c>
    </row>
    <row r="151" spans="2:15" x14ac:dyDescent="0.25">
      <c r="B151" s="7">
        <v>23.38</v>
      </c>
      <c r="J151" s="7">
        <v>23.22</v>
      </c>
      <c r="K151">
        <v>1</v>
      </c>
      <c r="L151">
        <f t="shared" si="8"/>
        <v>2E-3</v>
      </c>
      <c r="M151">
        <f t="shared" si="11"/>
        <v>0.29400000000000021</v>
      </c>
      <c r="N151">
        <f t="shared" si="9"/>
        <v>0.60602319410150318</v>
      </c>
      <c r="O151">
        <f t="shared" si="10"/>
        <v>0.31202319410150298</v>
      </c>
    </row>
    <row r="152" spans="2:15" x14ac:dyDescent="0.25">
      <c r="B152" s="7">
        <v>24.47</v>
      </c>
      <c r="J152" s="7">
        <v>23.22</v>
      </c>
      <c r="K152">
        <v>1</v>
      </c>
      <c r="L152">
        <f t="shared" si="8"/>
        <v>2E-3</v>
      </c>
      <c r="M152">
        <f t="shared" si="11"/>
        <v>0.29600000000000021</v>
      </c>
      <c r="N152">
        <f t="shared" si="9"/>
        <v>0.60602319410150318</v>
      </c>
      <c r="O152">
        <f t="shared" si="10"/>
        <v>0.31002319410150297</v>
      </c>
    </row>
    <row r="153" spans="2:15" x14ac:dyDescent="0.25">
      <c r="B153" s="7">
        <v>23.19</v>
      </c>
      <c r="J153" s="7">
        <v>23.23</v>
      </c>
      <c r="K153">
        <v>1</v>
      </c>
      <c r="L153">
        <f t="shared" si="8"/>
        <v>2E-3</v>
      </c>
      <c r="M153">
        <f t="shared" si="11"/>
        <v>0.29800000000000021</v>
      </c>
      <c r="N153">
        <f t="shared" si="9"/>
        <v>0.60618120500434269</v>
      </c>
      <c r="O153">
        <f t="shared" si="10"/>
        <v>0.30818120500434248</v>
      </c>
    </row>
    <row r="154" spans="2:15" x14ac:dyDescent="0.25">
      <c r="B154" s="7">
        <v>23.29</v>
      </c>
      <c r="J154" s="7">
        <v>23.24</v>
      </c>
      <c r="K154">
        <v>1</v>
      </c>
      <c r="L154">
        <f t="shared" si="8"/>
        <v>2E-3</v>
      </c>
      <c r="M154">
        <f t="shared" si="11"/>
        <v>0.30000000000000021</v>
      </c>
      <c r="N154">
        <f t="shared" si="9"/>
        <v>0.60633915253430049</v>
      </c>
      <c r="O154">
        <f t="shared" si="10"/>
        <v>0.30633915253430027</v>
      </c>
    </row>
    <row r="155" spans="2:15" x14ac:dyDescent="0.25">
      <c r="B155" s="7">
        <v>23.08</v>
      </c>
      <c r="J155" s="7">
        <v>23.26</v>
      </c>
      <c r="K155">
        <v>1</v>
      </c>
      <c r="L155">
        <f t="shared" si="8"/>
        <v>2E-3</v>
      </c>
      <c r="M155">
        <f t="shared" si="11"/>
        <v>0.30200000000000021</v>
      </c>
      <c r="N155">
        <f t="shared" si="9"/>
        <v>0.60665485757722881</v>
      </c>
      <c r="O155">
        <f t="shared" si="10"/>
        <v>0.3046548575772286</v>
      </c>
    </row>
    <row r="156" spans="2:15" x14ac:dyDescent="0.25">
      <c r="B156" s="7">
        <v>28.75</v>
      </c>
      <c r="J156" s="7">
        <v>23.29</v>
      </c>
      <c r="K156">
        <v>1</v>
      </c>
      <c r="L156">
        <f t="shared" si="8"/>
        <v>2E-3</v>
      </c>
      <c r="M156">
        <f t="shared" si="11"/>
        <v>0.30400000000000021</v>
      </c>
      <c r="N156">
        <f t="shared" si="9"/>
        <v>0.60712794048009755</v>
      </c>
      <c r="O156">
        <f t="shared" si="10"/>
        <v>0.30312794048009734</v>
      </c>
    </row>
    <row r="157" spans="2:15" x14ac:dyDescent="0.25">
      <c r="B157" s="7">
        <v>18.27</v>
      </c>
      <c r="J157" s="7">
        <v>23.29</v>
      </c>
      <c r="K157">
        <v>1</v>
      </c>
      <c r="L157">
        <f t="shared" si="8"/>
        <v>2E-3</v>
      </c>
      <c r="M157">
        <f t="shared" si="11"/>
        <v>0.30600000000000022</v>
      </c>
      <c r="N157">
        <f t="shared" si="9"/>
        <v>0.60712794048009755</v>
      </c>
      <c r="O157">
        <f t="shared" si="10"/>
        <v>0.30112794048009733</v>
      </c>
    </row>
    <row r="158" spans="2:15" x14ac:dyDescent="0.25">
      <c r="B158" s="7">
        <v>31.45</v>
      </c>
      <c r="J158" s="7">
        <v>23.31</v>
      </c>
      <c r="K158">
        <v>1</v>
      </c>
      <c r="L158">
        <f t="shared" si="8"/>
        <v>2E-3</v>
      </c>
      <c r="M158">
        <f t="shared" si="11"/>
        <v>0.30800000000000022</v>
      </c>
      <c r="N158">
        <f t="shared" si="9"/>
        <v>0.6074430129370475</v>
      </c>
      <c r="O158">
        <f t="shared" si="10"/>
        <v>0.29944301293704728</v>
      </c>
    </row>
    <row r="159" spans="2:15" x14ac:dyDescent="0.25">
      <c r="B159" s="7">
        <v>24.74</v>
      </c>
      <c r="J159" s="7">
        <v>23.35</v>
      </c>
      <c r="K159">
        <v>1</v>
      </c>
      <c r="L159">
        <f t="shared" si="8"/>
        <v>2E-3</v>
      </c>
      <c r="M159">
        <f t="shared" si="11"/>
        <v>0.31000000000000022</v>
      </c>
      <c r="N159">
        <f t="shared" si="9"/>
        <v>0.60807240001556617</v>
      </c>
      <c r="O159">
        <f t="shared" si="10"/>
        <v>0.29807240001556595</v>
      </c>
    </row>
    <row r="160" spans="2:15" x14ac:dyDescent="0.25">
      <c r="B160" s="7">
        <v>22.51</v>
      </c>
      <c r="J160" s="7">
        <v>23.36</v>
      </c>
      <c r="K160">
        <v>1</v>
      </c>
      <c r="L160">
        <f t="shared" si="8"/>
        <v>2E-3</v>
      </c>
      <c r="M160">
        <f t="shared" si="11"/>
        <v>0.31200000000000022</v>
      </c>
      <c r="N160">
        <f t="shared" si="9"/>
        <v>0.60822958905053981</v>
      </c>
      <c r="O160">
        <f t="shared" si="10"/>
        <v>0.29622958905053959</v>
      </c>
    </row>
    <row r="161" spans="2:15" x14ac:dyDescent="0.25">
      <c r="B161" s="7">
        <v>27.94</v>
      </c>
      <c r="J161" s="7">
        <v>23.37</v>
      </c>
      <c r="K161">
        <v>1</v>
      </c>
      <c r="L161">
        <f t="shared" si="8"/>
        <v>2E-3</v>
      </c>
      <c r="M161">
        <f t="shared" si="11"/>
        <v>0.31400000000000022</v>
      </c>
      <c r="N161">
        <f t="shared" si="9"/>
        <v>0.60838671504225572</v>
      </c>
      <c r="O161">
        <f t="shared" si="10"/>
        <v>0.2943867150422555</v>
      </c>
    </row>
    <row r="162" spans="2:15" x14ac:dyDescent="0.25">
      <c r="B162" s="7">
        <v>26.87</v>
      </c>
      <c r="J162" s="7">
        <v>23.38</v>
      </c>
      <c r="K162">
        <v>1</v>
      </c>
      <c r="L162">
        <f t="shared" si="8"/>
        <v>2E-3</v>
      </c>
      <c r="M162">
        <f t="shared" si="11"/>
        <v>0.31600000000000023</v>
      </c>
      <c r="N162">
        <f t="shared" si="9"/>
        <v>0.60854377801599835</v>
      </c>
      <c r="O162">
        <f t="shared" si="10"/>
        <v>0.29254377801599812</v>
      </c>
    </row>
    <row r="163" spans="2:15" x14ac:dyDescent="0.25">
      <c r="B163" s="7">
        <v>21.81</v>
      </c>
      <c r="J163" s="7">
        <v>23.38</v>
      </c>
      <c r="K163">
        <v>1</v>
      </c>
      <c r="L163">
        <f t="shared" si="8"/>
        <v>2E-3</v>
      </c>
      <c r="M163">
        <f t="shared" si="11"/>
        <v>0.31800000000000023</v>
      </c>
      <c r="N163">
        <f t="shared" si="9"/>
        <v>0.60854377801599835</v>
      </c>
      <c r="O163">
        <f t="shared" si="10"/>
        <v>0.29054377801599812</v>
      </c>
    </row>
    <row r="164" spans="2:15" x14ac:dyDescent="0.25">
      <c r="B164" s="7">
        <v>25.95</v>
      </c>
      <c r="J164" s="7">
        <v>23.39</v>
      </c>
      <c r="K164">
        <v>1</v>
      </c>
      <c r="L164">
        <f t="shared" si="8"/>
        <v>2E-3</v>
      </c>
      <c r="M164">
        <f t="shared" si="11"/>
        <v>0.32000000000000023</v>
      </c>
      <c r="N164">
        <f t="shared" si="9"/>
        <v>0.60870077799704236</v>
      </c>
      <c r="O164">
        <f t="shared" si="10"/>
        <v>0.28870077799704214</v>
      </c>
    </row>
    <row r="165" spans="2:15" x14ac:dyDescent="0.25">
      <c r="B165" s="7">
        <v>24.95</v>
      </c>
      <c r="J165" s="7">
        <v>23.39</v>
      </c>
      <c r="K165">
        <v>1</v>
      </c>
      <c r="L165">
        <f t="shared" si="8"/>
        <v>2E-3</v>
      </c>
      <c r="M165">
        <f t="shared" si="11"/>
        <v>0.32200000000000023</v>
      </c>
      <c r="N165">
        <f t="shared" si="9"/>
        <v>0.60870077799704236</v>
      </c>
      <c r="O165">
        <f t="shared" si="10"/>
        <v>0.28670077799704213</v>
      </c>
    </row>
    <row r="166" spans="2:15" x14ac:dyDescent="0.25">
      <c r="B166" s="7">
        <v>21.66</v>
      </c>
      <c r="J166" s="7">
        <v>23.39</v>
      </c>
      <c r="K166">
        <v>1</v>
      </c>
      <c r="L166">
        <f t="shared" si="8"/>
        <v>2E-3</v>
      </c>
      <c r="M166">
        <f t="shared" si="11"/>
        <v>0.32400000000000023</v>
      </c>
      <c r="N166">
        <f t="shared" si="9"/>
        <v>0.60870077799704236</v>
      </c>
      <c r="O166">
        <f t="shared" si="10"/>
        <v>0.28470077799704213</v>
      </c>
    </row>
    <row r="167" spans="2:15" x14ac:dyDescent="0.25">
      <c r="B167" s="7">
        <v>24.68</v>
      </c>
      <c r="J167" s="7">
        <v>23.4</v>
      </c>
      <c r="K167">
        <v>1</v>
      </c>
      <c r="L167">
        <f t="shared" si="8"/>
        <v>2E-3</v>
      </c>
      <c r="M167">
        <f t="shared" si="11"/>
        <v>0.32600000000000023</v>
      </c>
      <c r="N167">
        <f t="shared" si="9"/>
        <v>0.60885771501065156</v>
      </c>
      <c r="O167">
        <f t="shared" si="10"/>
        <v>0.28285771501065132</v>
      </c>
    </row>
    <row r="168" spans="2:15" x14ac:dyDescent="0.25">
      <c r="B168" s="7">
        <v>23.38</v>
      </c>
      <c r="J168" s="7">
        <v>23.43</v>
      </c>
      <c r="K168">
        <v>1</v>
      </c>
      <c r="L168">
        <f t="shared" si="8"/>
        <v>2E-3</v>
      </c>
      <c r="M168">
        <f t="shared" si="11"/>
        <v>0.32800000000000024</v>
      </c>
      <c r="N168">
        <f t="shared" si="9"/>
        <v>0.60932814849936257</v>
      </c>
      <c r="O168">
        <f t="shared" si="10"/>
        <v>0.28132814849936233</v>
      </c>
    </row>
    <row r="169" spans="2:15" x14ac:dyDescent="0.25">
      <c r="B169" s="7">
        <v>22.71</v>
      </c>
      <c r="J169" s="7">
        <v>23.43</v>
      </c>
      <c r="K169">
        <v>1</v>
      </c>
      <c r="L169">
        <f t="shared" si="8"/>
        <v>2E-3</v>
      </c>
      <c r="M169">
        <f t="shared" si="11"/>
        <v>0.33000000000000024</v>
      </c>
      <c r="N169">
        <f t="shared" si="9"/>
        <v>0.60932814849936257</v>
      </c>
      <c r="O169">
        <f t="shared" si="10"/>
        <v>0.27932814849936233</v>
      </c>
    </row>
    <row r="170" spans="2:15" x14ac:dyDescent="0.25">
      <c r="B170" s="7">
        <v>17</v>
      </c>
      <c r="J170" s="7">
        <v>23.43</v>
      </c>
      <c r="K170">
        <v>1</v>
      </c>
      <c r="L170">
        <f t="shared" si="8"/>
        <v>2E-3</v>
      </c>
      <c r="M170">
        <f t="shared" si="11"/>
        <v>0.33200000000000024</v>
      </c>
      <c r="N170">
        <f t="shared" si="9"/>
        <v>0.60932814849936257</v>
      </c>
      <c r="O170">
        <f t="shared" si="10"/>
        <v>0.27732814849936233</v>
      </c>
    </row>
    <row r="171" spans="2:15" x14ac:dyDescent="0.25">
      <c r="B171" s="7">
        <v>27.68</v>
      </c>
      <c r="J171" s="7">
        <v>23.44</v>
      </c>
      <c r="K171">
        <v>1</v>
      </c>
      <c r="L171">
        <f t="shared" si="8"/>
        <v>2E-3</v>
      </c>
      <c r="M171">
        <f t="shared" si="11"/>
        <v>0.33400000000000024</v>
      </c>
      <c r="N171">
        <f t="shared" si="9"/>
        <v>0.60948483389567354</v>
      </c>
      <c r="O171">
        <f t="shared" si="10"/>
        <v>0.2754848338956733</v>
      </c>
    </row>
    <row r="172" spans="2:15" x14ac:dyDescent="0.25">
      <c r="B172" s="7">
        <v>28.25</v>
      </c>
      <c r="J172" s="7">
        <v>23.45</v>
      </c>
      <c r="K172">
        <v>1</v>
      </c>
      <c r="L172">
        <f t="shared" si="8"/>
        <v>2E-3</v>
      </c>
      <c r="M172">
        <f t="shared" si="11"/>
        <v>0.33600000000000024</v>
      </c>
      <c r="N172">
        <f t="shared" si="9"/>
        <v>0.60964145645071932</v>
      </c>
      <c r="O172">
        <f t="shared" si="10"/>
        <v>0.27364145645071908</v>
      </c>
    </row>
    <row r="173" spans="2:15" x14ac:dyDescent="0.25">
      <c r="B173" s="7">
        <v>30.42</v>
      </c>
      <c r="J173" s="7">
        <v>23.46</v>
      </c>
      <c r="K173">
        <v>1</v>
      </c>
      <c r="L173">
        <f t="shared" si="8"/>
        <v>2E-3</v>
      </c>
      <c r="M173">
        <f t="shared" si="11"/>
        <v>0.33800000000000024</v>
      </c>
      <c r="N173">
        <f t="shared" si="9"/>
        <v>0.60979801618970364</v>
      </c>
      <c r="O173">
        <f t="shared" si="10"/>
        <v>0.2717980161897034</v>
      </c>
    </row>
    <row r="174" spans="2:15" x14ac:dyDescent="0.25">
      <c r="B174" s="7">
        <v>24.16</v>
      </c>
      <c r="J174" s="7">
        <v>23.47</v>
      </c>
      <c r="K174">
        <v>1</v>
      </c>
      <c r="L174">
        <f t="shared" si="8"/>
        <v>2E-3</v>
      </c>
      <c r="M174">
        <f t="shared" si="11"/>
        <v>0.34000000000000025</v>
      </c>
      <c r="N174">
        <f t="shared" si="9"/>
        <v>0.60995451313781945</v>
      </c>
      <c r="O174">
        <f t="shared" si="10"/>
        <v>0.26995451313781921</v>
      </c>
    </row>
    <row r="175" spans="2:15" x14ac:dyDescent="0.25">
      <c r="B175" s="7">
        <v>15.16</v>
      </c>
      <c r="J175" s="7">
        <v>23.49</v>
      </c>
      <c r="K175">
        <v>1</v>
      </c>
      <c r="L175">
        <f t="shared" si="8"/>
        <v>2E-3</v>
      </c>
      <c r="M175">
        <f t="shared" si="11"/>
        <v>0.34200000000000025</v>
      </c>
      <c r="N175">
        <f t="shared" si="9"/>
        <v>0.61026731876216989</v>
      </c>
      <c r="O175">
        <f t="shared" si="10"/>
        <v>0.26826731876216964</v>
      </c>
    </row>
    <row r="176" spans="2:15" x14ac:dyDescent="0.25">
      <c r="B176" s="7">
        <v>26.77</v>
      </c>
      <c r="J176" s="7">
        <v>23.52</v>
      </c>
      <c r="K176">
        <v>1</v>
      </c>
      <c r="L176">
        <f t="shared" si="8"/>
        <v>2E-3</v>
      </c>
      <c r="M176">
        <f t="shared" si="11"/>
        <v>0.34400000000000025</v>
      </c>
      <c r="N176">
        <f t="shared" si="9"/>
        <v>0.6107360568964384</v>
      </c>
      <c r="O176">
        <f t="shared" si="10"/>
        <v>0.26673605689643815</v>
      </c>
    </row>
    <row r="177" spans="2:15" x14ac:dyDescent="0.25">
      <c r="B177" s="7">
        <v>27.09</v>
      </c>
      <c r="J177" s="7">
        <v>23.53</v>
      </c>
      <c r="K177">
        <v>1</v>
      </c>
      <c r="L177">
        <f t="shared" si="8"/>
        <v>2E-3</v>
      </c>
      <c r="M177">
        <f t="shared" si="11"/>
        <v>0.34600000000000025</v>
      </c>
      <c r="N177">
        <f t="shared" si="9"/>
        <v>0.61089217762784109</v>
      </c>
      <c r="O177">
        <f t="shared" si="10"/>
        <v>0.26489217762784084</v>
      </c>
    </row>
    <row r="178" spans="2:15" x14ac:dyDescent="0.25">
      <c r="B178" s="7">
        <v>31.54</v>
      </c>
      <c r="J178" s="7">
        <v>23.55</v>
      </c>
      <c r="K178">
        <v>1</v>
      </c>
      <c r="L178">
        <f t="shared" si="8"/>
        <v>2E-3</v>
      </c>
      <c r="M178">
        <f t="shared" si="11"/>
        <v>0.34800000000000025</v>
      </c>
      <c r="N178">
        <f t="shared" si="9"/>
        <v>0.61120423127136847</v>
      </c>
      <c r="O178">
        <f t="shared" si="10"/>
        <v>0.26320423127136822</v>
      </c>
    </row>
    <row r="179" spans="2:15" x14ac:dyDescent="0.25">
      <c r="B179" s="7">
        <v>18.28</v>
      </c>
      <c r="J179" s="7">
        <v>23.56</v>
      </c>
      <c r="K179">
        <v>1</v>
      </c>
      <c r="L179">
        <f t="shared" si="8"/>
        <v>2E-3</v>
      </c>
      <c r="M179">
        <f t="shared" si="11"/>
        <v>0.35000000000000026</v>
      </c>
      <c r="N179">
        <f t="shared" si="9"/>
        <v>0.61136016423370831</v>
      </c>
      <c r="O179">
        <f t="shared" si="10"/>
        <v>0.26136016423370806</v>
      </c>
    </row>
    <row r="180" spans="2:15" x14ac:dyDescent="0.25">
      <c r="B180" s="7">
        <v>21.93</v>
      </c>
      <c r="J180" s="7">
        <v>23.57</v>
      </c>
      <c r="K180">
        <v>1</v>
      </c>
      <c r="L180">
        <f t="shared" si="8"/>
        <v>2E-3</v>
      </c>
      <c r="M180">
        <f t="shared" si="11"/>
        <v>0.35200000000000026</v>
      </c>
      <c r="N180">
        <f t="shared" si="9"/>
        <v>0.61151603465655902</v>
      </c>
      <c r="O180">
        <f t="shared" si="10"/>
        <v>0.25951603465655876</v>
      </c>
    </row>
    <row r="181" spans="2:15" x14ac:dyDescent="0.25">
      <c r="B181" s="7">
        <v>24.84</v>
      </c>
      <c r="J181" s="7">
        <v>23.59</v>
      </c>
      <c r="K181">
        <v>1</v>
      </c>
      <c r="L181">
        <f t="shared" si="8"/>
        <v>2E-3</v>
      </c>
      <c r="M181">
        <f t="shared" si="11"/>
        <v>0.35400000000000026</v>
      </c>
      <c r="N181">
        <f t="shared" si="9"/>
        <v>0.61182758798411307</v>
      </c>
      <c r="O181">
        <f t="shared" si="10"/>
        <v>0.25782758798411282</v>
      </c>
    </row>
    <row r="182" spans="2:15" x14ac:dyDescent="0.25">
      <c r="B182" s="7">
        <v>25.22</v>
      </c>
      <c r="J182" s="7">
        <v>23.59</v>
      </c>
      <c r="K182">
        <v>1</v>
      </c>
      <c r="L182">
        <f t="shared" si="8"/>
        <v>2E-3</v>
      </c>
      <c r="M182">
        <f t="shared" si="11"/>
        <v>0.35600000000000026</v>
      </c>
      <c r="N182">
        <f t="shared" si="9"/>
        <v>0.61182758798411307</v>
      </c>
      <c r="O182">
        <f t="shared" si="10"/>
        <v>0.25582758798411281</v>
      </c>
    </row>
    <row r="183" spans="2:15" x14ac:dyDescent="0.25">
      <c r="B183" s="7">
        <v>14.31</v>
      </c>
      <c r="J183" s="7">
        <v>23.65</v>
      </c>
      <c r="K183">
        <v>1</v>
      </c>
      <c r="L183">
        <f t="shared" si="8"/>
        <v>2E-3</v>
      </c>
      <c r="M183">
        <f t="shared" si="11"/>
        <v>0.35800000000000026</v>
      </c>
      <c r="N183">
        <f t="shared" si="9"/>
        <v>0.61276074962554472</v>
      </c>
      <c r="O183">
        <f t="shared" si="10"/>
        <v>0.25476074962554446</v>
      </c>
    </row>
    <row r="184" spans="2:15" x14ac:dyDescent="0.25">
      <c r="B184" s="7">
        <v>21.18</v>
      </c>
      <c r="J184" s="7">
        <v>23.66</v>
      </c>
      <c r="K184">
        <v>1</v>
      </c>
      <c r="L184">
        <f t="shared" si="8"/>
        <v>2E-3</v>
      </c>
      <c r="M184">
        <f t="shared" si="11"/>
        <v>0.36000000000000026</v>
      </c>
      <c r="N184">
        <f t="shared" si="9"/>
        <v>0.61291605832049945</v>
      </c>
      <c r="O184">
        <f t="shared" si="10"/>
        <v>0.25291605832049918</v>
      </c>
    </row>
    <row r="185" spans="2:15" x14ac:dyDescent="0.25">
      <c r="B185" s="7">
        <v>25.73</v>
      </c>
      <c r="J185" s="7">
        <v>23.7</v>
      </c>
      <c r="K185">
        <v>1</v>
      </c>
      <c r="L185">
        <f t="shared" si="8"/>
        <v>2E-3</v>
      </c>
      <c r="M185">
        <f t="shared" si="11"/>
        <v>0.36200000000000027</v>
      </c>
      <c r="N185">
        <f t="shared" si="9"/>
        <v>0.61353667045892513</v>
      </c>
      <c r="O185">
        <f t="shared" si="10"/>
        <v>0.25153667045892486</v>
      </c>
    </row>
    <row r="186" spans="2:15" x14ac:dyDescent="0.25">
      <c r="B186" s="7">
        <v>22.4</v>
      </c>
      <c r="J186" s="7">
        <v>23.7</v>
      </c>
      <c r="K186">
        <v>1</v>
      </c>
      <c r="L186">
        <f t="shared" si="8"/>
        <v>2E-3</v>
      </c>
      <c r="M186">
        <f t="shared" si="11"/>
        <v>0.36400000000000027</v>
      </c>
      <c r="N186">
        <f t="shared" si="9"/>
        <v>0.61353667045892513</v>
      </c>
      <c r="O186">
        <f t="shared" si="10"/>
        <v>0.24953667045892486</v>
      </c>
    </row>
    <row r="187" spans="2:15" x14ac:dyDescent="0.25">
      <c r="B187" s="7">
        <v>22.77</v>
      </c>
      <c r="J187" s="7">
        <v>23.73</v>
      </c>
      <c r="K187">
        <v>1</v>
      </c>
      <c r="L187">
        <f t="shared" si="8"/>
        <v>2E-3</v>
      </c>
      <c r="M187">
        <f t="shared" si="11"/>
        <v>0.36600000000000027</v>
      </c>
      <c r="N187">
        <f t="shared" si="9"/>
        <v>0.61400147648821912</v>
      </c>
      <c r="O187">
        <f t="shared" si="10"/>
        <v>0.24800147648821885</v>
      </c>
    </row>
    <row r="188" spans="2:15" x14ac:dyDescent="0.25">
      <c r="B188" s="7">
        <v>29.35</v>
      </c>
      <c r="J188" s="7">
        <v>23.74</v>
      </c>
      <c r="K188">
        <v>1</v>
      </c>
      <c r="L188">
        <f t="shared" si="8"/>
        <v>2E-3</v>
      </c>
      <c r="M188">
        <f t="shared" si="11"/>
        <v>0.36800000000000027</v>
      </c>
      <c r="N188">
        <f t="shared" si="9"/>
        <v>0.61415628756918039</v>
      </c>
      <c r="O188">
        <f t="shared" si="10"/>
        <v>0.24615628756918012</v>
      </c>
    </row>
    <row r="189" spans="2:15" x14ac:dyDescent="0.25">
      <c r="B189" s="7">
        <v>20.54</v>
      </c>
      <c r="J189" s="7">
        <v>23.74</v>
      </c>
      <c r="K189">
        <v>1</v>
      </c>
      <c r="L189">
        <f t="shared" si="8"/>
        <v>2E-3</v>
      </c>
      <c r="M189">
        <f t="shared" si="11"/>
        <v>0.37000000000000027</v>
      </c>
      <c r="N189">
        <f t="shared" si="9"/>
        <v>0.61415628756918039</v>
      </c>
      <c r="O189">
        <f t="shared" si="10"/>
        <v>0.24415628756918012</v>
      </c>
    </row>
    <row r="190" spans="2:15" x14ac:dyDescent="0.25">
      <c r="B190" s="7">
        <v>24.97</v>
      </c>
      <c r="J190" s="7">
        <v>23.77</v>
      </c>
      <c r="K190">
        <v>1</v>
      </c>
      <c r="L190">
        <f t="shared" si="8"/>
        <v>2E-3</v>
      </c>
      <c r="M190">
        <f t="shared" si="11"/>
        <v>0.37200000000000027</v>
      </c>
      <c r="N190">
        <f t="shared" si="9"/>
        <v>0.61462034837442148</v>
      </c>
      <c r="O190">
        <f t="shared" si="10"/>
        <v>0.2426203483744212</v>
      </c>
    </row>
    <row r="191" spans="2:15" x14ac:dyDescent="0.25">
      <c r="B191" s="7">
        <v>24.73</v>
      </c>
      <c r="J191" s="7">
        <v>23.8</v>
      </c>
      <c r="K191">
        <v>1</v>
      </c>
      <c r="L191">
        <f t="shared" si="8"/>
        <v>2E-3</v>
      </c>
      <c r="M191">
        <f t="shared" si="11"/>
        <v>0.37400000000000028</v>
      </c>
      <c r="N191">
        <f t="shared" si="9"/>
        <v>0.61508385104582763</v>
      </c>
      <c r="O191">
        <f t="shared" si="10"/>
        <v>0.24108385104582736</v>
      </c>
    </row>
    <row r="192" spans="2:15" x14ac:dyDescent="0.25">
      <c r="B192" s="7">
        <v>28.35</v>
      </c>
      <c r="J192" s="7">
        <v>23.81</v>
      </c>
      <c r="K192">
        <v>1</v>
      </c>
      <c r="L192">
        <f t="shared" si="8"/>
        <v>2E-3</v>
      </c>
      <c r="M192">
        <f t="shared" si="11"/>
        <v>0.37600000000000028</v>
      </c>
      <c r="N192">
        <f t="shared" si="9"/>
        <v>0.61523822802260164</v>
      </c>
      <c r="O192">
        <f t="shared" si="10"/>
        <v>0.23923822802260136</v>
      </c>
    </row>
    <row r="193" spans="2:15" x14ac:dyDescent="0.25">
      <c r="B193" s="7">
        <v>20.43</v>
      </c>
      <c r="J193" s="7">
        <v>23.82</v>
      </c>
      <c r="K193">
        <v>1</v>
      </c>
      <c r="L193">
        <f t="shared" si="8"/>
        <v>2E-3</v>
      </c>
      <c r="M193">
        <f t="shared" si="11"/>
        <v>0.37800000000000028</v>
      </c>
      <c r="N193">
        <f t="shared" si="9"/>
        <v>0.61539254308394042</v>
      </c>
      <c r="O193">
        <f t="shared" si="10"/>
        <v>0.23739254308394014</v>
      </c>
    </row>
    <row r="194" spans="2:15" x14ac:dyDescent="0.25">
      <c r="B194" s="7">
        <v>27.24</v>
      </c>
      <c r="J194" s="7">
        <v>23.84</v>
      </c>
      <c r="K194">
        <v>1</v>
      </c>
      <c r="L194">
        <f t="shared" si="8"/>
        <v>2E-3</v>
      </c>
      <c r="M194">
        <f t="shared" si="11"/>
        <v>0.38000000000000028</v>
      </c>
      <c r="N194">
        <f t="shared" si="9"/>
        <v>0.61570098755963021</v>
      </c>
      <c r="O194">
        <f t="shared" si="10"/>
        <v>0.23570098755962993</v>
      </c>
    </row>
    <row r="195" spans="2:15" x14ac:dyDescent="0.25">
      <c r="B195" s="7">
        <v>26.47</v>
      </c>
      <c r="J195" s="7">
        <v>23.87</v>
      </c>
      <c r="K195">
        <v>1</v>
      </c>
      <c r="L195">
        <f t="shared" si="8"/>
        <v>2E-3</v>
      </c>
      <c r="M195">
        <f t="shared" si="11"/>
        <v>0.38200000000000028</v>
      </c>
      <c r="N195">
        <f t="shared" si="9"/>
        <v>0.61616319052788127</v>
      </c>
      <c r="O195">
        <f t="shared" si="10"/>
        <v>0.23416319052788098</v>
      </c>
    </row>
    <row r="196" spans="2:15" x14ac:dyDescent="0.25">
      <c r="B196" s="7">
        <v>25.19</v>
      </c>
      <c r="J196" s="7">
        <v>23.89</v>
      </c>
      <c r="K196">
        <v>1</v>
      </c>
      <c r="L196">
        <f t="shared" si="8"/>
        <v>2E-3</v>
      </c>
      <c r="M196">
        <f t="shared" si="11"/>
        <v>0.38400000000000029</v>
      </c>
      <c r="N196">
        <f t="shared" si="9"/>
        <v>0.61647101696577056</v>
      </c>
      <c r="O196">
        <f t="shared" si="10"/>
        <v>0.23247101696577027</v>
      </c>
    </row>
    <row r="197" spans="2:15" x14ac:dyDescent="0.25">
      <c r="B197" s="7">
        <v>26.14</v>
      </c>
      <c r="J197" s="7">
        <v>23.91</v>
      </c>
      <c r="K197">
        <v>1</v>
      </c>
      <c r="L197">
        <f t="shared" si="8"/>
        <v>2E-3</v>
      </c>
      <c r="M197">
        <f t="shared" si="11"/>
        <v>0.38600000000000029</v>
      </c>
      <c r="N197">
        <f t="shared" si="9"/>
        <v>0.61677859653542422</v>
      </c>
      <c r="O197">
        <f t="shared" si="10"/>
        <v>0.23077859653542393</v>
      </c>
    </row>
    <row r="198" spans="2:15" x14ac:dyDescent="0.25">
      <c r="B198" s="7">
        <v>26.84</v>
      </c>
      <c r="J198" s="7">
        <v>23.98</v>
      </c>
      <c r="K198">
        <v>1</v>
      </c>
      <c r="L198">
        <f t="shared" ref="L198:L261" si="12">K198/$E$20</f>
        <v>2E-3</v>
      </c>
      <c r="M198">
        <f t="shared" si="11"/>
        <v>0.38800000000000029</v>
      </c>
      <c r="N198">
        <f t="shared" ref="N198:N261" si="13">1-EXP(-$H$11*J198)</f>
        <v>0.61785318379878307</v>
      </c>
      <c r="O198">
        <f t="shared" ref="O198:O261" si="14">ABS(M198-N198)</f>
        <v>0.22985318379878278</v>
      </c>
    </row>
    <row r="199" spans="2:15" x14ac:dyDescent="0.25">
      <c r="B199" s="7">
        <v>25.38</v>
      </c>
      <c r="J199" s="7">
        <v>23.98</v>
      </c>
      <c r="K199">
        <v>1</v>
      </c>
      <c r="L199">
        <f t="shared" si="12"/>
        <v>2E-3</v>
      </c>
      <c r="M199">
        <f t="shared" ref="M199:M262" si="15">M198+L199</f>
        <v>0.39000000000000029</v>
      </c>
      <c r="N199">
        <f t="shared" si="13"/>
        <v>0.61785318379878307</v>
      </c>
      <c r="O199">
        <f t="shared" si="14"/>
        <v>0.22785318379878278</v>
      </c>
    </row>
    <row r="200" spans="2:15" x14ac:dyDescent="0.25">
      <c r="B200" s="7">
        <v>21.54</v>
      </c>
      <c r="J200" s="7">
        <v>24</v>
      </c>
      <c r="K200">
        <v>1</v>
      </c>
      <c r="L200">
        <f t="shared" si="12"/>
        <v>2E-3</v>
      </c>
      <c r="M200">
        <f t="shared" si="15"/>
        <v>0.39200000000000029</v>
      </c>
      <c r="N200">
        <f t="shared" si="13"/>
        <v>0.61815965490910663</v>
      </c>
      <c r="O200">
        <f t="shared" si="14"/>
        <v>0.22615965490910633</v>
      </c>
    </row>
    <row r="201" spans="2:15" x14ac:dyDescent="0.25">
      <c r="B201" s="7">
        <v>21.24</v>
      </c>
      <c r="J201" s="7">
        <v>24.02</v>
      </c>
      <c r="K201">
        <v>1</v>
      </c>
      <c r="L201">
        <f t="shared" si="12"/>
        <v>2E-3</v>
      </c>
      <c r="M201">
        <f t="shared" si="15"/>
        <v>0.39400000000000029</v>
      </c>
      <c r="N201">
        <f t="shared" si="13"/>
        <v>0.61846588023812954</v>
      </c>
      <c r="O201">
        <f t="shared" si="14"/>
        <v>0.22446588023812925</v>
      </c>
    </row>
    <row r="202" spans="2:15" x14ac:dyDescent="0.25">
      <c r="B202" s="7">
        <v>21.57</v>
      </c>
      <c r="J202" s="7">
        <v>24.03</v>
      </c>
      <c r="K202">
        <v>1</v>
      </c>
      <c r="L202">
        <f t="shared" si="12"/>
        <v>2E-3</v>
      </c>
      <c r="M202">
        <f t="shared" si="15"/>
        <v>0.3960000000000003</v>
      </c>
      <c r="N202">
        <f t="shared" si="13"/>
        <v>0.61861890079625637</v>
      </c>
      <c r="O202">
        <f t="shared" si="14"/>
        <v>0.22261890079625607</v>
      </c>
    </row>
    <row r="203" spans="2:15" x14ac:dyDescent="0.25">
      <c r="B203" s="7">
        <v>24.74</v>
      </c>
      <c r="J203" s="7">
        <v>24.06</v>
      </c>
      <c r="K203">
        <v>1</v>
      </c>
      <c r="L203">
        <f t="shared" si="12"/>
        <v>2E-3</v>
      </c>
      <c r="M203">
        <f t="shared" si="15"/>
        <v>0.3980000000000003</v>
      </c>
      <c r="N203">
        <f t="shared" si="13"/>
        <v>0.61907759434055509</v>
      </c>
      <c r="O203">
        <f t="shared" si="14"/>
        <v>0.22107759434055479</v>
      </c>
    </row>
    <row r="204" spans="2:15" x14ac:dyDescent="0.25">
      <c r="B204" s="7">
        <v>28.33</v>
      </c>
      <c r="J204" s="7">
        <v>24.06</v>
      </c>
      <c r="K204">
        <v>1</v>
      </c>
      <c r="L204">
        <f t="shared" si="12"/>
        <v>2E-3</v>
      </c>
      <c r="M204">
        <f t="shared" si="15"/>
        <v>0.4000000000000003</v>
      </c>
      <c r="N204">
        <f t="shared" si="13"/>
        <v>0.61907759434055509</v>
      </c>
      <c r="O204">
        <f t="shared" si="14"/>
        <v>0.21907759434055479</v>
      </c>
    </row>
    <row r="205" spans="2:15" x14ac:dyDescent="0.25">
      <c r="B205" s="7">
        <v>19.28</v>
      </c>
      <c r="J205" s="7">
        <v>24.09</v>
      </c>
      <c r="K205">
        <v>1</v>
      </c>
      <c r="L205">
        <f t="shared" si="12"/>
        <v>2E-3</v>
      </c>
      <c r="M205">
        <f t="shared" si="15"/>
        <v>0.4020000000000003</v>
      </c>
      <c r="N205">
        <f t="shared" si="13"/>
        <v>0.61953573620631497</v>
      </c>
      <c r="O205">
        <f t="shared" si="14"/>
        <v>0.21753573620631467</v>
      </c>
    </row>
    <row r="206" spans="2:15" x14ac:dyDescent="0.25">
      <c r="B206" s="7">
        <v>21.14</v>
      </c>
      <c r="J206" s="7">
        <v>24.15</v>
      </c>
      <c r="K206">
        <v>1</v>
      </c>
      <c r="L206">
        <f t="shared" si="12"/>
        <v>2E-3</v>
      </c>
      <c r="M206">
        <f t="shared" si="15"/>
        <v>0.4040000000000003</v>
      </c>
      <c r="N206">
        <f t="shared" si="13"/>
        <v>0.62045036755547234</v>
      </c>
      <c r="O206">
        <f t="shared" si="14"/>
        <v>0.21645036755547203</v>
      </c>
    </row>
    <row r="207" spans="2:15" x14ac:dyDescent="0.25">
      <c r="B207" s="7">
        <v>27.01</v>
      </c>
      <c r="J207" s="7">
        <v>24.16</v>
      </c>
      <c r="K207">
        <v>1</v>
      </c>
      <c r="L207">
        <f t="shared" si="12"/>
        <v>2E-3</v>
      </c>
      <c r="M207">
        <f t="shared" si="15"/>
        <v>0.40600000000000031</v>
      </c>
      <c r="N207">
        <f t="shared" si="13"/>
        <v>0.62060259220219538</v>
      </c>
      <c r="O207">
        <f t="shared" si="14"/>
        <v>0.21460259220219507</v>
      </c>
    </row>
    <row r="208" spans="2:15" x14ac:dyDescent="0.25">
      <c r="B208" s="7">
        <v>21.4</v>
      </c>
      <c r="J208" s="7">
        <v>24.18</v>
      </c>
      <c r="K208">
        <v>1</v>
      </c>
      <c r="L208">
        <f t="shared" si="12"/>
        <v>2E-3</v>
      </c>
      <c r="M208">
        <f t="shared" si="15"/>
        <v>0.40800000000000031</v>
      </c>
      <c r="N208">
        <f t="shared" si="13"/>
        <v>0.62090685836350334</v>
      </c>
      <c r="O208">
        <f t="shared" si="14"/>
        <v>0.21290685836350304</v>
      </c>
    </row>
    <row r="209" spans="2:15" x14ac:dyDescent="0.25">
      <c r="B209" s="7">
        <v>28.35</v>
      </c>
      <c r="J209" s="7">
        <v>24.2</v>
      </c>
      <c r="K209">
        <v>1</v>
      </c>
      <c r="L209">
        <f t="shared" si="12"/>
        <v>2E-3</v>
      </c>
      <c r="M209">
        <f t="shared" si="15"/>
        <v>0.41000000000000031</v>
      </c>
      <c r="N209">
        <f t="shared" si="13"/>
        <v>0.62121088051181861</v>
      </c>
      <c r="O209">
        <f t="shared" si="14"/>
        <v>0.2112108805118183</v>
      </c>
    </row>
    <row r="210" spans="2:15" x14ac:dyDescent="0.25">
      <c r="B210" s="7">
        <v>22.15</v>
      </c>
      <c r="J210" s="7">
        <v>24.21</v>
      </c>
      <c r="K210">
        <v>1</v>
      </c>
      <c r="L210">
        <f t="shared" si="12"/>
        <v>2E-3</v>
      </c>
      <c r="M210">
        <f t="shared" si="15"/>
        <v>0.41200000000000031</v>
      </c>
      <c r="N210">
        <f t="shared" si="13"/>
        <v>0.62136280014226386</v>
      </c>
      <c r="O210">
        <f t="shared" si="14"/>
        <v>0.20936280014226355</v>
      </c>
    </row>
    <row r="211" spans="2:15" x14ac:dyDescent="0.25">
      <c r="B211" s="7">
        <v>26.78</v>
      </c>
      <c r="J211" s="7">
        <v>24.23</v>
      </c>
      <c r="K211">
        <v>1</v>
      </c>
      <c r="L211">
        <f t="shared" si="12"/>
        <v>2E-3</v>
      </c>
      <c r="M211">
        <f t="shared" si="15"/>
        <v>0.41400000000000031</v>
      </c>
      <c r="N211">
        <f t="shared" si="13"/>
        <v>0.62166645663796283</v>
      </c>
      <c r="O211">
        <f t="shared" si="14"/>
        <v>0.20766645663796252</v>
      </c>
    </row>
    <row r="212" spans="2:15" x14ac:dyDescent="0.25">
      <c r="B212" s="7">
        <v>26.85</v>
      </c>
      <c r="J212" s="7">
        <v>24.25</v>
      </c>
      <c r="K212">
        <v>1</v>
      </c>
      <c r="L212">
        <f t="shared" si="12"/>
        <v>2E-3</v>
      </c>
      <c r="M212">
        <f t="shared" si="15"/>
        <v>0.41600000000000031</v>
      </c>
      <c r="N212">
        <f t="shared" si="13"/>
        <v>0.62196986960960388</v>
      </c>
      <c r="O212">
        <f t="shared" si="14"/>
        <v>0.20596986960960356</v>
      </c>
    </row>
    <row r="213" spans="2:15" x14ac:dyDescent="0.25">
      <c r="B213" s="7">
        <v>20.34</v>
      </c>
      <c r="J213" s="7">
        <v>24.26</v>
      </c>
      <c r="K213">
        <v>1</v>
      </c>
      <c r="L213">
        <f t="shared" si="12"/>
        <v>2E-3</v>
      </c>
      <c r="M213">
        <f t="shared" si="15"/>
        <v>0.41800000000000032</v>
      </c>
      <c r="N213">
        <f t="shared" si="13"/>
        <v>0.6221214848349399</v>
      </c>
      <c r="O213">
        <f t="shared" si="14"/>
        <v>0.20412148483493958</v>
      </c>
    </row>
    <row r="214" spans="2:15" x14ac:dyDescent="0.25">
      <c r="B214" s="7">
        <v>24.8</v>
      </c>
      <c r="J214" s="7">
        <v>24.27</v>
      </c>
      <c r="K214">
        <v>1</v>
      </c>
      <c r="L214">
        <f t="shared" si="12"/>
        <v>2E-3</v>
      </c>
      <c r="M214">
        <f t="shared" si="15"/>
        <v>0.42000000000000032</v>
      </c>
      <c r="N214">
        <f t="shared" si="13"/>
        <v>0.62227303925248656</v>
      </c>
      <c r="O214">
        <f t="shared" si="14"/>
        <v>0.20227303925248624</v>
      </c>
    </row>
    <row r="215" spans="2:15" x14ac:dyDescent="0.25">
      <c r="B215" s="7">
        <v>22.2</v>
      </c>
      <c r="J215" s="7">
        <v>24.27</v>
      </c>
      <c r="K215">
        <v>1</v>
      </c>
      <c r="L215">
        <f t="shared" si="12"/>
        <v>2E-3</v>
      </c>
      <c r="M215">
        <f t="shared" si="15"/>
        <v>0.42200000000000032</v>
      </c>
      <c r="N215">
        <f t="shared" si="13"/>
        <v>0.62227303925248656</v>
      </c>
      <c r="O215">
        <f t="shared" si="14"/>
        <v>0.20027303925248624</v>
      </c>
    </row>
    <row r="216" spans="2:15" x14ac:dyDescent="0.25">
      <c r="B216" s="7">
        <v>23.59</v>
      </c>
      <c r="J216" s="7">
        <v>24.31</v>
      </c>
      <c r="K216">
        <v>1</v>
      </c>
      <c r="L216">
        <f t="shared" si="12"/>
        <v>2E-3</v>
      </c>
      <c r="M216">
        <f t="shared" si="15"/>
        <v>0.42400000000000032</v>
      </c>
      <c r="N216">
        <f t="shared" si="13"/>
        <v>0.62287864933239179</v>
      </c>
      <c r="O216">
        <f t="shared" si="14"/>
        <v>0.19887864933239147</v>
      </c>
    </row>
    <row r="217" spans="2:15" x14ac:dyDescent="0.25">
      <c r="B217" s="7">
        <v>24.35</v>
      </c>
      <c r="J217" s="7">
        <v>24.32</v>
      </c>
      <c r="K217">
        <v>1</v>
      </c>
      <c r="L217">
        <f t="shared" si="12"/>
        <v>2E-3</v>
      </c>
      <c r="M217">
        <f t="shared" si="15"/>
        <v>0.42600000000000032</v>
      </c>
      <c r="N217">
        <f t="shared" si="13"/>
        <v>0.62302990007661552</v>
      </c>
      <c r="O217">
        <f t="shared" si="14"/>
        <v>0.19702990007661519</v>
      </c>
    </row>
    <row r="218" spans="2:15" x14ac:dyDescent="0.25">
      <c r="B218" s="7">
        <v>22.6</v>
      </c>
      <c r="J218" s="7">
        <v>24.33</v>
      </c>
      <c r="K218">
        <v>1</v>
      </c>
      <c r="L218">
        <f t="shared" si="12"/>
        <v>2E-3</v>
      </c>
      <c r="M218">
        <f t="shared" si="15"/>
        <v>0.42800000000000032</v>
      </c>
      <c r="N218">
        <f t="shared" si="13"/>
        <v>0.62318109015923084</v>
      </c>
      <c r="O218">
        <f t="shared" si="14"/>
        <v>0.19518109015923052</v>
      </c>
    </row>
    <row r="219" spans="2:15" x14ac:dyDescent="0.25">
      <c r="B219" s="7">
        <v>20.77</v>
      </c>
      <c r="J219" s="7">
        <v>24.33</v>
      </c>
      <c r="K219">
        <v>1</v>
      </c>
      <c r="L219">
        <f t="shared" si="12"/>
        <v>2E-3</v>
      </c>
      <c r="M219">
        <f t="shared" si="15"/>
        <v>0.43000000000000033</v>
      </c>
      <c r="N219">
        <f t="shared" si="13"/>
        <v>0.62318109015923084</v>
      </c>
      <c r="O219">
        <f t="shared" si="14"/>
        <v>0.19318109015923052</v>
      </c>
    </row>
    <row r="220" spans="2:15" x14ac:dyDescent="0.25">
      <c r="B220" s="7">
        <v>26.32</v>
      </c>
      <c r="J220" s="7">
        <v>24.35</v>
      </c>
      <c r="K220">
        <v>1</v>
      </c>
      <c r="L220">
        <f t="shared" si="12"/>
        <v>2E-3</v>
      </c>
      <c r="M220">
        <f t="shared" si="15"/>
        <v>0.43200000000000033</v>
      </c>
      <c r="N220">
        <f t="shared" si="13"/>
        <v>0.62348328843694456</v>
      </c>
      <c r="O220">
        <f t="shared" si="14"/>
        <v>0.19148328843694423</v>
      </c>
    </row>
    <row r="221" spans="2:15" x14ac:dyDescent="0.25">
      <c r="B221" s="7">
        <v>28.99</v>
      </c>
      <c r="J221" s="7">
        <v>24.37</v>
      </c>
      <c r="K221">
        <v>1</v>
      </c>
      <c r="L221">
        <f t="shared" si="12"/>
        <v>2E-3</v>
      </c>
      <c r="M221">
        <f t="shared" si="15"/>
        <v>0.43400000000000033</v>
      </c>
      <c r="N221">
        <f t="shared" si="13"/>
        <v>0.62378524436005067</v>
      </c>
      <c r="O221">
        <f t="shared" si="14"/>
        <v>0.18978524436005034</v>
      </c>
    </row>
    <row r="222" spans="2:15" x14ac:dyDescent="0.25">
      <c r="B222" s="7">
        <v>29.03</v>
      </c>
      <c r="J222" s="7">
        <v>24.37</v>
      </c>
      <c r="K222">
        <v>1</v>
      </c>
      <c r="L222">
        <f t="shared" si="12"/>
        <v>2E-3</v>
      </c>
      <c r="M222">
        <f t="shared" si="15"/>
        <v>0.43600000000000033</v>
      </c>
      <c r="N222">
        <f t="shared" si="13"/>
        <v>0.62378524436005067</v>
      </c>
      <c r="O222">
        <f t="shared" si="14"/>
        <v>0.18778524436005034</v>
      </c>
    </row>
    <row r="223" spans="2:15" x14ac:dyDescent="0.25">
      <c r="B223" s="7">
        <v>16.43</v>
      </c>
      <c r="J223" s="7">
        <v>24.41</v>
      </c>
      <c r="K223">
        <v>1</v>
      </c>
      <c r="L223">
        <f t="shared" si="12"/>
        <v>2E-3</v>
      </c>
      <c r="M223">
        <f t="shared" si="15"/>
        <v>0.43800000000000033</v>
      </c>
      <c r="N223">
        <f t="shared" si="13"/>
        <v>0.62438842991973043</v>
      </c>
      <c r="O223">
        <f t="shared" si="14"/>
        <v>0.18638842991973009</v>
      </c>
    </row>
    <row r="224" spans="2:15" x14ac:dyDescent="0.25">
      <c r="B224" s="7">
        <v>22.26</v>
      </c>
      <c r="J224" s="7">
        <v>24.45</v>
      </c>
      <c r="K224">
        <v>1</v>
      </c>
      <c r="L224">
        <f t="shared" si="12"/>
        <v>2E-3</v>
      </c>
      <c r="M224">
        <f t="shared" si="15"/>
        <v>0.44000000000000034</v>
      </c>
      <c r="N224">
        <f t="shared" si="13"/>
        <v>0.62499064839129392</v>
      </c>
      <c r="O224">
        <f t="shared" si="14"/>
        <v>0.18499064839129359</v>
      </c>
    </row>
    <row r="225" spans="2:15" x14ac:dyDescent="0.25">
      <c r="B225" s="7">
        <v>25.36</v>
      </c>
      <c r="J225" s="7">
        <v>24.45</v>
      </c>
      <c r="K225">
        <v>1</v>
      </c>
      <c r="L225">
        <f t="shared" si="12"/>
        <v>2E-3</v>
      </c>
      <c r="M225">
        <f t="shared" si="15"/>
        <v>0.44200000000000034</v>
      </c>
      <c r="N225">
        <f t="shared" si="13"/>
        <v>0.62499064839129392</v>
      </c>
      <c r="O225">
        <f t="shared" si="14"/>
        <v>0.18299064839129359</v>
      </c>
    </row>
    <row r="226" spans="2:15" x14ac:dyDescent="0.25">
      <c r="B226" s="7">
        <v>24.64</v>
      </c>
      <c r="J226" s="7">
        <v>24.47</v>
      </c>
      <c r="K226">
        <v>1</v>
      </c>
      <c r="L226">
        <f t="shared" si="12"/>
        <v>2E-3</v>
      </c>
      <c r="M226">
        <f t="shared" si="15"/>
        <v>0.44400000000000034</v>
      </c>
      <c r="N226">
        <f t="shared" si="13"/>
        <v>0.62529139545367074</v>
      </c>
      <c r="O226">
        <f t="shared" si="14"/>
        <v>0.1812913954536704</v>
      </c>
    </row>
    <row r="227" spans="2:15" x14ac:dyDescent="0.25">
      <c r="B227" s="7">
        <v>20.88</v>
      </c>
      <c r="J227" s="7">
        <v>24.51</v>
      </c>
      <c r="K227">
        <v>1</v>
      </c>
      <c r="L227">
        <f t="shared" si="12"/>
        <v>2E-3</v>
      </c>
      <c r="M227">
        <f t="shared" si="15"/>
        <v>0.44600000000000034</v>
      </c>
      <c r="N227">
        <f t="shared" si="13"/>
        <v>0.62589216619953292</v>
      </c>
      <c r="O227">
        <f t="shared" si="14"/>
        <v>0.17989216619953258</v>
      </c>
    </row>
    <row r="228" spans="2:15" x14ac:dyDescent="0.25">
      <c r="B228" s="7">
        <v>25.29</v>
      </c>
      <c r="J228" s="7">
        <v>24.51</v>
      </c>
      <c r="K228">
        <v>1</v>
      </c>
      <c r="L228">
        <f t="shared" si="12"/>
        <v>2E-3</v>
      </c>
      <c r="M228">
        <f t="shared" si="15"/>
        <v>0.44800000000000034</v>
      </c>
      <c r="N228">
        <f t="shared" si="13"/>
        <v>0.62589216619953292</v>
      </c>
      <c r="O228">
        <f t="shared" si="14"/>
        <v>0.17789216619953258</v>
      </c>
    </row>
    <row r="229" spans="2:15" x14ac:dyDescent="0.25">
      <c r="B229" s="7">
        <v>24.57</v>
      </c>
      <c r="J229" s="7">
        <v>24.52</v>
      </c>
      <c r="K229">
        <v>1</v>
      </c>
      <c r="L229">
        <f t="shared" si="12"/>
        <v>2E-3</v>
      </c>
      <c r="M229">
        <f t="shared" si="15"/>
        <v>0.45000000000000034</v>
      </c>
      <c r="N229">
        <f t="shared" si="13"/>
        <v>0.62604220832306168</v>
      </c>
      <c r="O229">
        <f t="shared" si="14"/>
        <v>0.17604220832306133</v>
      </c>
    </row>
    <row r="230" spans="2:15" x14ac:dyDescent="0.25">
      <c r="B230" s="7">
        <v>24.81</v>
      </c>
      <c r="J230" s="7">
        <v>24.54</v>
      </c>
      <c r="K230">
        <v>1</v>
      </c>
      <c r="L230">
        <f t="shared" si="12"/>
        <v>2E-3</v>
      </c>
      <c r="M230">
        <f t="shared" si="15"/>
        <v>0.45200000000000035</v>
      </c>
      <c r="N230">
        <f t="shared" si="13"/>
        <v>0.62634211206364132</v>
      </c>
      <c r="O230">
        <f t="shared" si="14"/>
        <v>0.17434211206364097</v>
      </c>
    </row>
    <row r="231" spans="2:15" x14ac:dyDescent="0.25">
      <c r="B231" s="7">
        <v>17.52</v>
      </c>
      <c r="J231" s="7">
        <v>24.55</v>
      </c>
      <c r="K231">
        <v>1</v>
      </c>
      <c r="L231">
        <f t="shared" si="12"/>
        <v>2E-3</v>
      </c>
      <c r="M231">
        <f t="shared" si="15"/>
        <v>0.45400000000000035</v>
      </c>
      <c r="N231">
        <f t="shared" si="13"/>
        <v>0.62649197372895249</v>
      </c>
      <c r="O231">
        <f t="shared" si="14"/>
        <v>0.17249197372895214</v>
      </c>
    </row>
    <row r="232" spans="2:15" x14ac:dyDescent="0.25">
      <c r="B232" s="7">
        <v>24.6</v>
      </c>
      <c r="J232" s="7">
        <v>24.57</v>
      </c>
      <c r="K232">
        <v>1</v>
      </c>
      <c r="L232">
        <f t="shared" si="12"/>
        <v>2E-3</v>
      </c>
      <c r="M232">
        <f t="shared" si="15"/>
        <v>0.45600000000000035</v>
      </c>
      <c r="N232">
        <f t="shared" si="13"/>
        <v>0.62679151677019485</v>
      </c>
      <c r="O232">
        <f t="shared" si="14"/>
        <v>0.1707915167701945</v>
      </c>
    </row>
    <row r="233" spans="2:15" x14ac:dyDescent="0.25">
      <c r="B233" s="7">
        <v>27.23</v>
      </c>
      <c r="J233" s="7">
        <v>24.6</v>
      </c>
      <c r="K233">
        <v>1</v>
      </c>
      <c r="L233">
        <f t="shared" si="12"/>
        <v>2E-3</v>
      </c>
      <c r="M233">
        <f t="shared" si="15"/>
        <v>0.45800000000000035</v>
      </c>
      <c r="N233">
        <f t="shared" si="13"/>
        <v>0.62724038097005275</v>
      </c>
      <c r="O233">
        <f t="shared" si="14"/>
        <v>0.1692403809700524</v>
      </c>
    </row>
    <row r="234" spans="2:15" x14ac:dyDescent="0.25">
      <c r="B234" s="7">
        <v>21.45</v>
      </c>
      <c r="J234" s="7">
        <v>24.6</v>
      </c>
      <c r="K234">
        <v>1</v>
      </c>
      <c r="L234">
        <f t="shared" si="12"/>
        <v>2E-3</v>
      </c>
      <c r="M234">
        <f t="shared" si="15"/>
        <v>0.46000000000000035</v>
      </c>
      <c r="N234">
        <f t="shared" si="13"/>
        <v>0.62724038097005275</v>
      </c>
      <c r="O234">
        <f t="shared" si="14"/>
        <v>0.16724038097005239</v>
      </c>
    </row>
    <row r="235" spans="2:15" x14ac:dyDescent="0.25">
      <c r="B235" s="7">
        <v>28.08</v>
      </c>
      <c r="J235" s="7">
        <v>24.63</v>
      </c>
      <c r="K235">
        <v>1</v>
      </c>
      <c r="L235">
        <f t="shared" si="12"/>
        <v>2E-3</v>
      </c>
      <c r="M235">
        <f t="shared" si="15"/>
        <v>0.46200000000000035</v>
      </c>
      <c r="N235">
        <f t="shared" si="13"/>
        <v>0.62768870531329179</v>
      </c>
      <c r="O235">
        <f t="shared" si="14"/>
        <v>0.16568870531329144</v>
      </c>
    </row>
    <row r="236" spans="2:15" x14ac:dyDescent="0.25">
      <c r="B236" s="7">
        <v>26.26</v>
      </c>
      <c r="J236" s="7">
        <v>24.64</v>
      </c>
      <c r="K236">
        <v>1</v>
      </c>
      <c r="L236">
        <f t="shared" si="12"/>
        <v>2E-3</v>
      </c>
      <c r="M236">
        <f t="shared" si="15"/>
        <v>0.46400000000000036</v>
      </c>
      <c r="N236">
        <f t="shared" si="13"/>
        <v>0.6278380269051469</v>
      </c>
      <c r="O236">
        <f t="shared" si="14"/>
        <v>0.16383802690514654</v>
      </c>
    </row>
    <row r="237" spans="2:15" x14ac:dyDescent="0.25">
      <c r="B237" s="7">
        <v>27.12</v>
      </c>
      <c r="J237" s="7">
        <v>24.64</v>
      </c>
      <c r="K237">
        <v>1</v>
      </c>
      <c r="L237">
        <f t="shared" si="12"/>
        <v>2E-3</v>
      </c>
      <c r="M237">
        <f t="shared" si="15"/>
        <v>0.46600000000000036</v>
      </c>
      <c r="N237">
        <f t="shared" si="13"/>
        <v>0.6278380269051469</v>
      </c>
      <c r="O237">
        <f t="shared" si="14"/>
        <v>0.16183802690514654</v>
      </c>
    </row>
    <row r="238" spans="2:15" x14ac:dyDescent="0.25">
      <c r="B238" s="7">
        <v>26.42</v>
      </c>
      <c r="J238" s="7">
        <v>24.66</v>
      </c>
      <c r="K238">
        <v>1</v>
      </c>
      <c r="L238">
        <f t="shared" si="12"/>
        <v>2E-3</v>
      </c>
      <c r="M238">
        <f t="shared" si="15"/>
        <v>0.46800000000000036</v>
      </c>
      <c r="N238">
        <f t="shared" si="13"/>
        <v>0.62813649044920661</v>
      </c>
      <c r="O238">
        <f t="shared" si="14"/>
        <v>0.16013649044920625</v>
      </c>
    </row>
    <row r="239" spans="2:15" x14ac:dyDescent="0.25">
      <c r="B239" s="7">
        <v>22.95</v>
      </c>
      <c r="J239" s="7">
        <v>24.68</v>
      </c>
      <c r="K239">
        <v>1</v>
      </c>
      <c r="L239">
        <f t="shared" si="12"/>
        <v>2E-3</v>
      </c>
      <c r="M239">
        <f t="shared" si="15"/>
        <v>0.47000000000000036</v>
      </c>
      <c r="N239">
        <f t="shared" si="13"/>
        <v>0.62843471463381106</v>
      </c>
      <c r="O239">
        <f t="shared" si="14"/>
        <v>0.1584347146338107</v>
      </c>
    </row>
    <row r="240" spans="2:15" x14ac:dyDescent="0.25">
      <c r="B240" s="7">
        <v>21.9</v>
      </c>
      <c r="J240" s="7">
        <v>24.69</v>
      </c>
      <c r="K240">
        <v>1</v>
      </c>
      <c r="L240">
        <f t="shared" si="12"/>
        <v>2E-3</v>
      </c>
      <c r="M240">
        <f t="shared" si="15"/>
        <v>0.47200000000000036</v>
      </c>
      <c r="N240">
        <f t="shared" si="13"/>
        <v>0.6285837370263111</v>
      </c>
      <c r="O240">
        <f t="shared" si="14"/>
        <v>0.15658373702631073</v>
      </c>
    </row>
    <row r="241" spans="2:15" x14ac:dyDescent="0.25">
      <c r="B241" s="7">
        <v>24.02</v>
      </c>
      <c r="J241" s="7">
        <v>24.7</v>
      </c>
      <c r="K241">
        <v>1</v>
      </c>
      <c r="L241">
        <f t="shared" si="12"/>
        <v>2E-3</v>
      </c>
      <c r="M241">
        <f t="shared" si="15"/>
        <v>0.47400000000000037</v>
      </c>
      <c r="N241">
        <f t="shared" si="13"/>
        <v>0.62873269965091994</v>
      </c>
      <c r="O241">
        <f t="shared" si="14"/>
        <v>0.15473269965091957</v>
      </c>
    </row>
    <row r="242" spans="2:15" x14ac:dyDescent="0.25">
      <c r="B242" s="7">
        <v>22.61</v>
      </c>
      <c r="J242" s="7">
        <v>24.73</v>
      </c>
      <c r="K242">
        <v>1</v>
      </c>
      <c r="L242">
        <f t="shared" si="12"/>
        <v>2E-3</v>
      </c>
      <c r="M242">
        <f t="shared" si="15"/>
        <v>0.47600000000000037</v>
      </c>
      <c r="N242">
        <f t="shared" si="13"/>
        <v>0.62917922915706193</v>
      </c>
      <c r="O242">
        <f t="shared" si="14"/>
        <v>0.15317922915706156</v>
      </c>
    </row>
    <row r="243" spans="2:15" x14ac:dyDescent="0.25">
      <c r="B243" s="7">
        <v>27.18</v>
      </c>
      <c r="J243" s="7">
        <v>24.74</v>
      </c>
      <c r="K243">
        <v>1</v>
      </c>
      <c r="L243">
        <f t="shared" si="12"/>
        <v>2E-3</v>
      </c>
      <c r="M243">
        <f t="shared" si="15"/>
        <v>0.47800000000000037</v>
      </c>
      <c r="N243">
        <f t="shared" si="13"/>
        <v>0.62932795294971999</v>
      </c>
      <c r="O243">
        <f t="shared" si="14"/>
        <v>0.15132795294971962</v>
      </c>
    </row>
    <row r="244" spans="2:15" x14ac:dyDescent="0.25">
      <c r="B244" s="7">
        <v>25.89</v>
      </c>
      <c r="J244" s="7">
        <v>24.74</v>
      </c>
      <c r="K244">
        <v>1</v>
      </c>
      <c r="L244">
        <f t="shared" si="12"/>
        <v>2E-3</v>
      </c>
      <c r="M244">
        <f t="shared" si="15"/>
        <v>0.48000000000000037</v>
      </c>
      <c r="N244">
        <f t="shared" si="13"/>
        <v>0.62932795294971999</v>
      </c>
      <c r="O244">
        <f t="shared" si="14"/>
        <v>0.14932795294971962</v>
      </c>
    </row>
    <row r="245" spans="2:15" x14ac:dyDescent="0.25">
      <c r="B245" s="7">
        <v>27.81</v>
      </c>
      <c r="J245" s="7">
        <v>24.75</v>
      </c>
      <c r="K245">
        <v>1</v>
      </c>
      <c r="L245">
        <f t="shared" si="12"/>
        <v>2E-3</v>
      </c>
      <c r="M245">
        <f t="shared" si="15"/>
        <v>0.48200000000000037</v>
      </c>
      <c r="N245">
        <f t="shared" si="13"/>
        <v>0.62947661709424529</v>
      </c>
      <c r="O245">
        <f t="shared" si="14"/>
        <v>0.14747661709424492</v>
      </c>
    </row>
    <row r="246" spans="2:15" x14ac:dyDescent="0.25">
      <c r="B246" s="7">
        <v>25.43</v>
      </c>
      <c r="J246" s="7">
        <v>24.75</v>
      </c>
      <c r="K246">
        <v>1</v>
      </c>
      <c r="L246">
        <f t="shared" si="12"/>
        <v>2E-3</v>
      </c>
      <c r="M246">
        <f t="shared" si="15"/>
        <v>0.48400000000000037</v>
      </c>
      <c r="N246">
        <f t="shared" si="13"/>
        <v>0.62947661709424529</v>
      </c>
      <c r="O246">
        <f t="shared" si="14"/>
        <v>0.14547661709424492</v>
      </c>
    </row>
    <row r="247" spans="2:15" x14ac:dyDescent="0.25">
      <c r="B247" s="7">
        <v>28.3</v>
      </c>
      <c r="J247" s="7">
        <v>24.76</v>
      </c>
      <c r="K247">
        <v>1</v>
      </c>
      <c r="L247">
        <f t="shared" si="12"/>
        <v>2E-3</v>
      </c>
      <c r="M247">
        <f t="shared" si="15"/>
        <v>0.48600000000000038</v>
      </c>
      <c r="N247">
        <f t="shared" si="13"/>
        <v>0.62962522161456103</v>
      </c>
      <c r="O247">
        <f t="shared" si="14"/>
        <v>0.14362522161456065</v>
      </c>
    </row>
    <row r="248" spans="2:15" x14ac:dyDescent="0.25">
      <c r="B248" s="7">
        <v>22.49</v>
      </c>
      <c r="J248" s="7">
        <v>24.77</v>
      </c>
      <c r="K248">
        <v>1</v>
      </c>
      <c r="L248">
        <f t="shared" si="12"/>
        <v>2E-3</v>
      </c>
      <c r="M248">
        <f t="shared" si="15"/>
        <v>0.48800000000000038</v>
      </c>
      <c r="N248">
        <f t="shared" si="13"/>
        <v>0.62977376653458017</v>
      </c>
      <c r="O248">
        <f t="shared" si="14"/>
        <v>0.14177376653457979</v>
      </c>
    </row>
    <row r="249" spans="2:15" x14ac:dyDescent="0.25">
      <c r="B249" s="7">
        <v>25.96</v>
      </c>
      <c r="J249" s="7">
        <v>24.8</v>
      </c>
      <c r="K249">
        <v>1</v>
      </c>
      <c r="L249">
        <f t="shared" si="12"/>
        <v>2E-3</v>
      </c>
      <c r="M249">
        <f t="shared" si="15"/>
        <v>0.49000000000000038</v>
      </c>
      <c r="N249">
        <f t="shared" si="13"/>
        <v>0.63021904393184802</v>
      </c>
      <c r="O249">
        <f t="shared" si="14"/>
        <v>0.14021904393184764</v>
      </c>
    </row>
    <row r="250" spans="2:15" x14ac:dyDescent="0.25">
      <c r="B250" s="7">
        <v>28.81</v>
      </c>
      <c r="J250" s="7">
        <v>24.8</v>
      </c>
      <c r="K250">
        <v>1</v>
      </c>
      <c r="L250">
        <f t="shared" si="12"/>
        <v>2E-3</v>
      </c>
      <c r="M250">
        <f t="shared" si="15"/>
        <v>0.49200000000000038</v>
      </c>
      <c r="N250">
        <f t="shared" si="13"/>
        <v>0.63021904393184802</v>
      </c>
      <c r="O250">
        <f t="shared" si="14"/>
        <v>0.13821904393184764</v>
      </c>
    </row>
    <row r="251" spans="2:15" x14ac:dyDescent="0.25">
      <c r="B251" s="7">
        <v>24.18</v>
      </c>
      <c r="J251" s="7">
        <v>24.81</v>
      </c>
      <c r="K251">
        <v>1</v>
      </c>
      <c r="L251">
        <f t="shared" si="12"/>
        <v>2E-3</v>
      </c>
      <c r="M251">
        <f t="shared" si="15"/>
        <v>0.49400000000000038</v>
      </c>
      <c r="N251">
        <f t="shared" si="13"/>
        <v>0.63036735068962257</v>
      </c>
      <c r="O251">
        <f t="shared" si="14"/>
        <v>0.13636735068962219</v>
      </c>
    </row>
    <row r="252" spans="2:15" x14ac:dyDescent="0.25">
      <c r="B252" s="7">
        <v>26.04</v>
      </c>
      <c r="J252" s="7">
        <v>24.81</v>
      </c>
      <c r="K252">
        <v>1</v>
      </c>
      <c r="L252">
        <f t="shared" si="12"/>
        <v>2E-3</v>
      </c>
      <c r="M252">
        <f t="shared" si="15"/>
        <v>0.49600000000000039</v>
      </c>
      <c r="N252">
        <f t="shared" si="13"/>
        <v>0.63036735068962257</v>
      </c>
      <c r="O252">
        <f t="shared" si="14"/>
        <v>0.13436735068962219</v>
      </c>
    </row>
    <row r="253" spans="2:15" x14ac:dyDescent="0.25">
      <c r="B253" s="7">
        <v>22.94</v>
      </c>
      <c r="J253" s="7">
        <v>24.83</v>
      </c>
      <c r="K253">
        <v>1</v>
      </c>
      <c r="L253">
        <f t="shared" si="12"/>
        <v>2E-3</v>
      </c>
      <c r="M253">
        <f t="shared" si="15"/>
        <v>0.49800000000000039</v>
      </c>
      <c r="N253">
        <f t="shared" si="13"/>
        <v>0.63066378578640558</v>
      </c>
      <c r="O253">
        <f t="shared" si="14"/>
        <v>0.1326637857864052</v>
      </c>
    </row>
    <row r="254" spans="2:15" x14ac:dyDescent="0.25">
      <c r="B254" s="7">
        <v>23.7</v>
      </c>
      <c r="J254" s="7">
        <v>24.84</v>
      </c>
      <c r="K254">
        <v>1</v>
      </c>
      <c r="L254">
        <f t="shared" si="12"/>
        <v>2E-3</v>
      </c>
      <c r="M254">
        <f t="shared" si="15"/>
        <v>0.50000000000000033</v>
      </c>
      <c r="N254">
        <f t="shared" si="13"/>
        <v>0.63081191417311633</v>
      </c>
      <c r="O254">
        <f t="shared" si="14"/>
        <v>0.130811914173116</v>
      </c>
    </row>
    <row r="255" spans="2:15" x14ac:dyDescent="0.25">
      <c r="B255" s="7">
        <v>17.739999999999998</v>
      </c>
      <c r="J255" s="7">
        <v>24.84</v>
      </c>
      <c r="K255">
        <v>1</v>
      </c>
      <c r="L255">
        <f t="shared" si="12"/>
        <v>2E-3</v>
      </c>
      <c r="M255">
        <f t="shared" si="15"/>
        <v>0.50200000000000033</v>
      </c>
      <c r="N255">
        <f t="shared" si="13"/>
        <v>0.63081191417311633</v>
      </c>
      <c r="O255">
        <f t="shared" si="14"/>
        <v>0.12881191417311599</v>
      </c>
    </row>
    <row r="256" spans="2:15" x14ac:dyDescent="0.25">
      <c r="B256" s="7">
        <v>25.83</v>
      </c>
      <c r="J256" s="7">
        <v>24.84</v>
      </c>
      <c r="K256">
        <v>1</v>
      </c>
      <c r="L256">
        <f t="shared" si="12"/>
        <v>2E-3</v>
      </c>
      <c r="M256">
        <f t="shared" si="15"/>
        <v>0.50400000000000034</v>
      </c>
      <c r="N256">
        <f t="shared" si="13"/>
        <v>0.63081191417311633</v>
      </c>
      <c r="O256">
        <f t="shared" si="14"/>
        <v>0.12681191417311599</v>
      </c>
    </row>
    <row r="257" spans="2:15" x14ac:dyDescent="0.25">
      <c r="B257" s="7">
        <v>21.62</v>
      </c>
      <c r="J257" s="7">
        <v>24.89</v>
      </c>
      <c r="K257">
        <v>1</v>
      </c>
      <c r="L257">
        <f t="shared" si="12"/>
        <v>2E-3</v>
      </c>
      <c r="M257">
        <f t="shared" si="15"/>
        <v>0.50600000000000034</v>
      </c>
      <c r="N257">
        <f t="shared" si="13"/>
        <v>0.63155166544304031</v>
      </c>
      <c r="O257">
        <f t="shared" si="14"/>
        <v>0.12555166544303997</v>
      </c>
    </row>
    <row r="258" spans="2:15" x14ac:dyDescent="0.25">
      <c r="B258" s="7">
        <v>24.96</v>
      </c>
      <c r="J258" s="7">
        <v>24.91</v>
      </c>
      <c r="K258">
        <v>1</v>
      </c>
      <c r="L258">
        <f t="shared" si="12"/>
        <v>2E-3</v>
      </c>
      <c r="M258">
        <f t="shared" si="15"/>
        <v>0.50800000000000034</v>
      </c>
      <c r="N258">
        <f t="shared" si="13"/>
        <v>0.63184715075235409</v>
      </c>
      <c r="O258">
        <f t="shared" si="14"/>
        <v>0.12384715075235375</v>
      </c>
    </row>
    <row r="259" spans="2:15" x14ac:dyDescent="0.25">
      <c r="B259" s="7">
        <v>24.41</v>
      </c>
      <c r="J259" s="7">
        <v>24.94</v>
      </c>
      <c r="K259">
        <v>1</v>
      </c>
      <c r="L259">
        <f t="shared" si="12"/>
        <v>2E-3</v>
      </c>
      <c r="M259">
        <f t="shared" si="15"/>
        <v>0.51000000000000034</v>
      </c>
      <c r="N259">
        <f t="shared" si="13"/>
        <v>0.63228993445510617</v>
      </c>
      <c r="O259">
        <f t="shared" si="14"/>
        <v>0.12228993445510583</v>
      </c>
    </row>
    <row r="260" spans="2:15" x14ac:dyDescent="0.25">
      <c r="B260" s="7">
        <v>26.2</v>
      </c>
      <c r="J260" s="7">
        <v>24.95</v>
      </c>
      <c r="K260">
        <v>1</v>
      </c>
      <c r="L260">
        <f t="shared" si="12"/>
        <v>2E-3</v>
      </c>
      <c r="M260">
        <f t="shared" si="15"/>
        <v>0.51200000000000034</v>
      </c>
      <c r="N260">
        <f t="shared" si="13"/>
        <v>0.63243741064804437</v>
      </c>
      <c r="O260">
        <f t="shared" si="14"/>
        <v>0.12043741064804403</v>
      </c>
    </row>
    <row r="261" spans="2:15" x14ac:dyDescent="0.25">
      <c r="B261" s="7">
        <v>22.03</v>
      </c>
      <c r="J261" s="7">
        <v>24.96</v>
      </c>
      <c r="K261">
        <v>1</v>
      </c>
      <c r="L261">
        <f t="shared" si="12"/>
        <v>2E-3</v>
      </c>
      <c r="M261">
        <f t="shared" si="15"/>
        <v>0.51400000000000035</v>
      </c>
      <c r="N261">
        <f t="shared" si="13"/>
        <v>0.63258482769322044</v>
      </c>
      <c r="O261">
        <f t="shared" si="14"/>
        <v>0.1185848276932201</v>
      </c>
    </row>
    <row r="262" spans="2:15" x14ac:dyDescent="0.25">
      <c r="B262" s="7">
        <v>27.17</v>
      </c>
      <c r="J262" s="7">
        <v>24.97</v>
      </c>
      <c r="K262">
        <v>1</v>
      </c>
      <c r="L262">
        <f t="shared" ref="L262:L325" si="16">K262/$E$20</f>
        <v>2E-3</v>
      </c>
      <c r="M262">
        <f t="shared" si="15"/>
        <v>0.51600000000000035</v>
      </c>
      <c r="N262">
        <f t="shared" ref="N262:N325" si="17">1-EXP(-$H$11*J262)</f>
        <v>0.63273218561435662</v>
      </c>
      <c r="O262">
        <f t="shared" ref="O262:O325" si="18">ABS(M262-N262)</f>
        <v>0.11673218561435628</v>
      </c>
    </row>
    <row r="263" spans="2:15" x14ac:dyDescent="0.25">
      <c r="B263" s="7">
        <v>28.6</v>
      </c>
      <c r="J263" s="7">
        <v>25</v>
      </c>
      <c r="K263">
        <v>1</v>
      </c>
      <c r="L263">
        <f t="shared" si="16"/>
        <v>2E-3</v>
      </c>
      <c r="M263">
        <f t="shared" ref="M263:M326" si="19">M262+L263</f>
        <v>0.51800000000000035</v>
      </c>
      <c r="N263">
        <f t="shared" si="17"/>
        <v>0.63317390487060488</v>
      </c>
      <c r="O263">
        <f t="shared" si="18"/>
        <v>0.11517390487060453</v>
      </c>
    </row>
    <row r="264" spans="2:15" x14ac:dyDescent="0.25">
      <c r="B264" s="7">
        <v>23.7</v>
      </c>
      <c r="J264" s="7">
        <v>25</v>
      </c>
      <c r="K264">
        <v>1</v>
      </c>
      <c r="L264">
        <f t="shared" si="16"/>
        <v>2E-3</v>
      </c>
      <c r="M264">
        <f t="shared" si="19"/>
        <v>0.52000000000000035</v>
      </c>
      <c r="N264">
        <f t="shared" si="17"/>
        <v>0.63317390487060488</v>
      </c>
      <c r="O264">
        <f t="shared" si="18"/>
        <v>0.11317390487060452</v>
      </c>
    </row>
    <row r="265" spans="2:15" x14ac:dyDescent="0.25">
      <c r="B265" s="7">
        <v>23.07</v>
      </c>
      <c r="J265" s="7">
        <v>25.03</v>
      </c>
      <c r="K265">
        <v>1</v>
      </c>
      <c r="L265">
        <f t="shared" si="16"/>
        <v>2E-3</v>
      </c>
      <c r="M265">
        <f t="shared" si="19"/>
        <v>0.52200000000000035</v>
      </c>
      <c r="N265">
        <f t="shared" si="17"/>
        <v>0.63361509286357953</v>
      </c>
      <c r="O265">
        <f t="shared" si="18"/>
        <v>0.11161509286357918</v>
      </c>
    </row>
    <row r="266" spans="2:15" x14ac:dyDescent="0.25">
      <c r="B266" s="7">
        <v>21.38</v>
      </c>
      <c r="J266" s="7">
        <v>25.09</v>
      </c>
      <c r="K266">
        <v>1</v>
      </c>
      <c r="L266">
        <f t="shared" si="16"/>
        <v>2E-3</v>
      </c>
      <c r="M266">
        <f t="shared" si="19"/>
        <v>0.52400000000000035</v>
      </c>
      <c r="N266">
        <f t="shared" si="17"/>
        <v>0.63449587761477722</v>
      </c>
      <c r="O266">
        <f t="shared" si="18"/>
        <v>0.11049587761477686</v>
      </c>
    </row>
    <row r="267" spans="2:15" x14ac:dyDescent="0.25">
      <c r="B267" s="7">
        <v>27.6</v>
      </c>
      <c r="J267" s="7">
        <v>25.11</v>
      </c>
      <c r="K267">
        <v>1</v>
      </c>
      <c r="L267">
        <f t="shared" si="16"/>
        <v>2E-3</v>
      </c>
      <c r="M267">
        <f t="shared" si="19"/>
        <v>0.52600000000000036</v>
      </c>
      <c r="N267">
        <f t="shared" si="17"/>
        <v>0.63478900174787545</v>
      </c>
      <c r="O267">
        <f t="shared" si="18"/>
        <v>0.10878900174787509</v>
      </c>
    </row>
    <row r="268" spans="2:15" x14ac:dyDescent="0.25">
      <c r="B268" s="7">
        <v>30.45</v>
      </c>
      <c r="J268" s="7">
        <v>25.11</v>
      </c>
      <c r="K268">
        <v>1</v>
      </c>
      <c r="L268">
        <f t="shared" si="16"/>
        <v>2E-3</v>
      </c>
      <c r="M268">
        <f t="shared" si="19"/>
        <v>0.52800000000000036</v>
      </c>
      <c r="N268">
        <f t="shared" si="17"/>
        <v>0.63478900174787545</v>
      </c>
      <c r="O268">
        <f t="shared" si="18"/>
        <v>0.10678900174787509</v>
      </c>
    </row>
    <row r="269" spans="2:15" x14ac:dyDescent="0.25">
      <c r="B269" s="7">
        <v>23.11</v>
      </c>
      <c r="J269" s="7">
        <v>25.13</v>
      </c>
      <c r="K269">
        <v>1</v>
      </c>
      <c r="L269">
        <f t="shared" si="16"/>
        <v>2E-3</v>
      </c>
      <c r="M269">
        <f t="shared" si="19"/>
        <v>0.53000000000000036</v>
      </c>
      <c r="N269">
        <f t="shared" si="17"/>
        <v>0.63508189080357735</v>
      </c>
      <c r="O269">
        <f t="shared" si="18"/>
        <v>0.10508189080357699</v>
      </c>
    </row>
    <row r="270" spans="2:15" x14ac:dyDescent="0.25">
      <c r="B270" s="7">
        <v>20.64</v>
      </c>
      <c r="J270" s="7">
        <v>25.13</v>
      </c>
      <c r="K270">
        <v>1</v>
      </c>
      <c r="L270">
        <f t="shared" si="16"/>
        <v>2E-3</v>
      </c>
      <c r="M270">
        <f t="shared" si="19"/>
        <v>0.53200000000000036</v>
      </c>
      <c r="N270">
        <f t="shared" si="17"/>
        <v>0.63508189080357735</v>
      </c>
      <c r="O270">
        <f t="shared" si="18"/>
        <v>0.10308189080357699</v>
      </c>
    </row>
    <row r="271" spans="2:15" x14ac:dyDescent="0.25">
      <c r="B271" s="7">
        <v>29.59</v>
      </c>
      <c r="J271" s="7">
        <v>25.19</v>
      </c>
      <c r="K271">
        <v>1</v>
      </c>
      <c r="L271">
        <f t="shared" si="16"/>
        <v>2E-3</v>
      </c>
      <c r="M271">
        <f t="shared" si="19"/>
        <v>0.53400000000000036</v>
      </c>
      <c r="N271">
        <f t="shared" si="17"/>
        <v>0.63595914939080522</v>
      </c>
      <c r="O271">
        <f t="shared" si="18"/>
        <v>0.10195914939080486</v>
      </c>
    </row>
    <row r="272" spans="2:15" x14ac:dyDescent="0.25">
      <c r="B272" s="7">
        <v>27.05</v>
      </c>
      <c r="J272" s="7">
        <v>25.2</v>
      </c>
      <c r="K272">
        <v>1</v>
      </c>
      <c r="L272">
        <f t="shared" si="16"/>
        <v>2E-3</v>
      </c>
      <c r="M272">
        <f t="shared" si="19"/>
        <v>0.53600000000000037</v>
      </c>
      <c r="N272">
        <f t="shared" si="17"/>
        <v>0.63610515398451206</v>
      </c>
      <c r="O272">
        <f t="shared" si="18"/>
        <v>0.1001051539845117</v>
      </c>
    </row>
    <row r="273" spans="2:15" x14ac:dyDescent="0.25">
      <c r="B273" s="7">
        <v>27.04</v>
      </c>
      <c r="J273" s="7">
        <v>25.21</v>
      </c>
      <c r="K273">
        <v>1</v>
      </c>
      <c r="L273">
        <f t="shared" si="16"/>
        <v>2E-3</v>
      </c>
      <c r="M273">
        <f t="shared" si="19"/>
        <v>0.53800000000000037</v>
      </c>
      <c r="N273">
        <f t="shared" si="17"/>
        <v>0.6362511000206662</v>
      </c>
      <c r="O273">
        <f t="shared" si="18"/>
        <v>9.8251100020665838E-2</v>
      </c>
    </row>
    <row r="274" spans="2:15" x14ac:dyDescent="0.25">
      <c r="B274" s="7">
        <v>29.04</v>
      </c>
      <c r="J274" s="7">
        <v>25.21</v>
      </c>
      <c r="K274">
        <v>1</v>
      </c>
      <c r="L274">
        <f t="shared" si="16"/>
        <v>2E-3</v>
      </c>
      <c r="M274">
        <f t="shared" si="19"/>
        <v>0.54000000000000037</v>
      </c>
      <c r="N274">
        <f t="shared" si="17"/>
        <v>0.6362511000206662</v>
      </c>
      <c r="O274">
        <f t="shared" si="18"/>
        <v>9.6251100020665836E-2</v>
      </c>
    </row>
    <row r="275" spans="2:15" x14ac:dyDescent="0.25">
      <c r="B275" s="7">
        <v>32.15</v>
      </c>
      <c r="J275" s="7">
        <v>25.22</v>
      </c>
      <c r="K275">
        <v>1</v>
      </c>
      <c r="L275">
        <f t="shared" si="16"/>
        <v>2E-3</v>
      </c>
      <c r="M275">
        <f t="shared" si="19"/>
        <v>0.54200000000000037</v>
      </c>
      <c r="N275">
        <f t="shared" si="17"/>
        <v>0.63639698752275264</v>
      </c>
      <c r="O275">
        <f t="shared" si="18"/>
        <v>9.4396987522752274E-2</v>
      </c>
    </row>
    <row r="276" spans="2:15" x14ac:dyDescent="0.25">
      <c r="B276" s="7">
        <v>25</v>
      </c>
      <c r="J276" s="7">
        <v>25.26</v>
      </c>
      <c r="K276">
        <v>1</v>
      </c>
      <c r="L276">
        <f t="shared" si="16"/>
        <v>2E-3</v>
      </c>
      <c r="M276">
        <f t="shared" si="19"/>
        <v>0.54400000000000037</v>
      </c>
      <c r="N276">
        <f t="shared" si="17"/>
        <v>0.63697995265980401</v>
      </c>
      <c r="O276">
        <f t="shared" si="18"/>
        <v>9.2979952659803633E-2</v>
      </c>
    </row>
    <row r="277" spans="2:15" x14ac:dyDescent="0.25">
      <c r="B277" s="7">
        <v>29.92</v>
      </c>
      <c r="J277" s="7">
        <v>25.27</v>
      </c>
      <c r="K277">
        <v>1</v>
      </c>
      <c r="L277">
        <f t="shared" si="16"/>
        <v>2E-3</v>
      </c>
      <c r="M277">
        <f t="shared" si="19"/>
        <v>0.54600000000000037</v>
      </c>
      <c r="N277">
        <f t="shared" si="17"/>
        <v>0.63712554784350561</v>
      </c>
      <c r="O277">
        <f t="shared" si="18"/>
        <v>9.1125547843505239E-2</v>
      </c>
    </row>
    <row r="278" spans="2:15" x14ac:dyDescent="0.25">
      <c r="B278" s="7">
        <v>25.03</v>
      </c>
      <c r="J278" s="7">
        <v>25.28</v>
      </c>
      <c r="K278">
        <v>1</v>
      </c>
      <c r="L278">
        <f t="shared" si="16"/>
        <v>2E-3</v>
      </c>
      <c r="M278">
        <f t="shared" si="19"/>
        <v>0.54800000000000038</v>
      </c>
      <c r="N278">
        <f t="shared" si="17"/>
        <v>0.63727108463385518</v>
      </c>
      <c r="O278">
        <f t="shared" si="18"/>
        <v>8.9271084633854803E-2</v>
      </c>
    </row>
    <row r="279" spans="2:15" x14ac:dyDescent="0.25">
      <c r="B279" s="7">
        <v>21.79</v>
      </c>
      <c r="J279" s="7">
        <v>25.28</v>
      </c>
      <c r="K279">
        <v>1</v>
      </c>
      <c r="L279">
        <f t="shared" si="16"/>
        <v>2E-3</v>
      </c>
      <c r="M279">
        <f t="shared" si="19"/>
        <v>0.55000000000000038</v>
      </c>
      <c r="N279">
        <f t="shared" si="17"/>
        <v>0.63727108463385518</v>
      </c>
      <c r="O279">
        <f t="shared" si="18"/>
        <v>8.7271084633854801E-2</v>
      </c>
    </row>
    <row r="280" spans="2:15" x14ac:dyDescent="0.25">
      <c r="B280" s="7">
        <v>27.22</v>
      </c>
      <c r="J280" s="7">
        <v>25.28</v>
      </c>
      <c r="K280">
        <v>1</v>
      </c>
      <c r="L280">
        <f t="shared" si="16"/>
        <v>2E-3</v>
      </c>
      <c r="M280">
        <f t="shared" si="19"/>
        <v>0.55200000000000038</v>
      </c>
      <c r="N280">
        <f t="shared" si="17"/>
        <v>0.63727108463385518</v>
      </c>
      <c r="O280">
        <f t="shared" si="18"/>
        <v>8.5271084633854799E-2</v>
      </c>
    </row>
    <row r="281" spans="2:15" x14ac:dyDescent="0.25">
      <c r="B281" s="7">
        <v>24.31</v>
      </c>
      <c r="J281" s="7">
        <v>25.29</v>
      </c>
      <c r="K281">
        <v>1</v>
      </c>
      <c r="L281">
        <f t="shared" si="16"/>
        <v>2E-3</v>
      </c>
      <c r="M281">
        <f t="shared" si="19"/>
        <v>0.55400000000000038</v>
      </c>
      <c r="N281">
        <f t="shared" si="17"/>
        <v>0.63741656305427186</v>
      </c>
      <c r="O281">
        <f t="shared" si="18"/>
        <v>8.3416563054271475E-2</v>
      </c>
    </row>
    <row r="282" spans="2:15" x14ac:dyDescent="0.25">
      <c r="B282" s="7">
        <v>30.36</v>
      </c>
      <c r="J282" s="7">
        <v>25.34</v>
      </c>
      <c r="K282">
        <v>1</v>
      </c>
      <c r="L282">
        <f t="shared" si="16"/>
        <v>2E-3</v>
      </c>
      <c r="M282">
        <f t="shared" si="19"/>
        <v>0.55600000000000038</v>
      </c>
      <c r="N282">
        <f t="shared" si="17"/>
        <v>0.63814308042639478</v>
      </c>
      <c r="O282">
        <f t="shared" si="18"/>
        <v>8.2143080426394399E-2</v>
      </c>
    </row>
    <row r="283" spans="2:15" x14ac:dyDescent="0.25">
      <c r="B283" s="7">
        <v>23.24</v>
      </c>
      <c r="J283" s="7">
        <v>25.36</v>
      </c>
      <c r="K283">
        <v>1</v>
      </c>
      <c r="L283">
        <f t="shared" si="16"/>
        <v>2E-3</v>
      </c>
      <c r="M283">
        <f t="shared" si="19"/>
        <v>0.55800000000000038</v>
      </c>
      <c r="N283">
        <f t="shared" si="17"/>
        <v>0.63843327960435037</v>
      </c>
      <c r="O283">
        <f t="shared" si="18"/>
        <v>8.0433279604349983E-2</v>
      </c>
    </row>
    <row r="284" spans="2:15" x14ac:dyDescent="0.25">
      <c r="B284" s="7">
        <v>26.95</v>
      </c>
      <c r="J284" s="7">
        <v>25.38</v>
      </c>
      <c r="K284">
        <v>1</v>
      </c>
      <c r="L284">
        <f t="shared" si="16"/>
        <v>2E-3</v>
      </c>
      <c r="M284">
        <f t="shared" si="19"/>
        <v>0.56000000000000039</v>
      </c>
      <c r="N284">
        <f t="shared" si="17"/>
        <v>0.63872324605064246</v>
      </c>
      <c r="O284">
        <f t="shared" si="18"/>
        <v>7.8723246050642071E-2</v>
      </c>
    </row>
    <row r="285" spans="2:15" x14ac:dyDescent="0.25">
      <c r="B285" s="7">
        <v>25.58</v>
      </c>
      <c r="J285" s="7">
        <v>25.43</v>
      </c>
      <c r="K285">
        <v>1</v>
      </c>
      <c r="L285">
        <f t="shared" si="16"/>
        <v>2E-3</v>
      </c>
      <c r="M285">
        <f t="shared" si="19"/>
        <v>0.56200000000000039</v>
      </c>
      <c r="N285">
        <f t="shared" si="17"/>
        <v>0.63944714518982915</v>
      </c>
      <c r="O285">
        <f t="shared" si="18"/>
        <v>7.7447145189828759E-2</v>
      </c>
    </row>
    <row r="286" spans="2:15" x14ac:dyDescent="0.25">
      <c r="B286" s="7">
        <v>25.21</v>
      </c>
      <c r="J286" s="7">
        <v>25.44</v>
      </c>
      <c r="K286">
        <v>1</v>
      </c>
      <c r="L286">
        <f t="shared" si="16"/>
        <v>2E-3</v>
      </c>
      <c r="M286">
        <f t="shared" si="19"/>
        <v>0.56400000000000039</v>
      </c>
      <c r="N286">
        <f t="shared" si="17"/>
        <v>0.63959175086523168</v>
      </c>
      <c r="O286">
        <f t="shared" si="18"/>
        <v>7.5591750865231289E-2</v>
      </c>
    </row>
    <row r="287" spans="2:15" x14ac:dyDescent="0.25">
      <c r="B287" s="7">
        <v>24.54</v>
      </c>
      <c r="J287" s="7">
        <v>25.48</v>
      </c>
      <c r="K287">
        <v>1</v>
      </c>
      <c r="L287">
        <f t="shared" si="16"/>
        <v>2E-3</v>
      </c>
      <c r="M287">
        <f t="shared" si="19"/>
        <v>0.56600000000000039</v>
      </c>
      <c r="N287">
        <f t="shared" si="17"/>
        <v>0.64016959383446292</v>
      </c>
      <c r="O287">
        <f t="shared" si="18"/>
        <v>7.4169593834462533E-2</v>
      </c>
    </row>
    <row r="288" spans="2:15" x14ac:dyDescent="0.25">
      <c r="B288" s="7">
        <v>25.21</v>
      </c>
      <c r="J288" s="7">
        <v>25.5</v>
      </c>
      <c r="K288">
        <v>1</v>
      </c>
      <c r="L288">
        <f t="shared" si="16"/>
        <v>2E-3</v>
      </c>
      <c r="M288">
        <f t="shared" si="19"/>
        <v>0.56800000000000039</v>
      </c>
      <c r="N288">
        <f t="shared" si="17"/>
        <v>0.64045816780506915</v>
      </c>
      <c r="O288">
        <f t="shared" si="18"/>
        <v>7.2458167805068752E-2</v>
      </c>
    </row>
    <row r="289" spans="2:15" x14ac:dyDescent="0.25">
      <c r="B289" s="7">
        <v>29.55</v>
      </c>
      <c r="J289" s="7">
        <v>25.5</v>
      </c>
      <c r="K289">
        <v>1</v>
      </c>
      <c r="L289">
        <f t="shared" si="16"/>
        <v>2E-3</v>
      </c>
      <c r="M289">
        <f t="shared" si="19"/>
        <v>0.5700000000000004</v>
      </c>
      <c r="N289">
        <f t="shared" si="17"/>
        <v>0.64045816780506915</v>
      </c>
      <c r="O289">
        <f t="shared" si="18"/>
        <v>7.045816780506875E-2</v>
      </c>
    </row>
    <row r="290" spans="2:15" x14ac:dyDescent="0.25">
      <c r="B290" s="7">
        <v>27.26</v>
      </c>
      <c r="J290" s="7">
        <v>25.52</v>
      </c>
      <c r="K290">
        <v>1</v>
      </c>
      <c r="L290">
        <f t="shared" si="16"/>
        <v>2E-3</v>
      </c>
      <c r="M290">
        <f t="shared" si="19"/>
        <v>0.5720000000000004</v>
      </c>
      <c r="N290">
        <f t="shared" si="17"/>
        <v>0.64074651034738273</v>
      </c>
      <c r="O290">
        <f t="shared" si="18"/>
        <v>6.8746510347382328E-2</v>
      </c>
    </row>
    <row r="291" spans="2:15" x14ac:dyDescent="0.25">
      <c r="B291" s="7">
        <v>23.59</v>
      </c>
      <c r="J291" s="7">
        <v>25.52</v>
      </c>
      <c r="K291">
        <v>1</v>
      </c>
      <c r="L291">
        <f t="shared" si="16"/>
        <v>2E-3</v>
      </c>
      <c r="M291">
        <f t="shared" si="19"/>
        <v>0.5740000000000004</v>
      </c>
      <c r="N291">
        <f t="shared" si="17"/>
        <v>0.64074651034738273</v>
      </c>
      <c r="O291">
        <f t="shared" si="18"/>
        <v>6.6746510347382326E-2</v>
      </c>
    </row>
    <row r="292" spans="2:15" x14ac:dyDescent="0.25">
      <c r="B292" s="7">
        <v>23.14</v>
      </c>
      <c r="J292" s="7">
        <v>25.54</v>
      </c>
      <c r="K292">
        <v>1</v>
      </c>
      <c r="L292">
        <f t="shared" si="16"/>
        <v>2E-3</v>
      </c>
      <c r="M292">
        <f t="shared" si="19"/>
        <v>0.5760000000000004</v>
      </c>
      <c r="N292">
        <f t="shared" si="17"/>
        <v>0.64103462164700287</v>
      </c>
      <c r="O292">
        <f t="shared" si="18"/>
        <v>6.5034621647002466E-2</v>
      </c>
    </row>
    <row r="293" spans="2:15" x14ac:dyDescent="0.25">
      <c r="B293" s="7">
        <v>28.34</v>
      </c>
      <c r="J293" s="7">
        <v>25.57</v>
      </c>
      <c r="K293">
        <v>1</v>
      </c>
      <c r="L293">
        <f t="shared" si="16"/>
        <v>2E-3</v>
      </c>
      <c r="M293">
        <f t="shared" si="19"/>
        <v>0.5780000000000004</v>
      </c>
      <c r="N293">
        <f t="shared" si="17"/>
        <v>0.64146635542201436</v>
      </c>
      <c r="O293">
        <f t="shared" si="18"/>
        <v>6.3466355422013954E-2</v>
      </c>
    </row>
    <row r="294" spans="2:15" x14ac:dyDescent="0.25">
      <c r="B294" s="7">
        <v>26.18</v>
      </c>
      <c r="J294" s="7">
        <v>25.58</v>
      </c>
      <c r="K294">
        <v>1</v>
      </c>
      <c r="L294">
        <f t="shared" si="16"/>
        <v>2E-3</v>
      </c>
      <c r="M294">
        <f t="shared" si="19"/>
        <v>0.5800000000000004</v>
      </c>
      <c r="N294">
        <f t="shared" si="17"/>
        <v>0.64161015125981458</v>
      </c>
      <c r="O294">
        <f t="shared" si="18"/>
        <v>6.1610151259814172E-2</v>
      </c>
    </row>
    <row r="295" spans="2:15" x14ac:dyDescent="0.25">
      <c r="B295" s="7">
        <v>23.22</v>
      </c>
      <c r="J295" s="7">
        <v>25.6</v>
      </c>
      <c r="K295">
        <v>1</v>
      </c>
      <c r="L295">
        <f t="shared" si="16"/>
        <v>2E-3</v>
      </c>
      <c r="M295">
        <f t="shared" si="19"/>
        <v>0.58200000000000041</v>
      </c>
      <c r="N295">
        <f t="shared" si="17"/>
        <v>0.6418975699434607</v>
      </c>
      <c r="O295">
        <f t="shared" si="18"/>
        <v>5.9897569943460294E-2</v>
      </c>
    </row>
    <row r="296" spans="2:15" x14ac:dyDescent="0.25">
      <c r="B296" s="7">
        <v>27.08</v>
      </c>
      <c r="J296" s="7">
        <v>25.6</v>
      </c>
      <c r="K296">
        <v>1</v>
      </c>
      <c r="L296">
        <f t="shared" si="16"/>
        <v>2E-3</v>
      </c>
      <c r="M296">
        <f t="shared" si="19"/>
        <v>0.58400000000000041</v>
      </c>
      <c r="N296">
        <f t="shared" si="17"/>
        <v>0.6418975699434607</v>
      </c>
      <c r="O296">
        <f t="shared" si="18"/>
        <v>5.7897569943460292E-2</v>
      </c>
    </row>
    <row r="297" spans="2:15" x14ac:dyDescent="0.25">
      <c r="B297" s="7">
        <v>28.68</v>
      </c>
      <c r="J297" s="7">
        <v>25.62</v>
      </c>
      <c r="K297">
        <v>1</v>
      </c>
      <c r="L297">
        <f t="shared" si="16"/>
        <v>2E-3</v>
      </c>
      <c r="M297">
        <f t="shared" si="19"/>
        <v>0.58600000000000041</v>
      </c>
      <c r="N297">
        <f t="shared" si="17"/>
        <v>0.64218475812532216</v>
      </c>
      <c r="O297">
        <f t="shared" si="18"/>
        <v>5.6184758125321754E-2</v>
      </c>
    </row>
    <row r="298" spans="2:15" x14ac:dyDescent="0.25">
      <c r="B298" s="7">
        <v>24.27</v>
      </c>
      <c r="J298" s="7">
        <v>25.62</v>
      </c>
      <c r="K298">
        <v>1</v>
      </c>
      <c r="L298">
        <f t="shared" si="16"/>
        <v>2E-3</v>
      </c>
      <c r="M298">
        <f t="shared" si="19"/>
        <v>0.58800000000000041</v>
      </c>
      <c r="N298">
        <f t="shared" si="17"/>
        <v>0.64218475812532216</v>
      </c>
      <c r="O298">
        <f t="shared" si="18"/>
        <v>5.4184758125321753E-2</v>
      </c>
    </row>
    <row r="299" spans="2:15" x14ac:dyDescent="0.25">
      <c r="B299" s="7">
        <v>26.74</v>
      </c>
      <c r="J299" s="7">
        <v>25.68</v>
      </c>
      <c r="K299">
        <v>1</v>
      </c>
      <c r="L299">
        <f t="shared" si="16"/>
        <v>2E-3</v>
      </c>
      <c r="M299">
        <f t="shared" si="19"/>
        <v>0.59000000000000041</v>
      </c>
      <c r="N299">
        <f t="shared" si="17"/>
        <v>0.64304494150801794</v>
      </c>
      <c r="O299">
        <f t="shared" si="18"/>
        <v>5.3044941508017529E-2</v>
      </c>
    </row>
    <row r="300" spans="2:15" x14ac:dyDescent="0.25">
      <c r="B300" s="7">
        <v>28.77</v>
      </c>
      <c r="J300" s="7">
        <v>25.69</v>
      </c>
      <c r="K300">
        <v>1</v>
      </c>
      <c r="L300">
        <f t="shared" si="16"/>
        <v>2E-3</v>
      </c>
      <c r="M300">
        <f t="shared" si="19"/>
        <v>0.59200000000000041</v>
      </c>
      <c r="N300">
        <f t="shared" si="17"/>
        <v>0.64318810422780492</v>
      </c>
      <c r="O300">
        <f t="shared" si="18"/>
        <v>5.118810422780451E-2</v>
      </c>
    </row>
    <row r="301" spans="2:15" x14ac:dyDescent="0.25">
      <c r="B301" s="7">
        <v>24.45</v>
      </c>
      <c r="J301" s="7">
        <v>25.7</v>
      </c>
      <c r="K301">
        <v>1</v>
      </c>
      <c r="L301">
        <f t="shared" si="16"/>
        <v>2E-3</v>
      </c>
      <c r="M301">
        <f t="shared" si="19"/>
        <v>0.59400000000000042</v>
      </c>
      <c r="N301">
        <f t="shared" si="17"/>
        <v>0.64333120952981937</v>
      </c>
      <c r="O301">
        <f t="shared" si="18"/>
        <v>4.9331209529818953E-2</v>
      </c>
    </row>
    <row r="302" spans="2:15" x14ac:dyDescent="0.25">
      <c r="B302" s="7">
        <v>28.31</v>
      </c>
      <c r="J302" s="7">
        <v>25.7</v>
      </c>
      <c r="K302">
        <v>1</v>
      </c>
      <c r="L302">
        <f t="shared" si="16"/>
        <v>2E-3</v>
      </c>
      <c r="M302">
        <f t="shared" si="19"/>
        <v>0.59600000000000042</v>
      </c>
      <c r="N302">
        <f t="shared" si="17"/>
        <v>0.64333120952981937</v>
      </c>
      <c r="O302">
        <f t="shared" si="18"/>
        <v>4.7331209529818952E-2</v>
      </c>
    </row>
    <row r="303" spans="2:15" x14ac:dyDescent="0.25">
      <c r="B303" s="7">
        <v>23.37</v>
      </c>
      <c r="J303" s="7">
        <v>25.71</v>
      </c>
      <c r="K303">
        <v>1</v>
      </c>
      <c r="L303">
        <f t="shared" si="16"/>
        <v>2E-3</v>
      </c>
      <c r="M303">
        <f t="shared" si="19"/>
        <v>0.59800000000000042</v>
      </c>
      <c r="N303">
        <f t="shared" si="17"/>
        <v>0.64347425743708975</v>
      </c>
      <c r="O303">
        <f t="shared" si="18"/>
        <v>4.5474257437089327E-2</v>
      </c>
    </row>
    <row r="304" spans="2:15" x14ac:dyDescent="0.25">
      <c r="B304" s="7">
        <v>27.01</v>
      </c>
      <c r="J304" s="7">
        <v>25.73</v>
      </c>
      <c r="K304">
        <v>1</v>
      </c>
      <c r="L304">
        <f t="shared" si="16"/>
        <v>2E-3</v>
      </c>
      <c r="M304">
        <f t="shared" si="19"/>
        <v>0.60000000000000042</v>
      </c>
      <c r="N304">
        <f t="shared" si="17"/>
        <v>0.64376018115946509</v>
      </c>
      <c r="O304">
        <f t="shared" si="18"/>
        <v>4.3760181159464673E-2</v>
      </c>
    </row>
    <row r="305" spans="2:15" x14ac:dyDescent="0.25">
      <c r="B305" s="7">
        <v>27.23</v>
      </c>
      <c r="J305" s="7">
        <v>25.73</v>
      </c>
      <c r="K305">
        <v>1</v>
      </c>
      <c r="L305">
        <f t="shared" si="16"/>
        <v>2E-3</v>
      </c>
      <c r="M305">
        <f t="shared" si="19"/>
        <v>0.60200000000000042</v>
      </c>
      <c r="N305">
        <f t="shared" si="17"/>
        <v>0.64376018115946509</v>
      </c>
      <c r="O305">
        <f t="shared" si="18"/>
        <v>4.1760181159464671E-2</v>
      </c>
    </row>
    <row r="306" spans="2:15" x14ac:dyDescent="0.25">
      <c r="B306" s="7">
        <v>22.68</v>
      </c>
      <c r="J306" s="7">
        <v>25.75</v>
      </c>
      <c r="K306">
        <v>1</v>
      </c>
      <c r="L306">
        <f t="shared" si="16"/>
        <v>2E-3</v>
      </c>
      <c r="M306">
        <f t="shared" si="19"/>
        <v>0.60400000000000043</v>
      </c>
      <c r="N306">
        <f t="shared" si="17"/>
        <v>0.6440458755789733</v>
      </c>
      <c r="O306">
        <f t="shared" si="18"/>
        <v>4.0045875578972878E-2</v>
      </c>
    </row>
    <row r="307" spans="2:15" x14ac:dyDescent="0.25">
      <c r="B307" s="7">
        <v>27.36</v>
      </c>
      <c r="J307" s="7">
        <v>25.76</v>
      </c>
      <c r="K307">
        <v>1</v>
      </c>
      <c r="L307">
        <f t="shared" si="16"/>
        <v>2E-3</v>
      </c>
      <c r="M307">
        <f t="shared" si="19"/>
        <v>0.60600000000000043</v>
      </c>
      <c r="N307">
        <f t="shared" si="17"/>
        <v>0.64418863685762484</v>
      </c>
      <c r="O307">
        <f t="shared" si="18"/>
        <v>3.8188636857624414E-2</v>
      </c>
    </row>
    <row r="308" spans="2:15" x14ac:dyDescent="0.25">
      <c r="B308" s="7">
        <v>24.84</v>
      </c>
      <c r="J308" s="7">
        <v>25.78</v>
      </c>
      <c r="K308">
        <v>1</v>
      </c>
      <c r="L308">
        <f t="shared" si="16"/>
        <v>2E-3</v>
      </c>
      <c r="M308">
        <f t="shared" si="19"/>
        <v>0.60800000000000043</v>
      </c>
      <c r="N308">
        <f t="shared" si="17"/>
        <v>0.64447398766758834</v>
      </c>
      <c r="O308">
        <f t="shared" si="18"/>
        <v>3.6473987667587915E-2</v>
      </c>
    </row>
    <row r="309" spans="2:15" x14ac:dyDescent="0.25">
      <c r="B309" s="7">
        <v>24.15</v>
      </c>
      <c r="J309" s="7">
        <v>25.8</v>
      </c>
      <c r="K309">
        <v>1</v>
      </c>
      <c r="L309">
        <f t="shared" si="16"/>
        <v>2E-3</v>
      </c>
      <c r="M309">
        <f t="shared" si="19"/>
        <v>0.61000000000000043</v>
      </c>
      <c r="N309">
        <f t="shared" si="17"/>
        <v>0.64475910963414429</v>
      </c>
      <c r="O309">
        <f t="shared" si="18"/>
        <v>3.4759109634143859E-2</v>
      </c>
    </row>
    <row r="310" spans="2:15" x14ac:dyDescent="0.25">
      <c r="B310" s="7">
        <v>26.55</v>
      </c>
      <c r="J310" s="7">
        <v>25.83</v>
      </c>
      <c r="K310">
        <v>1</v>
      </c>
      <c r="L310">
        <f t="shared" si="16"/>
        <v>2E-3</v>
      </c>
      <c r="M310">
        <f t="shared" si="19"/>
        <v>0.61200000000000043</v>
      </c>
      <c r="N310">
        <f t="shared" si="17"/>
        <v>0.64518636390401229</v>
      </c>
      <c r="O310">
        <f t="shared" si="18"/>
        <v>3.3186363904011862E-2</v>
      </c>
    </row>
    <row r="311" spans="2:15" x14ac:dyDescent="0.25">
      <c r="B311" s="7">
        <v>21.42</v>
      </c>
      <c r="J311" s="7">
        <v>25.83</v>
      </c>
      <c r="K311">
        <v>1</v>
      </c>
      <c r="L311">
        <f t="shared" si="16"/>
        <v>2E-3</v>
      </c>
      <c r="M311">
        <f t="shared" si="19"/>
        <v>0.61400000000000043</v>
      </c>
      <c r="N311">
        <f t="shared" si="17"/>
        <v>0.64518636390401229</v>
      </c>
      <c r="O311">
        <f t="shared" si="18"/>
        <v>3.118636390401186E-2</v>
      </c>
    </row>
    <row r="312" spans="2:15" x14ac:dyDescent="0.25">
      <c r="B312" s="7">
        <v>30.18</v>
      </c>
      <c r="J312" s="7">
        <v>25.84</v>
      </c>
      <c r="K312">
        <v>1</v>
      </c>
      <c r="L312">
        <f t="shared" si="16"/>
        <v>2E-3</v>
      </c>
      <c r="M312">
        <f t="shared" si="19"/>
        <v>0.61600000000000044</v>
      </c>
      <c r="N312">
        <f t="shared" si="17"/>
        <v>0.64532866777099096</v>
      </c>
      <c r="O312">
        <f t="shared" si="18"/>
        <v>2.9328667770990524E-2</v>
      </c>
    </row>
    <row r="313" spans="2:15" x14ac:dyDescent="0.25">
      <c r="B313" s="7">
        <v>22.73</v>
      </c>
      <c r="J313" s="7">
        <v>25.88</v>
      </c>
      <c r="K313">
        <v>1</v>
      </c>
      <c r="L313">
        <f t="shared" si="16"/>
        <v>2E-3</v>
      </c>
      <c r="M313">
        <f t="shared" si="19"/>
        <v>0.61800000000000044</v>
      </c>
      <c r="N313">
        <f t="shared" si="17"/>
        <v>0.64589731273460771</v>
      </c>
      <c r="O313">
        <f t="shared" si="18"/>
        <v>2.7897312734607271E-2</v>
      </c>
    </row>
    <row r="314" spans="2:15" x14ac:dyDescent="0.25">
      <c r="B314" s="7">
        <v>23.23</v>
      </c>
      <c r="J314" s="7">
        <v>25.89</v>
      </c>
      <c r="K314">
        <v>1</v>
      </c>
      <c r="L314">
        <f t="shared" si="16"/>
        <v>2E-3</v>
      </c>
      <c r="M314">
        <f t="shared" si="19"/>
        <v>0.62000000000000044</v>
      </c>
      <c r="N314">
        <f t="shared" si="17"/>
        <v>0.64603933146381953</v>
      </c>
      <c r="O314">
        <f t="shared" si="18"/>
        <v>2.6039331463819093E-2</v>
      </c>
    </row>
    <row r="315" spans="2:15" x14ac:dyDescent="0.25">
      <c r="B315" s="7">
        <v>24.09</v>
      </c>
      <c r="J315" s="7">
        <v>25.9</v>
      </c>
      <c r="K315">
        <v>1</v>
      </c>
      <c r="L315">
        <f t="shared" si="16"/>
        <v>2E-3</v>
      </c>
      <c r="M315">
        <f t="shared" si="19"/>
        <v>0.62200000000000044</v>
      </c>
      <c r="N315">
        <f t="shared" si="17"/>
        <v>0.64618129323407514</v>
      </c>
      <c r="O315">
        <f t="shared" si="18"/>
        <v>2.4181293234074697E-2</v>
      </c>
    </row>
    <row r="316" spans="2:15" x14ac:dyDescent="0.25">
      <c r="B316" s="7">
        <v>23.55</v>
      </c>
      <c r="J316" s="7">
        <v>25.91</v>
      </c>
      <c r="K316">
        <v>1</v>
      </c>
      <c r="L316">
        <f t="shared" si="16"/>
        <v>2E-3</v>
      </c>
      <c r="M316">
        <f t="shared" si="19"/>
        <v>0.62400000000000044</v>
      </c>
      <c r="N316">
        <f t="shared" si="17"/>
        <v>0.64632319806821914</v>
      </c>
      <c r="O316">
        <f t="shared" si="18"/>
        <v>2.2323198068218697E-2</v>
      </c>
    </row>
    <row r="317" spans="2:15" x14ac:dyDescent="0.25">
      <c r="B317" s="7">
        <v>22.21</v>
      </c>
      <c r="J317" s="7">
        <v>25.92</v>
      </c>
      <c r="K317">
        <v>1</v>
      </c>
      <c r="L317">
        <f t="shared" si="16"/>
        <v>2E-3</v>
      </c>
      <c r="M317">
        <f t="shared" si="19"/>
        <v>0.62600000000000044</v>
      </c>
      <c r="N317">
        <f t="shared" si="17"/>
        <v>0.64646504598908616</v>
      </c>
      <c r="O317">
        <f t="shared" si="18"/>
        <v>2.0465045989085717E-2</v>
      </c>
    </row>
    <row r="318" spans="2:15" x14ac:dyDescent="0.25">
      <c r="B318" s="7">
        <v>29.15</v>
      </c>
      <c r="J318" s="7">
        <v>25.93</v>
      </c>
      <c r="K318">
        <v>1</v>
      </c>
      <c r="L318">
        <f t="shared" si="16"/>
        <v>2E-3</v>
      </c>
      <c r="M318">
        <f t="shared" si="19"/>
        <v>0.62800000000000045</v>
      </c>
      <c r="N318">
        <f t="shared" si="17"/>
        <v>0.64660683701950261</v>
      </c>
      <c r="O318">
        <f t="shared" si="18"/>
        <v>1.8606837019502165E-2</v>
      </c>
    </row>
    <row r="319" spans="2:15" x14ac:dyDescent="0.25">
      <c r="B319" s="7">
        <v>23.29</v>
      </c>
      <c r="J319" s="7">
        <v>25.94</v>
      </c>
      <c r="K319">
        <v>1</v>
      </c>
      <c r="L319">
        <f t="shared" si="16"/>
        <v>2E-3</v>
      </c>
      <c r="M319">
        <f t="shared" si="19"/>
        <v>0.63000000000000045</v>
      </c>
      <c r="N319">
        <f t="shared" si="17"/>
        <v>0.64674857118228535</v>
      </c>
      <c r="O319">
        <f t="shared" si="18"/>
        <v>1.6748571182284899E-2</v>
      </c>
    </row>
    <row r="320" spans="2:15" x14ac:dyDescent="0.25">
      <c r="B320" s="7">
        <v>22.69</v>
      </c>
      <c r="J320" s="7">
        <v>25.95</v>
      </c>
      <c r="K320">
        <v>1</v>
      </c>
      <c r="L320">
        <f t="shared" si="16"/>
        <v>2E-3</v>
      </c>
      <c r="M320">
        <f t="shared" si="19"/>
        <v>0.63200000000000045</v>
      </c>
      <c r="N320">
        <f t="shared" si="17"/>
        <v>0.6468902485002419</v>
      </c>
      <c r="O320">
        <f t="shared" si="18"/>
        <v>1.4890248500241454E-2</v>
      </c>
    </row>
    <row r="321" spans="2:15" x14ac:dyDescent="0.25">
      <c r="B321" s="7">
        <v>24</v>
      </c>
      <c r="J321" s="7">
        <v>25.95</v>
      </c>
      <c r="K321">
        <v>1</v>
      </c>
      <c r="L321">
        <f t="shared" si="16"/>
        <v>2E-3</v>
      </c>
      <c r="M321">
        <f t="shared" si="19"/>
        <v>0.63400000000000045</v>
      </c>
      <c r="N321">
        <f t="shared" si="17"/>
        <v>0.6468902485002419</v>
      </c>
      <c r="O321">
        <f t="shared" si="18"/>
        <v>1.2890248500241452E-2</v>
      </c>
    </row>
    <row r="322" spans="2:15" x14ac:dyDescent="0.25">
      <c r="B322" s="7">
        <v>23.65</v>
      </c>
      <c r="J322" s="7">
        <v>25.96</v>
      </c>
      <c r="K322">
        <v>1</v>
      </c>
      <c r="L322">
        <f t="shared" si="16"/>
        <v>2E-3</v>
      </c>
      <c r="M322">
        <f t="shared" si="19"/>
        <v>0.63600000000000045</v>
      </c>
      <c r="N322">
        <f t="shared" si="17"/>
        <v>0.64703186899617093</v>
      </c>
      <c r="O322">
        <f t="shared" si="18"/>
        <v>1.103186899617048E-2</v>
      </c>
    </row>
    <row r="323" spans="2:15" x14ac:dyDescent="0.25">
      <c r="B323" s="7">
        <v>29.31</v>
      </c>
      <c r="J323" s="7">
        <v>25.96</v>
      </c>
      <c r="K323">
        <v>1</v>
      </c>
      <c r="L323">
        <f t="shared" si="16"/>
        <v>2E-3</v>
      </c>
      <c r="M323">
        <f t="shared" si="19"/>
        <v>0.63800000000000046</v>
      </c>
      <c r="N323">
        <f t="shared" si="17"/>
        <v>0.64703186899617093</v>
      </c>
      <c r="O323">
        <f t="shared" si="18"/>
        <v>9.0318689961704779E-3</v>
      </c>
    </row>
    <row r="324" spans="2:15" x14ac:dyDescent="0.25">
      <c r="B324" s="7">
        <v>22.23</v>
      </c>
      <c r="J324" s="7">
        <v>26.01</v>
      </c>
      <c r="K324">
        <v>1</v>
      </c>
      <c r="L324">
        <f t="shared" si="16"/>
        <v>2E-3</v>
      </c>
      <c r="M324">
        <f t="shared" si="19"/>
        <v>0.64000000000000046</v>
      </c>
      <c r="N324">
        <f t="shared" si="17"/>
        <v>0.64773911994271205</v>
      </c>
      <c r="O324">
        <f t="shared" si="18"/>
        <v>7.739119942711592E-3</v>
      </c>
    </row>
    <row r="325" spans="2:15" x14ac:dyDescent="0.25">
      <c r="B325" s="7">
        <v>24.32</v>
      </c>
      <c r="J325" s="7">
        <v>26.03</v>
      </c>
      <c r="K325">
        <v>1</v>
      </c>
      <c r="L325">
        <f t="shared" si="16"/>
        <v>2E-3</v>
      </c>
      <c r="M325">
        <f t="shared" si="19"/>
        <v>0.64200000000000046</v>
      </c>
      <c r="N325">
        <f t="shared" si="17"/>
        <v>0.64802162336406166</v>
      </c>
      <c r="O325">
        <f t="shared" si="18"/>
        <v>6.0216233640612016E-3</v>
      </c>
    </row>
    <row r="326" spans="2:15" x14ac:dyDescent="0.25">
      <c r="B326" s="7">
        <v>28.08</v>
      </c>
      <c r="J326" s="7">
        <v>26.04</v>
      </c>
      <c r="K326">
        <v>1</v>
      </c>
      <c r="L326">
        <f t="shared" ref="L326:L389" si="20">K326/$E$20</f>
        <v>2E-3</v>
      </c>
      <c r="M326">
        <f t="shared" si="19"/>
        <v>0.64400000000000046</v>
      </c>
      <c r="N326">
        <f t="shared" ref="N326:N389" si="21">1-EXP(-$H$11*J326)</f>
        <v>0.6481627901034217</v>
      </c>
      <c r="O326">
        <f t="shared" ref="O326:O389" si="22">ABS(M326-N326)</f>
        <v>4.1627901034212433E-3</v>
      </c>
    </row>
    <row r="327" spans="2:15" x14ac:dyDescent="0.25">
      <c r="B327" s="7">
        <v>23.47</v>
      </c>
      <c r="J327" s="7">
        <v>26.06</v>
      </c>
      <c r="K327">
        <v>1</v>
      </c>
      <c r="L327">
        <f t="shared" si="20"/>
        <v>2E-3</v>
      </c>
      <c r="M327">
        <f t="shared" ref="M327:M390" si="23">M326+L327</f>
        <v>0.64600000000000046</v>
      </c>
      <c r="N327">
        <f t="shared" si="21"/>
        <v>0.6484449537530943</v>
      </c>
      <c r="O327">
        <f t="shared" si="22"/>
        <v>2.444953753093837E-3</v>
      </c>
    </row>
    <row r="328" spans="2:15" x14ac:dyDescent="0.25">
      <c r="B328" s="7">
        <v>25.78</v>
      </c>
      <c r="J328" s="7">
        <v>26.09</v>
      </c>
      <c r="K328">
        <v>1</v>
      </c>
      <c r="L328">
        <f t="shared" si="20"/>
        <v>2E-3</v>
      </c>
      <c r="M328">
        <f t="shared" si="23"/>
        <v>0.64800000000000046</v>
      </c>
      <c r="N328">
        <f t="shared" si="21"/>
        <v>0.64886777499545734</v>
      </c>
      <c r="O328">
        <f t="shared" si="22"/>
        <v>8.6777499545687142E-4</v>
      </c>
    </row>
    <row r="329" spans="2:15" x14ac:dyDescent="0.25">
      <c r="B329" s="7">
        <v>23.1</v>
      </c>
      <c r="J329" s="7">
        <v>26.1</v>
      </c>
      <c r="K329">
        <v>1</v>
      </c>
      <c r="L329">
        <f t="shared" si="20"/>
        <v>2E-3</v>
      </c>
      <c r="M329">
        <f t="shared" si="23"/>
        <v>0.65000000000000047</v>
      </c>
      <c r="N329">
        <f t="shared" si="21"/>
        <v>0.64900860237173508</v>
      </c>
      <c r="O329">
        <f t="shared" si="22"/>
        <v>9.9139762826538913E-4</v>
      </c>
    </row>
    <row r="330" spans="2:15" x14ac:dyDescent="0.25">
      <c r="B330" s="7">
        <v>24.52</v>
      </c>
      <c r="J330" s="7">
        <v>26.14</v>
      </c>
      <c r="K330">
        <v>1</v>
      </c>
      <c r="L330">
        <f t="shared" si="20"/>
        <v>2E-3</v>
      </c>
      <c r="M330">
        <f t="shared" si="23"/>
        <v>0.65200000000000047</v>
      </c>
      <c r="N330">
        <f t="shared" si="21"/>
        <v>0.64957134729188337</v>
      </c>
      <c r="O330">
        <f t="shared" si="22"/>
        <v>2.4286527081170961E-3</v>
      </c>
    </row>
    <row r="331" spans="2:15" x14ac:dyDescent="0.25">
      <c r="B331" s="7">
        <v>24.94</v>
      </c>
      <c r="J331" s="7">
        <v>26.18</v>
      </c>
      <c r="K331">
        <v>1</v>
      </c>
      <c r="L331">
        <f t="shared" si="20"/>
        <v>2E-3</v>
      </c>
      <c r="M331">
        <f t="shared" si="23"/>
        <v>0.65400000000000047</v>
      </c>
      <c r="N331">
        <f t="shared" si="21"/>
        <v>0.65013318996244007</v>
      </c>
      <c r="O331">
        <f t="shared" si="22"/>
        <v>3.8668100375603975E-3</v>
      </c>
    </row>
    <row r="332" spans="2:15" x14ac:dyDescent="0.25">
      <c r="B332" s="7">
        <v>31.18</v>
      </c>
      <c r="J332" s="7">
        <v>26.2</v>
      </c>
      <c r="K332">
        <v>1</v>
      </c>
      <c r="L332">
        <f t="shared" si="20"/>
        <v>2E-3</v>
      </c>
      <c r="M332">
        <f t="shared" si="23"/>
        <v>0.65600000000000047</v>
      </c>
      <c r="N332">
        <f t="shared" si="21"/>
        <v>0.65041377340626783</v>
      </c>
      <c r="O332">
        <f t="shared" si="22"/>
        <v>5.5862265937326461E-3</v>
      </c>
    </row>
    <row r="333" spans="2:15" x14ac:dyDescent="0.25">
      <c r="B333" s="7">
        <v>29.15</v>
      </c>
      <c r="J333" s="7">
        <v>26.2</v>
      </c>
      <c r="K333">
        <v>1</v>
      </c>
      <c r="L333">
        <f t="shared" si="20"/>
        <v>2E-3</v>
      </c>
      <c r="M333">
        <f t="shared" si="23"/>
        <v>0.65800000000000047</v>
      </c>
      <c r="N333">
        <f t="shared" si="21"/>
        <v>0.65041377340626783</v>
      </c>
      <c r="O333">
        <f t="shared" si="22"/>
        <v>7.5862265937326478E-3</v>
      </c>
    </row>
    <row r="334" spans="2:15" x14ac:dyDescent="0.25">
      <c r="B334" s="7">
        <v>23.49</v>
      </c>
      <c r="J334" s="7">
        <v>26.24</v>
      </c>
      <c r="K334">
        <v>1</v>
      </c>
      <c r="L334">
        <f t="shared" si="20"/>
        <v>2E-3</v>
      </c>
      <c r="M334">
        <f t="shared" si="23"/>
        <v>0.66000000000000048</v>
      </c>
      <c r="N334">
        <f t="shared" si="21"/>
        <v>0.65097426541404579</v>
      </c>
      <c r="O334">
        <f t="shared" si="22"/>
        <v>9.0257345859546811E-3</v>
      </c>
    </row>
    <row r="335" spans="2:15" x14ac:dyDescent="0.25">
      <c r="B335" s="7">
        <v>27.77</v>
      </c>
      <c r="J335" s="7">
        <v>26.26</v>
      </c>
      <c r="K335">
        <v>1</v>
      </c>
      <c r="L335">
        <f t="shared" si="20"/>
        <v>2E-3</v>
      </c>
      <c r="M335">
        <f t="shared" si="23"/>
        <v>0.66200000000000048</v>
      </c>
      <c r="N335">
        <f t="shared" si="21"/>
        <v>0.65125417433877097</v>
      </c>
      <c r="O335">
        <f t="shared" si="22"/>
        <v>1.0745825661229502E-2</v>
      </c>
    </row>
    <row r="336" spans="2:15" x14ac:dyDescent="0.25">
      <c r="B336" s="7">
        <v>28.41</v>
      </c>
      <c r="J336" s="7">
        <v>26.28</v>
      </c>
      <c r="K336">
        <v>1</v>
      </c>
      <c r="L336">
        <f t="shared" si="20"/>
        <v>2E-3</v>
      </c>
      <c r="M336">
        <f t="shared" si="23"/>
        <v>0.66400000000000048</v>
      </c>
      <c r="N336">
        <f t="shared" si="21"/>
        <v>0.65153385878432912</v>
      </c>
      <c r="O336">
        <f t="shared" si="22"/>
        <v>1.2466141215671356E-2</v>
      </c>
    </row>
    <row r="337" spans="2:15" x14ac:dyDescent="0.25">
      <c r="B337" s="7">
        <v>24.84</v>
      </c>
      <c r="J337" s="7">
        <v>26.29</v>
      </c>
      <c r="K337">
        <v>1</v>
      </c>
      <c r="L337">
        <f t="shared" si="20"/>
        <v>2E-3</v>
      </c>
      <c r="M337">
        <f t="shared" si="23"/>
        <v>0.66600000000000048</v>
      </c>
      <c r="N337">
        <f t="shared" si="21"/>
        <v>0.65167361688368453</v>
      </c>
      <c r="O337">
        <f t="shared" si="22"/>
        <v>1.4326383116315955E-2</v>
      </c>
    </row>
    <row r="338" spans="2:15" x14ac:dyDescent="0.25">
      <c r="B338" s="7">
        <v>22.98</v>
      </c>
      <c r="J338" s="7">
        <v>26.32</v>
      </c>
      <c r="K338">
        <v>1</v>
      </c>
      <c r="L338">
        <f t="shared" si="20"/>
        <v>2E-3</v>
      </c>
      <c r="M338">
        <f t="shared" si="23"/>
        <v>0.66800000000000048</v>
      </c>
      <c r="N338">
        <f t="shared" si="21"/>
        <v>0.65209255495790464</v>
      </c>
      <c r="O338">
        <f t="shared" si="22"/>
        <v>1.5907445042095847E-2</v>
      </c>
    </row>
    <row r="339" spans="2:15" x14ac:dyDescent="0.25">
      <c r="B339" s="7">
        <v>20.34</v>
      </c>
      <c r="J339" s="7">
        <v>26.37</v>
      </c>
      <c r="K339">
        <v>1</v>
      </c>
      <c r="L339">
        <f t="shared" si="20"/>
        <v>2E-3</v>
      </c>
      <c r="M339">
        <f t="shared" si="23"/>
        <v>0.67000000000000048</v>
      </c>
      <c r="N339">
        <f t="shared" si="21"/>
        <v>0.65278966568321284</v>
      </c>
      <c r="O339">
        <f t="shared" si="22"/>
        <v>1.7210334316787645E-2</v>
      </c>
    </row>
    <row r="340" spans="2:15" x14ac:dyDescent="0.25">
      <c r="B340" s="7">
        <v>20.309999999999999</v>
      </c>
      <c r="J340" s="7">
        <v>26.42</v>
      </c>
      <c r="K340">
        <v>1</v>
      </c>
      <c r="L340">
        <f t="shared" si="20"/>
        <v>2E-3</v>
      </c>
      <c r="M340">
        <f t="shared" si="23"/>
        <v>0.67200000000000049</v>
      </c>
      <c r="N340">
        <f t="shared" si="21"/>
        <v>0.65348537959057329</v>
      </c>
      <c r="O340">
        <f t="shared" si="22"/>
        <v>1.8514620409427196E-2</v>
      </c>
    </row>
    <row r="341" spans="2:15" x14ac:dyDescent="0.25">
      <c r="B341" s="7">
        <v>28.51</v>
      </c>
      <c r="J341" s="7">
        <v>26.44</v>
      </c>
      <c r="K341">
        <v>1</v>
      </c>
      <c r="L341">
        <f t="shared" si="20"/>
        <v>2E-3</v>
      </c>
      <c r="M341">
        <f t="shared" si="23"/>
        <v>0.67400000000000049</v>
      </c>
      <c r="N341">
        <f t="shared" si="21"/>
        <v>0.65376327467162065</v>
      </c>
      <c r="O341">
        <f t="shared" si="22"/>
        <v>2.0236725328379834E-2</v>
      </c>
    </row>
    <row r="342" spans="2:15" x14ac:dyDescent="0.25">
      <c r="B342" s="7">
        <v>22.16</v>
      </c>
      <c r="J342" s="7">
        <v>26.44</v>
      </c>
      <c r="K342">
        <v>1</v>
      </c>
      <c r="L342">
        <f t="shared" si="20"/>
        <v>2E-3</v>
      </c>
      <c r="M342">
        <f t="shared" si="23"/>
        <v>0.67600000000000049</v>
      </c>
      <c r="N342">
        <f t="shared" si="21"/>
        <v>0.65376327467162065</v>
      </c>
      <c r="O342">
        <f t="shared" si="22"/>
        <v>2.2236725328379836E-2</v>
      </c>
    </row>
    <row r="343" spans="2:15" x14ac:dyDescent="0.25">
      <c r="B343" s="7">
        <v>29.3</v>
      </c>
      <c r="J343" s="7">
        <v>26.44</v>
      </c>
      <c r="K343">
        <v>1</v>
      </c>
      <c r="L343">
        <f t="shared" si="20"/>
        <v>2E-3</v>
      </c>
      <c r="M343">
        <f t="shared" si="23"/>
        <v>0.67800000000000049</v>
      </c>
      <c r="N343">
        <f t="shared" si="21"/>
        <v>0.65376327467162065</v>
      </c>
      <c r="O343">
        <f t="shared" si="22"/>
        <v>2.4236725328379838E-2</v>
      </c>
    </row>
    <row r="344" spans="2:15" x14ac:dyDescent="0.25">
      <c r="B344" s="7">
        <v>25.75</v>
      </c>
      <c r="J344" s="7">
        <v>26.45</v>
      </c>
      <c r="K344">
        <v>1</v>
      </c>
      <c r="L344">
        <f t="shared" si="20"/>
        <v>2E-3</v>
      </c>
      <c r="M344">
        <f t="shared" si="23"/>
        <v>0.68000000000000049</v>
      </c>
      <c r="N344">
        <f t="shared" si="21"/>
        <v>0.65390213862692503</v>
      </c>
      <c r="O344">
        <f t="shared" si="22"/>
        <v>2.6097861373075459E-2</v>
      </c>
    </row>
    <row r="345" spans="2:15" x14ac:dyDescent="0.25">
      <c r="B345" s="7">
        <v>27.67</v>
      </c>
      <c r="J345" s="7">
        <v>26.46</v>
      </c>
      <c r="K345">
        <v>1</v>
      </c>
      <c r="L345">
        <f t="shared" si="20"/>
        <v>2E-3</v>
      </c>
      <c r="M345">
        <f t="shared" si="23"/>
        <v>0.68200000000000049</v>
      </c>
      <c r="N345">
        <f t="shared" si="21"/>
        <v>0.65404094688854753</v>
      </c>
      <c r="O345">
        <f t="shared" si="22"/>
        <v>2.7959053111452969E-2</v>
      </c>
    </row>
    <row r="346" spans="2:15" x14ac:dyDescent="0.25">
      <c r="B346" s="7">
        <v>28.34</v>
      </c>
      <c r="J346" s="7">
        <v>26.47</v>
      </c>
      <c r="K346">
        <v>1</v>
      </c>
      <c r="L346">
        <f t="shared" si="20"/>
        <v>2E-3</v>
      </c>
      <c r="M346">
        <f t="shared" si="23"/>
        <v>0.6840000000000005</v>
      </c>
      <c r="N346">
        <f t="shared" si="21"/>
        <v>0.65417969947882482</v>
      </c>
      <c r="O346">
        <f t="shared" si="22"/>
        <v>2.982030052117568E-2</v>
      </c>
    </row>
    <row r="347" spans="2:15" x14ac:dyDescent="0.25">
      <c r="B347" s="7">
        <v>28.4</v>
      </c>
      <c r="J347" s="7">
        <v>26.55</v>
      </c>
      <c r="K347">
        <v>1</v>
      </c>
      <c r="L347">
        <f t="shared" si="20"/>
        <v>2E-3</v>
      </c>
      <c r="M347">
        <f t="shared" si="23"/>
        <v>0.6860000000000005</v>
      </c>
      <c r="N347">
        <f t="shared" si="21"/>
        <v>0.65528771871008784</v>
      </c>
      <c r="O347">
        <f t="shared" si="22"/>
        <v>3.0712281289912657E-2</v>
      </c>
    </row>
    <row r="348" spans="2:15" x14ac:dyDescent="0.25">
      <c r="B348" s="7">
        <v>20.85</v>
      </c>
      <c r="J348" s="7">
        <v>26.56</v>
      </c>
      <c r="K348">
        <v>1</v>
      </c>
      <c r="L348">
        <f t="shared" si="20"/>
        <v>2E-3</v>
      </c>
      <c r="M348">
        <f t="shared" si="23"/>
        <v>0.6880000000000005</v>
      </c>
      <c r="N348">
        <f t="shared" si="21"/>
        <v>0.65542597126194102</v>
      </c>
      <c r="O348">
        <f t="shared" si="22"/>
        <v>3.257402873805948E-2</v>
      </c>
    </row>
    <row r="349" spans="2:15" x14ac:dyDescent="0.25">
      <c r="B349" s="7">
        <v>21.22</v>
      </c>
      <c r="J349" s="7">
        <v>26.59</v>
      </c>
      <c r="K349">
        <v>1</v>
      </c>
      <c r="L349">
        <f t="shared" si="20"/>
        <v>2E-3</v>
      </c>
      <c r="M349">
        <f t="shared" si="23"/>
        <v>0.6900000000000005</v>
      </c>
      <c r="N349">
        <f t="shared" si="21"/>
        <v>0.6558403963156344</v>
      </c>
      <c r="O349">
        <f t="shared" si="22"/>
        <v>3.4159603684366102E-2</v>
      </c>
    </row>
    <row r="350" spans="2:15" x14ac:dyDescent="0.25">
      <c r="B350" s="7">
        <v>25.57</v>
      </c>
      <c r="J350" s="7">
        <v>26.64</v>
      </c>
      <c r="K350">
        <v>1</v>
      </c>
      <c r="L350">
        <f t="shared" si="20"/>
        <v>2E-3</v>
      </c>
      <c r="M350">
        <f t="shared" si="23"/>
        <v>0.6920000000000005</v>
      </c>
      <c r="N350">
        <f t="shared" si="21"/>
        <v>0.65652999739881079</v>
      </c>
      <c r="O350">
        <f t="shared" si="22"/>
        <v>3.547000260118971E-2</v>
      </c>
    </row>
    <row r="351" spans="2:15" x14ac:dyDescent="0.25">
      <c r="B351" s="7">
        <v>25.5</v>
      </c>
      <c r="J351" s="7">
        <v>26.65</v>
      </c>
      <c r="K351">
        <v>1</v>
      </c>
      <c r="L351">
        <f t="shared" si="20"/>
        <v>2E-3</v>
      </c>
      <c r="M351">
        <f t="shared" si="23"/>
        <v>0.69400000000000051</v>
      </c>
      <c r="N351">
        <f t="shared" si="21"/>
        <v>0.65666775171428504</v>
      </c>
      <c r="O351">
        <f t="shared" si="22"/>
        <v>3.7332248285715464E-2</v>
      </c>
    </row>
    <row r="352" spans="2:15" x14ac:dyDescent="0.25">
      <c r="B352" s="7">
        <v>28.43</v>
      </c>
      <c r="J352" s="7">
        <v>26.7</v>
      </c>
      <c r="K352">
        <v>1</v>
      </c>
      <c r="L352">
        <f t="shared" si="20"/>
        <v>2E-3</v>
      </c>
      <c r="M352">
        <f t="shared" si="23"/>
        <v>0.69600000000000051</v>
      </c>
      <c r="N352">
        <f t="shared" si="21"/>
        <v>0.65735569500505076</v>
      </c>
      <c r="O352">
        <f t="shared" si="22"/>
        <v>3.8644304994949752E-2</v>
      </c>
    </row>
    <row r="353" spans="2:15" x14ac:dyDescent="0.25">
      <c r="B353" s="7">
        <v>21.46</v>
      </c>
      <c r="J353" s="7">
        <v>26.73</v>
      </c>
      <c r="K353">
        <v>1</v>
      </c>
      <c r="L353">
        <f t="shared" si="20"/>
        <v>2E-3</v>
      </c>
      <c r="M353">
        <f t="shared" si="23"/>
        <v>0.69800000000000051</v>
      </c>
      <c r="N353">
        <f t="shared" si="21"/>
        <v>0.65776779914712824</v>
      </c>
      <c r="O353">
        <f t="shared" si="22"/>
        <v>4.0232200852872269E-2</v>
      </c>
    </row>
    <row r="354" spans="2:15" x14ac:dyDescent="0.25">
      <c r="B354" s="7">
        <v>23.77</v>
      </c>
      <c r="J354" s="7">
        <v>26.74</v>
      </c>
      <c r="K354">
        <v>1</v>
      </c>
      <c r="L354">
        <f t="shared" si="20"/>
        <v>2E-3</v>
      </c>
      <c r="M354">
        <f t="shared" si="23"/>
        <v>0.70000000000000051</v>
      </c>
      <c r="N354">
        <f t="shared" si="21"/>
        <v>0.65790505702177415</v>
      </c>
      <c r="O354">
        <f t="shared" si="22"/>
        <v>4.2094942978226357E-2</v>
      </c>
    </row>
    <row r="355" spans="2:15" x14ac:dyDescent="0.25">
      <c r="B355" s="7">
        <v>29.21</v>
      </c>
      <c r="J355" s="7">
        <v>26.77</v>
      </c>
      <c r="K355">
        <v>1</v>
      </c>
      <c r="L355">
        <f t="shared" si="20"/>
        <v>2E-3</v>
      </c>
      <c r="M355">
        <f t="shared" si="23"/>
        <v>0.70200000000000051</v>
      </c>
      <c r="N355">
        <f t="shared" si="21"/>
        <v>0.65831650043679657</v>
      </c>
      <c r="O355">
        <f t="shared" si="22"/>
        <v>4.3683499563203942E-2</v>
      </c>
    </row>
    <row r="356" spans="2:15" x14ac:dyDescent="0.25">
      <c r="B356" s="7">
        <v>25.7</v>
      </c>
      <c r="J356" s="7">
        <v>26.78</v>
      </c>
      <c r="K356">
        <v>1</v>
      </c>
      <c r="L356">
        <f t="shared" si="20"/>
        <v>2E-3</v>
      </c>
      <c r="M356">
        <f t="shared" si="23"/>
        <v>0.70400000000000051</v>
      </c>
      <c r="N356">
        <f t="shared" si="21"/>
        <v>0.65845353824573083</v>
      </c>
      <c r="O356">
        <f t="shared" si="22"/>
        <v>4.5546461754269685E-2</v>
      </c>
    </row>
    <row r="357" spans="2:15" x14ac:dyDescent="0.25">
      <c r="B357" s="7">
        <v>24.37</v>
      </c>
      <c r="J357" s="7">
        <v>26.84</v>
      </c>
      <c r="K357">
        <v>1</v>
      </c>
      <c r="L357">
        <f t="shared" si="20"/>
        <v>2E-3</v>
      </c>
      <c r="M357">
        <f t="shared" si="23"/>
        <v>0.70600000000000052</v>
      </c>
      <c r="N357">
        <f t="shared" si="21"/>
        <v>0.65927461168374424</v>
      </c>
      <c r="O357">
        <f t="shared" si="22"/>
        <v>4.6725388316256278E-2</v>
      </c>
    </row>
    <row r="358" spans="2:15" x14ac:dyDescent="0.25">
      <c r="B358" s="7">
        <v>26.7</v>
      </c>
      <c r="J358" s="7">
        <v>26.84</v>
      </c>
      <c r="K358">
        <v>1</v>
      </c>
      <c r="L358">
        <f t="shared" si="20"/>
        <v>2E-3</v>
      </c>
      <c r="M358">
        <f t="shared" si="23"/>
        <v>0.70800000000000052</v>
      </c>
      <c r="N358">
        <f t="shared" si="21"/>
        <v>0.65927461168374424</v>
      </c>
      <c r="O358">
        <f t="shared" si="22"/>
        <v>4.872538831625628E-2</v>
      </c>
    </row>
    <row r="359" spans="2:15" x14ac:dyDescent="0.25">
      <c r="B359" s="7">
        <v>21.5</v>
      </c>
      <c r="J359" s="7">
        <v>26.85</v>
      </c>
      <c r="K359">
        <v>1</v>
      </c>
      <c r="L359">
        <f t="shared" si="20"/>
        <v>2E-3</v>
      </c>
      <c r="M359">
        <f t="shared" si="23"/>
        <v>0.71000000000000052</v>
      </c>
      <c r="N359">
        <f t="shared" si="21"/>
        <v>0.65941126522634397</v>
      </c>
      <c r="O359">
        <f t="shared" si="22"/>
        <v>5.0588734773656552E-2</v>
      </c>
    </row>
    <row r="360" spans="2:15" x14ac:dyDescent="0.25">
      <c r="B360" s="7">
        <v>26.24</v>
      </c>
      <c r="J360" s="7">
        <v>26.86</v>
      </c>
      <c r="K360">
        <v>1</v>
      </c>
      <c r="L360">
        <f t="shared" si="20"/>
        <v>2E-3</v>
      </c>
      <c r="M360">
        <f t="shared" si="23"/>
        <v>0.71200000000000052</v>
      </c>
      <c r="N360">
        <f t="shared" si="21"/>
        <v>0.65954786396178422</v>
      </c>
      <c r="O360">
        <f t="shared" si="22"/>
        <v>5.2452136038216302E-2</v>
      </c>
    </row>
    <row r="361" spans="2:15" x14ac:dyDescent="0.25">
      <c r="B361" s="7">
        <v>23.08</v>
      </c>
      <c r="J361" s="7">
        <v>26.87</v>
      </c>
      <c r="K361">
        <v>1</v>
      </c>
      <c r="L361">
        <f t="shared" si="20"/>
        <v>2E-3</v>
      </c>
      <c r="M361">
        <f t="shared" si="23"/>
        <v>0.71400000000000052</v>
      </c>
      <c r="N361">
        <f t="shared" si="21"/>
        <v>0.65968440791204619</v>
      </c>
      <c r="O361">
        <f t="shared" si="22"/>
        <v>5.4315592087954334E-2</v>
      </c>
    </row>
    <row r="362" spans="2:15" x14ac:dyDescent="0.25">
      <c r="B362" s="7">
        <v>27.69</v>
      </c>
      <c r="J362" s="7">
        <v>26.87</v>
      </c>
      <c r="K362">
        <v>1</v>
      </c>
      <c r="L362">
        <f t="shared" si="20"/>
        <v>2E-3</v>
      </c>
      <c r="M362">
        <f t="shared" si="23"/>
        <v>0.71600000000000052</v>
      </c>
      <c r="N362">
        <f t="shared" si="21"/>
        <v>0.65968440791204619</v>
      </c>
      <c r="O362">
        <f t="shared" si="22"/>
        <v>5.6315592087954336E-2</v>
      </c>
    </row>
    <row r="363" spans="2:15" x14ac:dyDescent="0.25">
      <c r="B363" s="7">
        <v>25.48</v>
      </c>
      <c r="J363" s="7">
        <v>26.88</v>
      </c>
      <c r="K363">
        <v>1</v>
      </c>
      <c r="L363">
        <f t="shared" si="20"/>
        <v>2E-3</v>
      </c>
      <c r="M363">
        <f t="shared" si="23"/>
        <v>0.71800000000000053</v>
      </c>
      <c r="N363">
        <f t="shared" si="21"/>
        <v>0.65982089709910241</v>
      </c>
      <c r="O363">
        <f t="shared" si="22"/>
        <v>5.8179102900898116E-2</v>
      </c>
    </row>
    <row r="364" spans="2:15" x14ac:dyDescent="0.25">
      <c r="B364" s="7">
        <v>21.94</v>
      </c>
      <c r="J364" s="7">
        <v>26.95</v>
      </c>
      <c r="K364">
        <v>1</v>
      </c>
      <c r="L364">
        <f t="shared" si="20"/>
        <v>2E-3</v>
      </c>
      <c r="M364">
        <f t="shared" si="23"/>
        <v>0.72000000000000053</v>
      </c>
      <c r="N364">
        <f t="shared" si="21"/>
        <v>0.66077478988257776</v>
      </c>
      <c r="O364">
        <f t="shared" si="22"/>
        <v>5.9225210117422766E-2</v>
      </c>
    </row>
    <row r="365" spans="2:15" x14ac:dyDescent="0.25">
      <c r="B365" s="7">
        <v>22.25</v>
      </c>
      <c r="J365" s="7">
        <v>26.99</v>
      </c>
      <c r="K365">
        <v>1</v>
      </c>
      <c r="L365">
        <f t="shared" si="20"/>
        <v>2E-3</v>
      </c>
      <c r="M365">
        <f t="shared" si="23"/>
        <v>0.72200000000000053</v>
      </c>
      <c r="N365">
        <f t="shared" si="21"/>
        <v>0.66131867006046752</v>
      </c>
      <c r="O365">
        <f t="shared" si="22"/>
        <v>6.0681329939533013E-2</v>
      </c>
    </row>
    <row r="366" spans="2:15" x14ac:dyDescent="0.25">
      <c r="B366" s="7">
        <v>23.44</v>
      </c>
      <c r="J366" s="7">
        <v>27.01</v>
      </c>
      <c r="K366">
        <v>1</v>
      </c>
      <c r="L366">
        <f t="shared" si="20"/>
        <v>2E-3</v>
      </c>
      <c r="M366">
        <f t="shared" si="23"/>
        <v>0.72400000000000053</v>
      </c>
      <c r="N366">
        <f t="shared" si="21"/>
        <v>0.66159028306058154</v>
      </c>
      <c r="O366">
        <f t="shared" si="22"/>
        <v>6.2409716939418991E-2</v>
      </c>
    </row>
    <row r="367" spans="2:15" x14ac:dyDescent="0.25">
      <c r="B367" s="7">
        <v>20.27</v>
      </c>
      <c r="J367" s="7">
        <v>27.01</v>
      </c>
      <c r="K367">
        <v>1</v>
      </c>
      <c r="L367">
        <f t="shared" si="20"/>
        <v>2E-3</v>
      </c>
      <c r="M367">
        <f t="shared" si="23"/>
        <v>0.72600000000000053</v>
      </c>
      <c r="N367">
        <f t="shared" si="21"/>
        <v>0.66159028306058154</v>
      </c>
      <c r="O367">
        <f t="shared" si="22"/>
        <v>6.4409716939418993E-2</v>
      </c>
    </row>
    <row r="368" spans="2:15" x14ac:dyDescent="0.25">
      <c r="B368" s="7">
        <v>27.17</v>
      </c>
      <c r="J368" s="7">
        <v>27.01</v>
      </c>
      <c r="K368">
        <v>1</v>
      </c>
      <c r="L368">
        <f t="shared" si="20"/>
        <v>2E-3</v>
      </c>
      <c r="M368">
        <f t="shared" si="23"/>
        <v>0.72800000000000054</v>
      </c>
      <c r="N368">
        <f t="shared" si="21"/>
        <v>0.66159028306058154</v>
      </c>
      <c r="O368">
        <f t="shared" si="22"/>
        <v>6.6409716939418995E-2</v>
      </c>
    </row>
    <row r="369" spans="2:15" x14ac:dyDescent="0.25">
      <c r="B369" s="7">
        <v>22.48</v>
      </c>
      <c r="J369" s="7">
        <v>27.04</v>
      </c>
      <c r="K369">
        <v>1</v>
      </c>
      <c r="L369">
        <f t="shared" si="20"/>
        <v>2E-3</v>
      </c>
      <c r="M369">
        <f t="shared" si="23"/>
        <v>0.73000000000000054</v>
      </c>
      <c r="N369">
        <f t="shared" si="21"/>
        <v>0.66199729419147424</v>
      </c>
      <c r="O369">
        <f t="shared" si="22"/>
        <v>6.8002705808526298E-2</v>
      </c>
    </row>
    <row r="370" spans="2:15" x14ac:dyDescent="0.25">
      <c r="B370" s="7">
        <v>23.18</v>
      </c>
      <c r="J370" s="7">
        <v>27.05</v>
      </c>
      <c r="K370">
        <v>1</v>
      </c>
      <c r="L370">
        <f t="shared" si="20"/>
        <v>2E-3</v>
      </c>
      <c r="M370">
        <f t="shared" si="23"/>
        <v>0.73200000000000054</v>
      </c>
      <c r="N370">
        <f t="shared" si="21"/>
        <v>0.66213285575730085</v>
      </c>
      <c r="O370">
        <f t="shared" si="22"/>
        <v>6.9867144242699686E-2</v>
      </c>
    </row>
    <row r="371" spans="2:15" x14ac:dyDescent="0.25">
      <c r="B371" s="7">
        <v>23.12</v>
      </c>
      <c r="J371" s="7">
        <v>27.06</v>
      </c>
      <c r="K371">
        <v>1</v>
      </c>
      <c r="L371">
        <f t="shared" si="20"/>
        <v>2E-3</v>
      </c>
      <c r="M371">
        <f t="shared" si="23"/>
        <v>0.73400000000000054</v>
      </c>
      <c r="N371">
        <f t="shared" si="21"/>
        <v>0.66226836295392322</v>
      </c>
      <c r="O371">
        <f t="shared" si="22"/>
        <v>7.1731637046077323E-2</v>
      </c>
    </row>
    <row r="372" spans="2:15" x14ac:dyDescent="0.25">
      <c r="B372" s="7">
        <v>21.89</v>
      </c>
      <c r="J372" s="7">
        <v>27.08</v>
      </c>
      <c r="K372">
        <v>1</v>
      </c>
      <c r="L372">
        <f t="shared" si="20"/>
        <v>2E-3</v>
      </c>
      <c r="M372">
        <f t="shared" si="23"/>
        <v>0.73600000000000054</v>
      </c>
      <c r="N372">
        <f t="shared" si="21"/>
        <v>0.66253921432676943</v>
      </c>
      <c r="O372">
        <f t="shared" si="22"/>
        <v>7.346078567323111E-2</v>
      </c>
    </row>
    <row r="373" spans="2:15" x14ac:dyDescent="0.25">
      <c r="B373" s="7">
        <v>29.69</v>
      </c>
      <c r="J373" s="7">
        <v>27.09</v>
      </c>
      <c r="K373">
        <v>1</v>
      </c>
      <c r="L373">
        <f t="shared" si="20"/>
        <v>2E-3</v>
      </c>
      <c r="M373">
        <f t="shared" si="23"/>
        <v>0.73800000000000054</v>
      </c>
      <c r="N373">
        <f t="shared" si="21"/>
        <v>0.6626745585465782</v>
      </c>
      <c r="O373">
        <f t="shared" si="22"/>
        <v>7.5325441453422348E-2</v>
      </c>
    </row>
    <row r="374" spans="2:15" x14ac:dyDescent="0.25">
      <c r="B374" s="7">
        <v>25.95</v>
      </c>
      <c r="J374" s="7">
        <v>27.09</v>
      </c>
      <c r="K374">
        <v>1</v>
      </c>
      <c r="L374">
        <f t="shared" si="20"/>
        <v>2E-3</v>
      </c>
      <c r="M374">
        <f t="shared" si="23"/>
        <v>0.74000000000000055</v>
      </c>
      <c r="N374">
        <f t="shared" si="21"/>
        <v>0.6626745585465782</v>
      </c>
      <c r="O374">
        <f t="shared" si="22"/>
        <v>7.732544145342235E-2</v>
      </c>
    </row>
    <row r="375" spans="2:15" x14ac:dyDescent="0.25">
      <c r="B375" s="7">
        <v>26.88</v>
      </c>
      <c r="J375" s="7">
        <v>27.09</v>
      </c>
      <c r="K375">
        <v>1</v>
      </c>
      <c r="L375">
        <f t="shared" si="20"/>
        <v>2E-3</v>
      </c>
      <c r="M375">
        <f t="shared" si="23"/>
        <v>0.74200000000000055</v>
      </c>
      <c r="N375">
        <f t="shared" si="21"/>
        <v>0.6626745585465782</v>
      </c>
      <c r="O375">
        <f t="shared" si="22"/>
        <v>7.9325441453422352E-2</v>
      </c>
    </row>
    <row r="376" spans="2:15" x14ac:dyDescent="0.25">
      <c r="B376" s="7">
        <v>24.51</v>
      </c>
      <c r="J376" s="7">
        <v>27.12</v>
      </c>
      <c r="K376">
        <v>1</v>
      </c>
      <c r="L376">
        <f t="shared" si="20"/>
        <v>2E-3</v>
      </c>
      <c r="M376">
        <f t="shared" si="23"/>
        <v>0.74400000000000055</v>
      </c>
      <c r="N376">
        <f t="shared" si="21"/>
        <v>0.66308026560087496</v>
      </c>
      <c r="O376">
        <f t="shared" si="22"/>
        <v>8.0919734399125587E-2</v>
      </c>
    </row>
    <row r="377" spans="2:15" x14ac:dyDescent="0.25">
      <c r="B377" s="7">
        <v>22.46</v>
      </c>
      <c r="J377" s="7">
        <v>27.12</v>
      </c>
      <c r="K377">
        <v>1</v>
      </c>
      <c r="L377">
        <f t="shared" si="20"/>
        <v>2E-3</v>
      </c>
      <c r="M377">
        <f t="shared" si="23"/>
        <v>0.74600000000000055</v>
      </c>
      <c r="N377">
        <f t="shared" si="21"/>
        <v>0.66308026560087496</v>
      </c>
      <c r="O377">
        <f t="shared" si="22"/>
        <v>8.2919734399125589E-2</v>
      </c>
    </row>
    <row r="378" spans="2:15" x14ac:dyDescent="0.25">
      <c r="B378" s="7">
        <v>29.08</v>
      </c>
      <c r="J378" s="7">
        <v>27.16</v>
      </c>
      <c r="K378">
        <v>1</v>
      </c>
      <c r="L378">
        <f t="shared" si="20"/>
        <v>2E-3</v>
      </c>
      <c r="M378">
        <f t="shared" si="23"/>
        <v>0.74800000000000055</v>
      </c>
      <c r="N378">
        <f t="shared" si="21"/>
        <v>0.66362044940683718</v>
      </c>
      <c r="O378">
        <f t="shared" si="22"/>
        <v>8.4379550593163377E-2</v>
      </c>
    </row>
    <row r="379" spans="2:15" x14ac:dyDescent="0.25">
      <c r="B379" s="7">
        <v>24.66</v>
      </c>
      <c r="J379" s="7">
        <v>27.17</v>
      </c>
      <c r="K379">
        <v>1</v>
      </c>
      <c r="L379">
        <f t="shared" si="20"/>
        <v>2E-3</v>
      </c>
      <c r="M379">
        <f t="shared" si="23"/>
        <v>0.75000000000000056</v>
      </c>
      <c r="N379">
        <f t="shared" si="21"/>
        <v>0.66375535997946522</v>
      </c>
      <c r="O379">
        <f t="shared" si="22"/>
        <v>8.6244640020535335E-2</v>
      </c>
    </row>
    <row r="380" spans="2:15" x14ac:dyDescent="0.25">
      <c r="B380" s="7">
        <v>22.31</v>
      </c>
      <c r="J380" s="7">
        <v>27.17</v>
      </c>
      <c r="K380">
        <v>1</v>
      </c>
      <c r="L380">
        <f t="shared" si="20"/>
        <v>2E-3</v>
      </c>
      <c r="M380">
        <f t="shared" si="23"/>
        <v>0.75200000000000056</v>
      </c>
      <c r="N380">
        <f t="shared" si="21"/>
        <v>0.66375535997946522</v>
      </c>
      <c r="O380">
        <f t="shared" si="22"/>
        <v>8.8244640020535337E-2</v>
      </c>
    </row>
    <row r="381" spans="2:15" x14ac:dyDescent="0.25">
      <c r="B381" s="7">
        <v>22.45</v>
      </c>
      <c r="J381" s="7">
        <v>27.18</v>
      </c>
      <c r="K381">
        <v>1</v>
      </c>
      <c r="L381">
        <f t="shared" si="20"/>
        <v>2E-3</v>
      </c>
      <c r="M381">
        <f t="shared" si="23"/>
        <v>0.75400000000000056</v>
      </c>
      <c r="N381">
        <f t="shared" si="21"/>
        <v>0.66389021644398061</v>
      </c>
      <c r="O381">
        <f t="shared" si="22"/>
        <v>9.0109783556019951E-2</v>
      </c>
    </row>
    <row r="382" spans="2:15" x14ac:dyDescent="0.25">
      <c r="B382" s="7">
        <v>22.83</v>
      </c>
      <c r="J382" s="7">
        <v>27.21</v>
      </c>
      <c r="K382">
        <v>1</v>
      </c>
      <c r="L382">
        <f t="shared" si="20"/>
        <v>2E-3</v>
      </c>
      <c r="M382">
        <f t="shared" si="23"/>
        <v>0.75600000000000056</v>
      </c>
      <c r="N382">
        <f t="shared" si="21"/>
        <v>0.66429446140581716</v>
      </c>
      <c r="O382">
        <f t="shared" si="22"/>
        <v>9.17055385941834E-2</v>
      </c>
    </row>
    <row r="383" spans="2:15" x14ac:dyDescent="0.25">
      <c r="B383" s="7">
        <v>23.73</v>
      </c>
      <c r="J383" s="7">
        <v>27.22</v>
      </c>
      <c r="K383">
        <v>1</v>
      </c>
      <c r="L383">
        <f t="shared" si="20"/>
        <v>2E-3</v>
      </c>
      <c r="M383">
        <f t="shared" si="23"/>
        <v>0.75800000000000056</v>
      </c>
      <c r="N383">
        <f t="shared" si="21"/>
        <v>0.66442910165480451</v>
      </c>
      <c r="O383">
        <f t="shared" si="22"/>
        <v>9.3570898345196052E-2</v>
      </c>
    </row>
    <row r="384" spans="2:15" x14ac:dyDescent="0.25">
      <c r="B384" s="7">
        <v>25.62</v>
      </c>
      <c r="J384" s="7">
        <v>27.22</v>
      </c>
      <c r="K384">
        <v>1</v>
      </c>
      <c r="L384">
        <f t="shared" si="20"/>
        <v>2E-3</v>
      </c>
      <c r="M384">
        <f t="shared" si="23"/>
        <v>0.76000000000000056</v>
      </c>
      <c r="N384">
        <f t="shared" si="21"/>
        <v>0.66442910165480451</v>
      </c>
      <c r="O384">
        <f t="shared" si="22"/>
        <v>9.5570898345196054E-2</v>
      </c>
    </row>
    <row r="385" spans="2:15" x14ac:dyDescent="0.25">
      <c r="B385" s="7">
        <v>21.92</v>
      </c>
      <c r="J385" s="7">
        <v>27.23</v>
      </c>
      <c r="K385">
        <v>1</v>
      </c>
      <c r="L385">
        <f t="shared" si="20"/>
        <v>2E-3</v>
      </c>
      <c r="M385">
        <f t="shared" si="23"/>
        <v>0.76200000000000057</v>
      </c>
      <c r="N385">
        <f t="shared" si="21"/>
        <v>0.66456368790409703</v>
      </c>
      <c r="O385">
        <f t="shared" si="22"/>
        <v>9.7436312095903532E-2</v>
      </c>
    </row>
    <row r="386" spans="2:15" x14ac:dyDescent="0.25">
      <c r="B386" s="7">
        <v>22.06</v>
      </c>
      <c r="J386" s="7">
        <v>27.23</v>
      </c>
      <c r="K386">
        <v>1</v>
      </c>
      <c r="L386">
        <f t="shared" si="20"/>
        <v>2E-3</v>
      </c>
      <c r="M386">
        <f t="shared" si="23"/>
        <v>0.76400000000000057</v>
      </c>
      <c r="N386">
        <f t="shared" si="21"/>
        <v>0.66456368790409703</v>
      </c>
      <c r="O386">
        <f t="shared" si="22"/>
        <v>9.9436312095903534E-2</v>
      </c>
    </row>
    <row r="387" spans="2:15" x14ac:dyDescent="0.25">
      <c r="B387" s="7">
        <v>25.13</v>
      </c>
      <c r="J387" s="7">
        <v>27.23</v>
      </c>
      <c r="K387">
        <v>1</v>
      </c>
      <c r="L387">
        <f t="shared" si="20"/>
        <v>2E-3</v>
      </c>
      <c r="M387">
        <f t="shared" si="23"/>
        <v>0.76600000000000057</v>
      </c>
      <c r="N387">
        <f t="shared" si="21"/>
        <v>0.66456368790409703</v>
      </c>
      <c r="O387">
        <f t="shared" si="22"/>
        <v>0.10143631209590354</v>
      </c>
    </row>
    <row r="388" spans="2:15" x14ac:dyDescent="0.25">
      <c r="B388" s="7">
        <v>21.56</v>
      </c>
      <c r="J388" s="7">
        <v>27.23</v>
      </c>
      <c r="K388">
        <v>1</v>
      </c>
      <c r="L388">
        <f t="shared" si="20"/>
        <v>2E-3</v>
      </c>
      <c r="M388">
        <f t="shared" si="23"/>
        <v>0.76800000000000057</v>
      </c>
      <c r="N388">
        <f t="shared" si="21"/>
        <v>0.66456368790409703</v>
      </c>
      <c r="O388">
        <f t="shared" si="22"/>
        <v>0.10343631209590354</v>
      </c>
    </row>
    <row r="389" spans="2:15" x14ac:dyDescent="0.25">
      <c r="B389" s="7">
        <v>23.39</v>
      </c>
      <c r="J389" s="7">
        <v>27.24</v>
      </c>
      <c r="K389">
        <v>1</v>
      </c>
      <c r="L389">
        <f t="shared" si="20"/>
        <v>2E-3</v>
      </c>
      <c r="M389">
        <f t="shared" si="23"/>
        <v>0.77000000000000057</v>
      </c>
      <c r="N389">
        <f t="shared" si="21"/>
        <v>0.66469822017535229</v>
      </c>
      <c r="O389">
        <f t="shared" si="22"/>
        <v>0.10530177982464828</v>
      </c>
    </row>
    <row r="390" spans="2:15" x14ac:dyDescent="0.25">
      <c r="B390" s="7">
        <v>23.22</v>
      </c>
      <c r="J390" s="7">
        <v>27.25</v>
      </c>
      <c r="K390">
        <v>1</v>
      </c>
      <c r="L390">
        <f t="shared" ref="L390:L453" si="24">K390/$E$20</f>
        <v>2E-3</v>
      </c>
      <c r="M390">
        <f t="shared" si="23"/>
        <v>0.77200000000000057</v>
      </c>
      <c r="N390">
        <f t="shared" ref="N390:N453" si="25">1-EXP(-$H$11*J390)</f>
        <v>0.66483269849021887</v>
      </c>
      <c r="O390">
        <f t="shared" ref="O390:O453" si="26">ABS(M390-N390)</f>
        <v>0.10716730150978171</v>
      </c>
    </row>
    <row r="391" spans="2:15" x14ac:dyDescent="0.25">
      <c r="B391" s="7">
        <v>29.09</v>
      </c>
      <c r="J391" s="7">
        <v>27.26</v>
      </c>
      <c r="K391">
        <v>1</v>
      </c>
      <c r="L391">
        <f t="shared" si="24"/>
        <v>2E-3</v>
      </c>
      <c r="M391">
        <f t="shared" ref="M391:M454" si="27">M390+L391</f>
        <v>0.77400000000000058</v>
      </c>
      <c r="N391">
        <f t="shared" si="25"/>
        <v>0.66496712287033688</v>
      </c>
      <c r="O391">
        <f t="shared" si="26"/>
        <v>0.1090328771296637</v>
      </c>
    </row>
    <row r="392" spans="2:15" x14ac:dyDescent="0.25">
      <c r="B392" s="7">
        <v>25.96</v>
      </c>
      <c r="J392" s="7">
        <v>27.26</v>
      </c>
      <c r="K392">
        <v>1</v>
      </c>
      <c r="L392">
        <f t="shared" si="24"/>
        <v>2E-3</v>
      </c>
      <c r="M392">
        <f t="shared" si="27"/>
        <v>0.77600000000000058</v>
      </c>
      <c r="N392">
        <f t="shared" si="25"/>
        <v>0.66496712287033688</v>
      </c>
      <c r="O392">
        <f t="shared" si="26"/>
        <v>0.1110328771296637</v>
      </c>
    </row>
    <row r="393" spans="2:15" x14ac:dyDescent="0.25">
      <c r="B393" s="7">
        <v>19.989999999999998</v>
      </c>
      <c r="J393" s="7">
        <v>27.28</v>
      </c>
      <c r="K393">
        <v>1</v>
      </c>
      <c r="L393">
        <f t="shared" si="24"/>
        <v>2E-3</v>
      </c>
      <c r="M393">
        <f t="shared" si="27"/>
        <v>0.77800000000000058</v>
      </c>
      <c r="N393">
        <f t="shared" si="25"/>
        <v>0.66523580991284459</v>
      </c>
      <c r="O393">
        <f t="shared" si="26"/>
        <v>0.11276419008715599</v>
      </c>
    </row>
    <row r="394" spans="2:15" x14ac:dyDescent="0.25">
      <c r="B394" s="7">
        <v>23.43</v>
      </c>
      <c r="J394" s="7">
        <v>27.36</v>
      </c>
      <c r="K394">
        <v>1</v>
      </c>
      <c r="L394">
        <f t="shared" si="24"/>
        <v>2E-3</v>
      </c>
      <c r="M394">
        <f t="shared" si="27"/>
        <v>0.78000000000000058</v>
      </c>
      <c r="N394">
        <f t="shared" si="25"/>
        <v>0.66630840501497057</v>
      </c>
      <c r="O394">
        <f t="shared" si="26"/>
        <v>0.11369159498503001</v>
      </c>
    </row>
    <row r="395" spans="2:15" x14ac:dyDescent="0.25">
      <c r="B395" s="7">
        <v>28.92</v>
      </c>
      <c r="J395" s="7">
        <v>27.4</v>
      </c>
      <c r="K395">
        <v>1</v>
      </c>
      <c r="L395">
        <f t="shared" si="24"/>
        <v>2E-3</v>
      </c>
      <c r="M395">
        <f t="shared" si="27"/>
        <v>0.78200000000000058</v>
      </c>
      <c r="N395">
        <f t="shared" si="25"/>
        <v>0.66684341314121776</v>
      </c>
      <c r="O395">
        <f t="shared" si="26"/>
        <v>0.11515658685878283</v>
      </c>
    </row>
    <row r="396" spans="2:15" x14ac:dyDescent="0.25">
      <c r="B396" s="7">
        <v>27.09</v>
      </c>
      <c r="J396" s="7">
        <v>27.43</v>
      </c>
      <c r="K396">
        <v>1</v>
      </c>
      <c r="L396">
        <f t="shared" si="24"/>
        <v>2E-3</v>
      </c>
      <c r="M396">
        <f t="shared" si="27"/>
        <v>0.78400000000000059</v>
      </c>
      <c r="N396">
        <f t="shared" si="25"/>
        <v>0.66724410624308306</v>
      </c>
      <c r="O396">
        <f t="shared" si="26"/>
        <v>0.11675589375691753</v>
      </c>
    </row>
    <row r="397" spans="2:15" x14ac:dyDescent="0.25">
      <c r="B397" s="7">
        <v>24.6</v>
      </c>
      <c r="J397" s="7">
        <v>27.5</v>
      </c>
      <c r="K397">
        <v>1</v>
      </c>
      <c r="L397">
        <f t="shared" si="24"/>
        <v>2E-3</v>
      </c>
      <c r="M397">
        <f t="shared" si="27"/>
        <v>0.78600000000000059</v>
      </c>
      <c r="N397">
        <f t="shared" si="25"/>
        <v>0.668177183680841</v>
      </c>
      <c r="O397">
        <f t="shared" si="26"/>
        <v>0.11782281631915958</v>
      </c>
    </row>
    <row r="398" spans="2:15" x14ac:dyDescent="0.25">
      <c r="B398" s="7">
        <v>24.33</v>
      </c>
      <c r="J398" s="7">
        <v>27.53</v>
      </c>
      <c r="K398">
        <v>1</v>
      </c>
      <c r="L398">
        <f t="shared" si="24"/>
        <v>2E-3</v>
      </c>
      <c r="M398">
        <f t="shared" si="27"/>
        <v>0.78800000000000059</v>
      </c>
      <c r="N398">
        <f t="shared" si="25"/>
        <v>0.66857627263415953</v>
      </c>
      <c r="O398">
        <f t="shared" si="26"/>
        <v>0.11942372736584106</v>
      </c>
    </row>
    <row r="399" spans="2:15" x14ac:dyDescent="0.25">
      <c r="B399" s="7">
        <v>25.52</v>
      </c>
      <c r="J399" s="7">
        <v>27.6</v>
      </c>
      <c r="K399">
        <v>1</v>
      </c>
      <c r="L399">
        <f t="shared" si="24"/>
        <v>2E-3</v>
      </c>
      <c r="M399">
        <f t="shared" si="27"/>
        <v>0.79000000000000059</v>
      </c>
      <c r="N399">
        <f t="shared" si="25"/>
        <v>0.66950561455760749</v>
      </c>
      <c r="O399">
        <f t="shared" si="26"/>
        <v>0.1204943854423931</v>
      </c>
    </row>
    <row r="400" spans="2:15" x14ac:dyDescent="0.25">
      <c r="B400" s="7">
        <v>30.9</v>
      </c>
      <c r="J400" s="7">
        <v>27.6</v>
      </c>
      <c r="K400">
        <v>1</v>
      </c>
      <c r="L400">
        <f t="shared" si="24"/>
        <v>2E-3</v>
      </c>
      <c r="M400">
        <f t="shared" si="27"/>
        <v>0.79200000000000059</v>
      </c>
      <c r="N400">
        <f t="shared" si="25"/>
        <v>0.66950561455760749</v>
      </c>
      <c r="O400">
        <f t="shared" si="26"/>
        <v>0.12249438544239311</v>
      </c>
    </row>
    <row r="401" spans="2:15" x14ac:dyDescent="0.25">
      <c r="B401" s="7">
        <v>25.34</v>
      </c>
      <c r="J401" s="7">
        <v>27.62</v>
      </c>
      <c r="K401">
        <v>1</v>
      </c>
      <c r="L401">
        <f t="shared" si="24"/>
        <v>2E-3</v>
      </c>
      <c r="M401">
        <f t="shared" si="27"/>
        <v>0.79400000000000059</v>
      </c>
      <c r="N401">
        <f t="shared" si="25"/>
        <v>0.66977066185610146</v>
      </c>
      <c r="O401">
        <f t="shared" si="26"/>
        <v>0.12422933814389914</v>
      </c>
    </row>
    <row r="402" spans="2:15" x14ac:dyDescent="0.25">
      <c r="B402" s="7">
        <v>26.64</v>
      </c>
      <c r="J402" s="7">
        <v>27.62</v>
      </c>
      <c r="K402">
        <v>1</v>
      </c>
      <c r="L402">
        <f t="shared" si="24"/>
        <v>2E-3</v>
      </c>
      <c r="M402">
        <f t="shared" si="27"/>
        <v>0.7960000000000006</v>
      </c>
      <c r="N402">
        <f t="shared" si="25"/>
        <v>0.66977066185610146</v>
      </c>
      <c r="O402">
        <f t="shared" si="26"/>
        <v>0.12622933814389914</v>
      </c>
    </row>
    <row r="403" spans="2:15" x14ac:dyDescent="0.25">
      <c r="B403" s="7">
        <v>24.06</v>
      </c>
      <c r="J403" s="7">
        <v>27.67</v>
      </c>
      <c r="K403">
        <v>1</v>
      </c>
      <c r="L403">
        <f t="shared" si="24"/>
        <v>2E-3</v>
      </c>
      <c r="M403">
        <f t="shared" si="27"/>
        <v>0.7980000000000006</v>
      </c>
      <c r="N403">
        <f t="shared" si="25"/>
        <v>0.67043235052276307</v>
      </c>
      <c r="O403">
        <f t="shared" si="26"/>
        <v>0.12756764947723753</v>
      </c>
    </row>
    <row r="404" spans="2:15" x14ac:dyDescent="0.25">
      <c r="B404" s="7">
        <v>20.53</v>
      </c>
      <c r="J404" s="7">
        <v>27.68</v>
      </c>
      <c r="K404">
        <v>1</v>
      </c>
      <c r="L404">
        <f t="shared" si="24"/>
        <v>2E-3</v>
      </c>
      <c r="M404">
        <f t="shared" si="27"/>
        <v>0.8000000000000006</v>
      </c>
      <c r="N404">
        <f t="shared" si="25"/>
        <v>0.67056452906997921</v>
      </c>
      <c r="O404">
        <f t="shared" si="26"/>
        <v>0.12943547093002139</v>
      </c>
    </row>
    <row r="405" spans="2:15" x14ac:dyDescent="0.25">
      <c r="B405" s="7">
        <v>28.44</v>
      </c>
      <c r="J405" s="7">
        <v>27.69</v>
      </c>
      <c r="K405">
        <v>1</v>
      </c>
      <c r="L405">
        <f t="shared" si="24"/>
        <v>2E-3</v>
      </c>
      <c r="M405">
        <f t="shared" si="27"/>
        <v>0.8020000000000006</v>
      </c>
      <c r="N405">
        <f t="shared" si="25"/>
        <v>0.67069665460480676</v>
      </c>
      <c r="O405">
        <f t="shared" si="26"/>
        <v>0.13130334539519384</v>
      </c>
    </row>
    <row r="406" spans="2:15" x14ac:dyDescent="0.25">
      <c r="B406" s="7">
        <v>24.25</v>
      </c>
      <c r="J406" s="7">
        <v>27.75</v>
      </c>
      <c r="K406">
        <v>1</v>
      </c>
      <c r="L406">
        <f t="shared" si="24"/>
        <v>2E-3</v>
      </c>
      <c r="M406">
        <f t="shared" si="27"/>
        <v>0.8040000000000006</v>
      </c>
      <c r="N406">
        <f t="shared" si="25"/>
        <v>0.67148829574365543</v>
      </c>
      <c r="O406">
        <f t="shared" si="26"/>
        <v>0.13251170425634518</v>
      </c>
    </row>
    <row r="407" spans="2:15" x14ac:dyDescent="0.25">
      <c r="B407" s="7">
        <v>27.01</v>
      </c>
      <c r="J407" s="7">
        <v>27.77</v>
      </c>
      <c r="K407">
        <v>1</v>
      </c>
      <c r="L407">
        <f t="shared" si="24"/>
        <v>2E-3</v>
      </c>
      <c r="M407">
        <f t="shared" si="27"/>
        <v>0.8060000000000006</v>
      </c>
      <c r="N407">
        <f t="shared" si="25"/>
        <v>0.67175175298702205</v>
      </c>
      <c r="O407">
        <f t="shared" si="26"/>
        <v>0.13424824701297855</v>
      </c>
    </row>
    <row r="408" spans="2:15" x14ac:dyDescent="0.25">
      <c r="B408" s="7">
        <v>21.43</v>
      </c>
      <c r="J408" s="7">
        <v>27.79</v>
      </c>
      <c r="K408">
        <v>1</v>
      </c>
      <c r="L408">
        <f t="shared" si="24"/>
        <v>2E-3</v>
      </c>
      <c r="M408">
        <f t="shared" si="27"/>
        <v>0.80800000000000061</v>
      </c>
      <c r="N408">
        <f t="shared" si="25"/>
        <v>0.67201499894501227</v>
      </c>
      <c r="O408">
        <f t="shared" si="26"/>
        <v>0.13598500105498834</v>
      </c>
    </row>
    <row r="409" spans="2:15" x14ac:dyDescent="0.25">
      <c r="B409" s="7">
        <v>26.44</v>
      </c>
      <c r="J409" s="7">
        <v>27.81</v>
      </c>
      <c r="K409">
        <v>1</v>
      </c>
      <c r="L409">
        <f t="shared" si="24"/>
        <v>2E-3</v>
      </c>
      <c r="M409">
        <f t="shared" si="27"/>
        <v>0.81000000000000061</v>
      </c>
      <c r="N409">
        <f t="shared" si="25"/>
        <v>0.67227803378707107</v>
      </c>
      <c r="O409">
        <f t="shared" si="26"/>
        <v>0.13772196621292954</v>
      </c>
    </row>
    <row r="410" spans="2:15" x14ac:dyDescent="0.25">
      <c r="B410" s="7">
        <v>27.06</v>
      </c>
      <c r="J410" s="7">
        <v>27.82</v>
      </c>
      <c r="K410">
        <v>1</v>
      </c>
      <c r="L410">
        <f t="shared" si="24"/>
        <v>2E-3</v>
      </c>
      <c r="M410">
        <f t="shared" si="27"/>
        <v>0.81200000000000061</v>
      </c>
      <c r="N410">
        <f t="shared" si="25"/>
        <v>0.67240947209254065</v>
      </c>
      <c r="O410">
        <f t="shared" si="26"/>
        <v>0.13959052790745996</v>
      </c>
    </row>
    <row r="411" spans="2:15" x14ac:dyDescent="0.25">
      <c r="B411" s="7">
        <v>23.98</v>
      </c>
      <c r="J411" s="7">
        <v>27.83</v>
      </c>
      <c r="K411">
        <v>1</v>
      </c>
      <c r="L411">
        <f t="shared" si="24"/>
        <v>2E-3</v>
      </c>
      <c r="M411">
        <f t="shared" si="27"/>
        <v>0.81400000000000061</v>
      </c>
      <c r="N411">
        <f t="shared" si="25"/>
        <v>0.6725408576825076</v>
      </c>
      <c r="O411">
        <f t="shared" si="26"/>
        <v>0.14145914231749301</v>
      </c>
    </row>
    <row r="412" spans="2:15" x14ac:dyDescent="0.25">
      <c r="B412" s="7">
        <v>22.06</v>
      </c>
      <c r="J412" s="7">
        <v>27.85</v>
      </c>
      <c r="K412">
        <v>1</v>
      </c>
      <c r="L412">
        <f t="shared" si="24"/>
        <v>2E-3</v>
      </c>
      <c r="M412">
        <f t="shared" si="27"/>
        <v>0.81600000000000061</v>
      </c>
      <c r="N412">
        <f t="shared" si="25"/>
        <v>0.6728034708004953</v>
      </c>
      <c r="O412">
        <f t="shared" si="26"/>
        <v>0.14319652919950532</v>
      </c>
    </row>
    <row r="413" spans="2:15" x14ac:dyDescent="0.25">
      <c r="B413" s="7">
        <v>20.77</v>
      </c>
      <c r="J413" s="7">
        <v>27.92</v>
      </c>
      <c r="K413">
        <v>1</v>
      </c>
      <c r="L413">
        <f t="shared" si="24"/>
        <v>2E-3</v>
      </c>
      <c r="M413">
        <f t="shared" si="27"/>
        <v>0.81800000000000062</v>
      </c>
      <c r="N413">
        <f t="shared" si="25"/>
        <v>0.67372095928029907</v>
      </c>
      <c r="O413">
        <f t="shared" si="26"/>
        <v>0.14427904071970155</v>
      </c>
    </row>
    <row r="414" spans="2:15" x14ac:dyDescent="0.25">
      <c r="B414" s="7">
        <v>23.31</v>
      </c>
      <c r="J414" s="7">
        <v>27.94</v>
      </c>
      <c r="K414">
        <v>1</v>
      </c>
      <c r="L414">
        <f t="shared" si="24"/>
        <v>2E-3</v>
      </c>
      <c r="M414">
        <f t="shared" si="27"/>
        <v>0.82000000000000062</v>
      </c>
      <c r="N414">
        <f t="shared" si="25"/>
        <v>0.67398262598965086</v>
      </c>
      <c r="O414">
        <f t="shared" si="26"/>
        <v>0.14601737401034975</v>
      </c>
    </row>
    <row r="415" spans="2:15" x14ac:dyDescent="0.25">
      <c r="B415" s="7">
        <v>26.37</v>
      </c>
      <c r="J415" s="7">
        <v>27.95</v>
      </c>
      <c r="K415">
        <v>1</v>
      </c>
      <c r="L415">
        <f t="shared" si="24"/>
        <v>2E-3</v>
      </c>
      <c r="M415">
        <f t="shared" si="27"/>
        <v>0.82200000000000062</v>
      </c>
      <c r="N415">
        <f t="shared" si="25"/>
        <v>0.6741133806402736</v>
      </c>
      <c r="O415">
        <f t="shared" si="26"/>
        <v>0.14788661935972702</v>
      </c>
    </row>
    <row r="416" spans="2:15" x14ac:dyDescent="0.25">
      <c r="B416" s="7">
        <v>23.8</v>
      </c>
      <c r="J416" s="7">
        <v>28</v>
      </c>
      <c r="K416">
        <v>1</v>
      </c>
      <c r="L416">
        <f t="shared" si="24"/>
        <v>2E-3</v>
      </c>
      <c r="M416">
        <f t="shared" si="27"/>
        <v>0.82400000000000062</v>
      </c>
      <c r="N416">
        <f t="shared" si="25"/>
        <v>0.67476636769423726</v>
      </c>
      <c r="O416">
        <f t="shared" si="26"/>
        <v>0.14923363230576336</v>
      </c>
    </row>
    <row r="417" spans="2:15" x14ac:dyDescent="0.25">
      <c r="B417" s="7">
        <v>26.73</v>
      </c>
      <c r="J417" s="7">
        <v>28.01</v>
      </c>
      <c r="K417">
        <v>1</v>
      </c>
      <c r="L417">
        <f t="shared" si="24"/>
        <v>2E-3</v>
      </c>
      <c r="M417">
        <f t="shared" si="27"/>
        <v>0.82600000000000062</v>
      </c>
      <c r="N417">
        <f t="shared" si="25"/>
        <v>0.67489680801230922</v>
      </c>
      <c r="O417">
        <f t="shared" si="26"/>
        <v>0.1511031919876914</v>
      </c>
    </row>
    <row r="418" spans="2:15" x14ac:dyDescent="0.25">
      <c r="B418" s="7">
        <v>23.39</v>
      </c>
      <c r="J418" s="7">
        <v>28.03</v>
      </c>
      <c r="K418">
        <v>1</v>
      </c>
      <c r="L418">
        <f t="shared" si="24"/>
        <v>2E-3</v>
      </c>
      <c r="M418">
        <f t="shared" si="27"/>
        <v>0.82800000000000062</v>
      </c>
      <c r="N418">
        <f t="shared" si="25"/>
        <v>0.6751575317237053</v>
      </c>
      <c r="O418">
        <f t="shared" si="26"/>
        <v>0.15284246827629533</v>
      </c>
    </row>
    <row r="419" spans="2:15" x14ac:dyDescent="0.25">
      <c r="B419" s="7">
        <v>24.69</v>
      </c>
      <c r="J419" s="7">
        <v>28.08</v>
      </c>
      <c r="K419">
        <v>1</v>
      </c>
      <c r="L419">
        <f t="shared" si="24"/>
        <v>2E-3</v>
      </c>
      <c r="M419">
        <f t="shared" si="27"/>
        <v>0.83000000000000063</v>
      </c>
      <c r="N419">
        <f t="shared" si="25"/>
        <v>0.6758084265863995</v>
      </c>
      <c r="O419">
        <f t="shared" si="26"/>
        <v>0.15419157341360112</v>
      </c>
    </row>
    <row r="420" spans="2:15" x14ac:dyDescent="0.25">
      <c r="B420" s="7">
        <v>27.5</v>
      </c>
      <c r="J420" s="7">
        <v>28.08</v>
      </c>
      <c r="K420">
        <v>1</v>
      </c>
      <c r="L420">
        <f t="shared" si="24"/>
        <v>2E-3</v>
      </c>
      <c r="M420">
        <f t="shared" si="27"/>
        <v>0.83200000000000063</v>
      </c>
      <c r="N420">
        <f t="shared" si="25"/>
        <v>0.6758084265863995</v>
      </c>
      <c r="O420">
        <f t="shared" si="26"/>
        <v>0.15619157341360113</v>
      </c>
    </row>
    <row r="421" spans="2:15" x14ac:dyDescent="0.25">
      <c r="B421" s="7">
        <v>22.88</v>
      </c>
      <c r="J421" s="7">
        <v>28.09</v>
      </c>
      <c r="K421">
        <v>1</v>
      </c>
      <c r="L421">
        <f t="shared" si="24"/>
        <v>2E-3</v>
      </c>
      <c r="M421">
        <f t="shared" si="27"/>
        <v>0.83400000000000063</v>
      </c>
      <c r="N421">
        <f t="shared" si="25"/>
        <v>0.67593844896954769</v>
      </c>
      <c r="O421">
        <f t="shared" si="26"/>
        <v>0.15806155103045294</v>
      </c>
    </row>
    <row r="422" spans="2:15" x14ac:dyDescent="0.25">
      <c r="B422" s="7">
        <v>22.57</v>
      </c>
      <c r="J422" s="7">
        <v>28.12</v>
      </c>
      <c r="K422">
        <v>1</v>
      </c>
      <c r="L422">
        <f t="shared" si="24"/>
        <v>2E-3</v>
      </c>
      <c r="M422">
        <f t="shared" si="27"/>
        <v>0.83600000000000063</v>
      </c>
      <c r="N422">
        <f t="shared" si="25"/>
        <v>0.67632820331690113</v>
      </c>
      <c r="O422">
        <f t="shared" si="26"/>
        <v>0.1596717966830995</v>
      </c>
    </row>
    <row r="423" spans="2:15" x14ac:dyDescent="0.25">
      <c r="B423" s="7">
        <v>28.77</v>
      </c>
      <c r="J423" s="7">
        <v>28.14</v>
      </c>
      <c r="K423">
        <v>1</v>
      </c>
      <c r="L423">
        <f t="shared" si="24"/>
        <v>2E-3</v>
      </c>
      <c r="M423">
        <f t="shared" si="27"/>
        <v>0.83800000000000063</v>
      </c>
      <c r="N423">
        <f t="shared" si="25"/>
        <v>0.67658777908910284</v>
      </c>
      <c r="O423">
        <f t="shared" si="26"/>
        <v>0.1614122209108978</v>
      </c>
    </row>
    <row r="424" spans="2:15" x14ac:dyDescent="0.25">
      <c r="B424" s="7">
        <v>21.16</v>
      </c>
      <c r="J424" s="7">
        <v>28.16</v>
      </c>
      <c r="K424">
        <v>1</v>
      </c>
      <c r="L424">
        <f t="shared" si="24"/>
        <v>2E-3</v>
      </c>
      <c r="M424">
        <f t="shared" si="27"/>
        <v>0.84000000000000064</v>
      </c>
      <c r="N424">
        <f t="shared" si="25"/>
        <v>0.67684714668876</v>
      </c>
      <c r="O424">
        <f t="shared" si="26"/>
        <v>0.16315285331124063</v>
      </c>
    </row>
    <row r="425" spans="2:15" x14ac:dyDescent="0.25">
      <c r="B425" s="7">
        <v>20.49</v>
      </c>
      <c r="J425" s="7">
        <v>28.18</v>
      </c>
      <c r="K425">
        <v>1</v>
      </c>
      <c r="L425">
        <f t="shared" si="24"/>
        <v>2E-3</v>
      </c>
      <c r="M425">
        <f t="shared" si="27"/>
        <v>0.84200000000000064</v>
      </c>
      <c r="N425">
        <f t="shared" si="25"/>
        <v>0.67710630628282131</v>
      </c>
      <c r="O425">
        <f t="shared" si="26"/>
        <v>0.16489369371717932</v>
      </c>
    </row>
    <row r="426" spans="2:15" x14ac:dyDescent="0.25">
      <c r="B426" s="7">
        <v>27.62</v>
      </c>
      <c r="J426" s="7">
        <v>28.24</v>
      </c>
      <c r="K426">
        <v>1</v>
      </c>
      <c r="L426">
        <f t="shared" si="24"/>
        <v>2E-3</v>
      </c>
      <c r="M426">
        <f t="shared" si="27"/>
        <v>0.84400000000000064</v>
      </c>
      <c r="N426">
        <f t="shared" si="25"/>
        <v>0.67788253869890736</v>
      </c>
      <c r="O426">
        <f t="shared" si="26"/>
        <v>0.16611746130109328</v>
      </c>
    </row>
    <row r="427" spans="2:15" x14ac:dyDescent="0.25">
      <c r="B427" s="7">
        <v>18.55</v>
      </c>
      <c r="J427" s="7">
        <v>28.25</v>
      </c>
      <c r="K427">
        <v>1</v>
      </c>
      <c r="L427">
        <f t="shared" si="24"/>
        <v>2E-3</v>
      </c>
      <c r="M427">
        <f t="shared" si="27"/>
        <v>0.84600000000000064</v>
      </c>
      <c r="N427">
        <f t="shared" si="25"/>
        <v>0.67801172922514774</v>
      </c>
      <c r="O427">
        <f t="shared" si="26"/>
        <v>0.1679882707748529</v>
      </c>
    </row>
    <row r="428" spans="2:15" x14ac:dyDescent="0.25">
      <c r="B428" s="7">
        <v>25.27</v>
      </c>
      <c r="J428" s="7">
        <v>28.3</v>
      </c>
      <c r="K428">
        <v>1</v>
      </c>
      <c r="L428">
        <f t="shared" si="24"/>
        <v>2E-3</v>
      </c>
      <c r="M428">
        <f t="shared" si="27"/>
        <v>0.84800000000000064</v>
      </c>
      <c r="N428">
        <f t="shared" si="25"/>
        <v>0.67865690506193799</v>
      </c>
      <c r="O428">
        <f t="shared" si="26"/>
        <v>0.16934309493806265</v>
      </c>
    </row>
    <row r="429" spans="2:15" x14ac:dyDescent="0.25">
      <c r="B429" s="7">
        <v>26.84</v>
      </c>
      <c r="J429" s="7">
        <v>28.31</v>
      </c>
      <c r="K429">
        <v>1</v>
      </c>
      <c r="L429">
        <f t="shared" si="24"/>
        <v>2E-3</v>
      </c>
      <c r="M429">
        <f t="shared" si="27"/>
        <v>0.85000000000000064</v>
      </c>
      <c r="N429">
        <f t="shared" si="25"/>
        <v>0.67878578501576303</v>
      </c>
      <c r="O429">
        <f t="shared" si="26"/>
        <v>0.17121421498423761</v>
      </c>
    </row>
    <row r="430" spans="2:15" x14ac:dyDescent="0.25">
      <c r="B430" s="7">
        <v>28.16</v>
      </c>
      <c r="J430" s="7">
        <v>28.33</v>
      </c>
      <c r="K430">
        <v>1</v>
      </c>
      <c r="L430">
        <f t="shared" si="24"/>
        <v>2E-3</v>
      </c>
      <c r="M430">
        <f t="shared" si="27"/>
        <v>0.85200000000000065</v>
      </c>
      <c r="N430">
        <f t="shared" si="25"/>
        <v>0.67904338987584401</v>
      </c>
      <c r="O430">
        <f t="shared" si="26"/>
        <v>0.17295661012415664</v>
      </c>
    </row>
    <row r="431" spans="2:15" x14ac:dyDescent="0.25">
      <c r="B431" s="7">
        <v>30.05</v>
      </c>
      <c r="J431" s="7">
        <v>28.33</v>
      </c>
      <c r="K431">
        <v>1</v>
      </c>
      <c r="L431">
        <f t="shared" si="24"/>
        <v>2E-3</v>
      </c>
      <c r="M431">
        <f t="shared" si="27"/>
        <v>0.85400000000000065</v>
      </c>
      <c r="N431">
        <f t="shared" si="25"/>
        <v>0.67904338987584401</v>
      </c>
      <c r="O431">
        <f t="shared" si="26"/>
        <v>0.17495661012415664</v>
      </c>
    </row>
    <row r="432" spans="2:15" x14ac:dyDescent="0.25">
      <c r="B432" s="7">
        <v>30.08</v>
      </c>
      <c r="J432" s="7">
        <v>28.34</v>
      </c>
      <c r="K432">
        <v>1</v>
      </c>
      <c r="L432">
        <f t="shared" si="24"/>
        <v>2E-3</v>
      </c>
      <c r="M432">
        <f t="shared" si="27"/>
        <v>0.85600000000000065</v>
      </c>
      <c r="N432">
        <f t="shared" si="25"/>
        <v>0.67917211482355344</v>
      </c>
      <c r="O432">
        <f t="shared" si="26"/>
        <v>0.17682788517644721</v>
      </c>
    </row>
    <row r="433" spans="2:15" x14ac:dyDescent="0.25">
      <c r="B433" s="7">
        <v>24.26</v>
      </c>
      <c r="J433" s="7">
        <v>28.34</v>
      </c>
      <c r="K433">
        <v>1</v>
      </c>
      <c r="L433">
        <f t="shared" si="24"/>
        <v>2E-3</v>
      </c>
      <c r="M433">
        <f t="shared" si="27"/>
        <v>0.85800000000000065</v>
      </c>
      <c r="N433">
        <f t="shared" si="25"/>
        <v>0.67917211482355344</v>
      </c>
      <c r="O433">
        <f t="shared" si="26"/>
        <v>0.17882788517644721</v>
      </c>
    </row>
    <row r="434" spans="2:15" x14ac:dyDescent="0.25">
      <c r="B434" s="7">
        <v>21.74</v>
      </c>
      <c r="J434" s="7">
        <v>28.35</v>
      </c>
      <c r="K434">
        <v>1</v>
      </c>
      <c r="L434">
        <f t="shared" si="24"/>
        <v>2E-3</v>
      </c>
      <c r="M434">
        <f t="shared" si="27"/>
        <v>0.86000000000000065</v>
      </c>
      <c r="N434">
        <f t="shared" si="25"/>
        <v>0.67930078814399719</v>
      </c>
      <c r="O434">
        <f t="shared" si="26"/>
        <v>0.18069921185600346</v>
      </c>
    </row>
    <row r="435" spans="2:15" x14ac:dyDescent="0.25">
      <c r="B435" s="7">
        <v>28.95</v>
      </c>
      <c r="J435" s="7">
        <v>28.35</v>
      </c>
      <c r="K435">
        <v>1</v>
      </c>
      <c r="L435">
        <f t="shared" si="24"/>
        <v>2E-3</v>
      </c>
      <c r="M435">
        <f t="shared" si="27"/>
        <v>0.86200000000000065</v>
      </c>
      <c r="N435">
        <f t="shared" si="25"/>
        <v>0.67930078814399719</v>
      </c>
      <c r="O435">
        <f t="shared" si="26"/>
        <v>0.18269921185600346</v>
      </c>
    </row>
    <row r="436" spans="2:15" x14ac:dyDescent="0.25">
      <c r="B436" s="7">
        <v>25.28</v>
      </c>
      <c r="J436" s="7">
        <v>28.4</v>
      </c>
      <c r="K436">
        <v>1</v>
      </c>
      <c r="L436">
        <f t="shared" si="24"/>
        <v>2E-3</v>
      </c>
      <c r="M436">
        <f t="shared" si="27"/>
        <v>0.86400000000000066</v>
      </c>
      <c r="N436">
        <f t="shared" si="25"/>
        <v>0.67994338106164975</v>
      </c>
      <c r="O436">
        <f t="shared" si="26"/>
        <v>0.1840566189383509</v>
      </c>
    </row>
    <row r="437" spans="2:15" x14ac:dyDescent="0.25">
      <c r="B437" s="7">
        <v>27.12</v>
      </c>
      <c r="J437" s="7">
        <v>28.41</v>
      </c>
      <c r="K437">
        <v>1</v>
      </c>
      <c r="L437">
        <f t="shared" si="24"/>
        <v>2E-3</v>
      </c>
      <c r="M437">
        <f t="shared" si="27"/>
        <v>0.86600000000000066</v>
      </c>
      <c r="N437">
        <f t="shared" si="25"/>
        <v>0.68007174505303458</v>
      </c>
      <c r="O437">
        <f t="shared" si="26"/>
        <v>0.18592825494696608</v>
      </c>
    </row>
    <row r="438" spans="2:15" x14ac:dyDescent="0.25">
      <c r="B438" s="7">
        <v>25.09</v>
      </c>
      <c r="J438" s="7">
        <v>28.43</v>
      </c>
      <c r="K438">
        <v>1</v>
      </c>
      <c r="L438">
        <f t="shared" si="24"/>
        <v>2E-3</v>
      </c>
      <c r="M438">
        <f t="shared" si="27"/>
        <v>0.86800000000000066</v>
      </c>
      <c r="N438">
        <f t="shared" si="25"/>
        <v>0.68032831860895771</v>
      </c>
      <c r="O438">
        <f t="shared" si="26"/>
        <v>0.18767168139104295</v>
      </c>
    </row>
    <row r="439" spans="2:15" x14ac:dyDescent="0.25">
      <c r="B439" s="7">
        <v>22.45</v>
      </c>
      <c r="J439" s="7">
        <v>28.44</v>
      </c>
      <c r="K439">
        <v>1</v>
      </c>
      <c r="L439">
        <f t="shared" si="24"/>
        <v>2E-3</v>
      </c>
      <c r="M439">
        <f t="shared" si="27"/>
        <v>0.87000000000000066</v>
      </c>
      <c r="N439">
        <f t="shared" si="25"/>
        <v>0.68045652821478364</v>
      </c>
      <c r="O439">
        <f t="shared" si="26"/>
        <v>0.18954347178521702</v>
      </c>
    </row>
    <row r="440" spans="2:15" x14ac:dyDescent="0.25">
      <c r="B440" s="7">
        <v>22.46</v>
      </c>
      <c r="J440" s="7">
        <v>28.47</v>
      </c>
      <c r="K440">
        <v>1</v>
      </c>
      <c r="L440">
        <f t="shared" si="24"/>
        <v>2E-3</v>
      </c>
      <c r="M440">
        <f t="shared" si="27"/>
        <v>0.87200000000000066</v>
      </c>
      <c r="N440">
        <f t="shared" si="25"/>
        <v>0.68084084859126981</v>
      </c>
      <c r="O440">
        <f t="shared" si="26"/>
        <v>0.19115915140873085</v>
      </c>
    </row>
    <row r="441" spans="2:15" x14ac:dyDescent="0.25">
      <c r="B441" s="7">
        <v>28.18</v>
      </c>
      <c r="J441" s="7">
        <v>28.51</v>
      </c>
      <c r="K441">
        <v>1</v>
      </c>
      <c r="L441">
        <f t="shared" si="24"/>
        <v>2E-3</v>
      </c>
      <c r="M441">
        <f t="shared" si="27"/>
        <v>0.87400000000000067</v>
      </c>
      <c r="N441">
        <f t="shared" si="25"/>
        <v>0.68135255683365892</v>
      </c>
      <c r="O441">
        <f t="shared" si="26"/>
        <v>0.19264744316634175</v>
      </c>
    </row>
    <row r="442" spans="2:15" x14ac:dyDescent="0.25">
      <c r="B442" s="7">
        <v>28.59</v>
      </c>
      <c r="J442" s="7">
        <v>28.51</v>
      </c>
      <c r="K442">
        <v>1</v>
      </c>
      <c r="L442">
        <f t="shared" si="24"/>
        <v>2E-3</v>
      </c>
      <c r="M442">
        <f t="shared" si="27"/>
        <v>0.87600000000000067</v>
      </c>
      <c r="N442">
        <f t="shared" si="25"/>
        <v>0.68135255683365892</v>
      </c>
      <c r="O442">
        <f t="shared" si="26"/>
        <v>0.19464744316634175</v>
      </c>
    </row>
    <row r="443" spans="2:15" x14ac:dyDescent="0.25">
      <c r="B443" s="7">
        <v>24.03</v>
      </c>
      <c r="J443" s="7">
        <v>28.54</v>
      </c>
      <c r="K443">
        <v>1</v>
      </c>
      <c r="L443">
        <f t="shared" si="24"/>
        <v>2E-3</v>
      </c>
      <c r="M443">
        <f t="shared" si="27"/>
        <v>0.87800000000000067</v>
      </c>
      <c r="N443">
        <f t="shared" si="25"/>
        <v>0.68173579954126262</v>
      </c>
      <c r="O443">
        <f t="shared" si="26"/>
        <v>0.19626420045873805</v>
      </c>
    </row>
    <row r="444" spans="2:15" x14ac:dyDescent="0.25">
      <c r="B444" s="7">
        <v>30.52</v>
      </c>
      <c r="J444" s="7">
        <v>28.59</v>
      </c>
      <c r="K444">
        <v>1</v>
      </c>
      <c r="L444">
        <f t="shared" si="24"/>
        <v>2E-3</v>
      </c>
      <c r="M444">
        <f t="shared" si="27"/>
        <v>0.88000000000000067</v>
      </c>
      <c r="N444">
        <f t="shared" si="25"/>
        <v>0.68237351336654328</v>
      </c>
      <c r="O444">
        <f t="shared" si="26"/>
        <v>0.19762648663345739</v>
      </c>
    </row>
    <row r="445" spans="2:15" x14ac:dyDescent="0.25">
      <c r="B445" s="7">
        <v>21.88</v>
      </c>
      <c r="J445" s="7">
        <v>28.6</v>
      </c>
      <c r="K445">
        <v>1</v>
      </c>
      <c r="L445">
        <f t="shared" si="24"/>
        <v>2E-3</v>
      </c>
      <c r="M445">
        <f t="shared" si="27"/>
        <v>0.88200000000000067</v>
      </c>
      <c r="N445">
        <f t="shared" si="25"/>
        <v>0.68250090271324404</v>
      </c>
      <c r="O445">
        <f t="shared" si="26"/>
        <v>0.19949909728675663</v>
      </c>
    </row>
    <row r="446" spans="2:15" x14ac:dyDescent="0.25">
      <c r="B446" s="7">
        <v>27.26</v>
      </c>
      <c r="J446" s="7">
        <v>28.68</v>
      </c>
      <c r="K446">
        <v>1</v>
      </c>
      <c r="L446">
        <f t="shared" si="24"/>
        <v>2E-3</v>
      </c>
      <c r="M446">
        <f t="shared" si="27"/>
        <v>0.88400000000000067</v>
      </c>
      <c r="N446">
        <f t="shared" si="25"/>
        <v>0.68351817990944164</v>
      </c>
      <c r="O446">
        <f t="shared" si="26"/>
        <v>0.20048182009055904</v>
      </c>
    </row>
    <row r="447" spans="2:15" x14ac:dyDescent="0.25">
      <c r="B447" s="7">
        <v>26.59</v>
      </c>
      <c r="J447" s="7">
        <v>28.69</v>
      </c>
      <c r="K447">
        <v>1</v>
      </c>
      <c r="L447">
        <f t="shared" si="24"/>
        <v>2E-3</v>
      </c>
      <c r="M447">
        <f t="shared" si="27"/>
        <v>0.88600000000000068</v>
      </c>
      <c r="N447">
        <f t="shared" si="25"/>
        <v>0.68364511016872598</v>
      </c>
      <c r="O447">
        <f t="shared" si="26"/>
        <v>0.2023548898312747</v>
      </c>
    </row>
    <row r="448" spans="2:15" x14ac:dyDescent="0.25">
      <c r="B448" s="7">
        <v>20.53</v>
      </c>
      <c r="J448" s="7">
        <v>28.75</v>
      </c>
      <c r="K448">
        <v>1</v>
      </c>
      <c r="L448">
        <f t="shared" si="24"/>
        <v>2E-3</v>
      </c>
      <c r="M448">
        <f t="shared" si="27"/>
        <v>0.88800000000000068</v>
      </c>
      <c r="N448">
        <f t="shared" si="25"/>
        <v>0.68440562338175104</v>
      </c>
      <c r="O448">
        <f t="shared" si="26"/>
        <v>0.20359437661824964</v>
      </c>
    </row>
    <row r="449" spans="2:15" x14ac:dyDescent="0.25">
      <c r="B449" s="7">
        <v>23.82</v>
      </c>
      <c r="J449" s="7">
        <v>28.77</v>
      </c>
      <c r="K449">
        <v>1</v>
      </c>
      <c r="L449">
        <f t="shared" si="24"/>
        <v>2E-3</v>
      </c>
      <c r="M449">
        <f t="shared" si="27"/>
        <v>0.89000000000000068</v>
      </c>
      <c r="N449">
        <f t="shared" si="25"/>
        <v>0.68465872128787919</v>
      </c>
      <c r="O449">
        <f t="shared" si="26"/>
        <v>0.20534127871212149</v>
      </c>
    </row>
    <row r="450" spans="2:15" x14ac:dyDescent="0.25">
      <c r="B450" s="7">
        <v>24.21</v>
      </c>
      <c r="J450" s="7">
        <v>28.77</v>
      </c>
      <c r="K450">
        <v>1</v>
      </c>
      <c r="L450">
        <f t="shared" si="24"/>
        <v>2E-3</v>
      </c>
      <c r="M450">
        <f t="shared" si="27"/>
        <v>0.89200000000000068</v>
      </c>
      <c r="N450">
        <f t="shared" si="25"/>
        <v>0.68465872128787919</v>
      </c>
      <c r="O450">
        <f t="shared" si="26"/>
        <v>0.20734127871212149</v>
      </c>
    </row>
    <row r="451" spans="2:15" x14ac:dyDescent="0.25">
      <c r="B451" s="7">
        <v>18.920000000000002</v>
      </c>
      <c r="J451" s="7">
        <v>28.81</v>
      </c>
      <c r="K451">
        <v>1</v>
      </c>
      <c r="L451">
        <f t="shared" si="24"/>
        <v>2E-3</v>
      </c>
      <c r="M451">
        <f t="shared" si="27"/>
        <v>0.89400000000000068</v>
      </c>
      <c r="N451">
        <f t="shared" si="25"/>
        <v>0.6851643083304888</v>
      </c>
      <c r="O451">
        <f t="shared" si="26"/>
        <v>0.20883569166951188</v>
      </c>
    </row>
    <row r="452" spans="2:15" x14ac:dyDescent="0.25">
      <c r="B452" s="7">
        <v>19.489999999999998</v>
      </c>
      <c r="J452" s="7">
        <v>28.82</v>
      </c>
      <c r="K452">
        <v>1</v>
      </c>
      <c r="L452">
        <f t="shared" si="24"/>
        <v>2E-3</v>
      </c>
      <c r="M452">
        <f t="shared" si="27"/>
        <v>0.89600000000000068</v>
      </c>
      <c r="N452">
        <f t="shared" si="25"/>
        <v>0.68529057838279128</v>
      </c>
      <c r="O452">
        <f t="shared" si="26"/>
        <v>0.2107094216172094</v>
      </c>
    </row>
    <row r="453" spans="2:15" x14ac:dyDescent="0.25">
      <c r="B453" s="7">
        <v>22.69</v>
      </c>
      <c r="J453" s="7">
        <v>28.83</v>
      </c>
      <c r="K453">
        <v>1</v>
      </c>
      <c r="L453">
        <f t="shared" si="24"/>
        <v>2E-3</v>
      </c>
      <c r="M453">
        <f t="shared" si="27"/>
        <v>0.89800000000000069</v>
      </c>
      <c r="N453">
        <f t="shared" si="25"/>
        <v>0.6854167977924045</v>
      </c>
      <c r="O453">
        <f t="shared" si="26"/>
        <v>0.21258320220759619</v>
      </c>
    </row>
    <row r="454" spans="2:15" x14ac:dyDescent="0.25">
      <c r="B454" s="7">
        <v>28.09</v>
      </c>
      <c r="J454" s="7">
        <v>28.91</v>
      </c>
      <c r="K454">
        <v>1</v>
      </c>
      <c r="L454">
        <f t="shared" ref="L454:L504" si="28">K454/$E$20</f>
        <v>2E-3</v>
      </c>
      <c r="M454">
        <f t="shared" si="27"/>
        <v>0.90000000000000069</v>
      </c>
      <c r="N454">
        <f t="shared" ref="N454:N504" si="29">1-EXP(-$H$11*J454)</f>
        <v>0.6864247323681163</v>
      </c>
      <c r="O454">
        <f t="shared" ref="O454:O504" si="30">ABS(M454-N454)</f>
        <v>0.21357526763188439</v>
      </c>
    </row>
    <row r="455" spans="2:15" x14ac:dyDescent="0.25">
      <c r="B455" s="7">
        <v>23.56</v>
      </c>
      <c r="J455" s="7">
        <v>28.92</v>
      </c>
      <c r="K455">
        <v>1</v>
      </c>
      <c r="L455">
        <f t="shared" si="28"/>
        <v>2E-3</v>
      </c>
      <c r="M455">
        <f t="shared" ref="M455:M504" si="31">M454+L455</f>
        <v>0.90200000000000069</v>
      </c>
      <c r="N455">
        <f t="shared" si="29"/>
        <v>0.6865504969065479</v>
      </c>
      <c r="O455">
        <f t="shared" si="30"/>
        <v>0.21544950309345279</v>
      </c>
    </row>
    <row r="456" spans="2:15" x14ac:dyDescent="0.25">
      <c r="B456" s="7">
        <v>25.7</v>
      </c>
      <c r="J456" s="7">
        <v>28.95</v>
      </c>
      <c r="K456">
        <v>1</v>
      </c>
      <c r="L456">
        <f t="shared" si="28"/>
        <v>2E-3</v>
      </c>
      <c r="M456">
        <f t="shared" si="31"/>
        <v>0.90400000000000069</v>
      </c>
      <c r="N456">
        <f t="shared" si="29"/>
        <v>0.68692748796308634</v>
      </c>
      <c r="O456">
        <f t="shared" si="30"/>
        <v>0.21707251203691436</v>
      </c>
    </row>
    <row r="457" spans="2:15" x14ac:dyDescent="0.25">
      <c r="B457" s="7">
        <v>19.88</v>
      </c>
      <c r="J457" s="7">
        <v>28.99</v>
      </c>
      <c r="K457">
        <v>1</v>
      </c>
      <c r="L457">
        <f t="shared" si="28"/>
        <v>2E-3</v>
      </c>
      <c r="M457">
        <f t="shared" si="31"/>
        <v>0.90600000000000069</v>
      </c>
      <c r="N457">
        <f t="shared" si="29"/>
        <v>0.68742943748942043</v>
      </c>
      <c r="O457">
        <f t="shared" si="30"/>
        <v>0.21857056251058027</v>
      </c>
    </row>
    <row r="458" spans="2:15" x14ac:dyDescent="0.25">
      <c r="B458" s="7">
        <v>24.33</v>
      </c>
      <c r="J458" s="7">
        <v>29.02</v>
      </c>
      <c r="K458">
        <v>1</v>
      </c>
      <c r="L458">
        <f t="shared" si="28"/>
        <v>2E-3</v>
      </c>
      <c r="M458">
        <f t="shared" si="31"/>
        <v>0.9080000000000007</v>
      </c>
      <c r="N458">
        <f t="shared" si="29"/>
        <v>0.68780537142914833</v>
      </c>
      <c r="O458">
        <f t="shared" si="30"/>
        <v>0.22019462857085237</v>
      </c>
    </row>
    <row r="459" spans="2:15" x14ac:dyDescent="0.25">
      <c r="B459" s="7">
        <v>29.42</v>
      </c>
      <c r="J459" s="7">
        <v>29.03</v>
      </c>
      <c r="K459">
        <v>1</v>
      </c>
      <c r="L459">
        <f t="shared" si="28"/>
        <v>2E-3</v>
      </c>
      <c r="M459">
        <f t="shared" si="31"/>
        <v>0.9100000000000007</v>
      </c>
      <c r="N459">
        <f t="shared" si="29"/>
        <v>0.68793058223948922</v>
      </c>
      <c r="O459">
        <f t="shared" si="30"/>
        <v>0.22206941776051148</v>
      </c>
    </row>
    <row r="460" spans="2:15" x14ac:dyDescent="0.25">
      <c r="B460" s="7">
        <v>26.09</v>
      </c>
      <c r="J460" s="7">
        <v>29.04</v>
      </c>
      <c r="K460">
        <v>1</v>
      </c>
      <c r="L460">
        <f t="shared" si="28"/>
        <v>2E-3</v>
      </c>
      <c r="M460">
        <f t="shared" si="31"/>
        <v>0.9120000000000007</v>
      </c>
      <c r="N460">
        <f t="shared" si="29"/>
        <v>0.68805574283196735</v>
      </c>
      <c r="O460">
        <f t="shared" si="30"/>
        <v>0.22394425716803334</v>
      </c>
    </row>
    <row r="461" spans="2:15" x14ac:dyDescent="0.25">
      <c r="B461" s="7">
        <v>27.75</v>
      </c>
      <c r="J461" s="7">
        <v>29.08</v>
      </c>
      <c r="K461">
        <v>1</v>
      </c>
      <c r="L461">
        <f t="shared" si="28"/>
        <v>2E-3</v>
      </c>
      <c r="M461">
        <f t="shared" si="31"/>
        <v>0.9140000000000007</v>
      </c>
      <c r="N461">
        <f t="shared" si="29"/>
        <v>0.68855588342594476</v>
      </c>
      <c r="O461">
        <f t="shared" si="30"/>
        <v>0.22544411657405594</v>
      </c>
    </row>
    <row r="462" spans="2:15" x14ac:dyDescent="0.25">
      <c r="B462" s="7">
        <v>25</v>
      </c>
      <c r="J462" s="7">
        <v>29.09</v>
      </c>
      <c r="K462">
        <v>1</v>
      </c>
      <c r="L462">
        <f t="shared" si="28"/>
        <v>2E-3</v>
      </c>
      <c r="M462">
        <f t="shared" si="31"/>
        <v>0.9160000000000007</v>
      </c>
      <c r="N462">
        <f t="shared" si="29"/>
        <v>0.68868079323105791</v>
      </c>
      <c r="O462">
        <f t="shared" si="30"/>
        <v>0.22731920676894279</v>
      </c>
    </row>
    <row r="463" spans="2:15" x14ac:dyDescent="0.25">
      <c r="B463" s="7">
        <v>28.03</v>
      </c>
      <c r="J463" s="7">
        <v>29.1</v>
      </c>
      <c r="K463">
        <v>1</v>
      </c>
      <c r="L463">
        <f t="shared" si="28"/>
        <v>2E-3</v>
      </c>
      <c r="M463">
        <f t="shared" si="31"/>
        <v>0.9180000000000007</v>
      </c>
      <c r="N463">
        <f t="shared" si="29"/>
        <v>0.6888056529390314</v>
      </c>
      <c r="O463">
        <f t="shared" si="30"/>
        <v>0.22919434706096931</v>
      </c>
    </row>
    <row r="464" spans="2:15" x14ac:dyDescent="0.25">
      <c r="B464" s="7">
        <v>20.43</v>
      </c>
      <c r="J464" s="7">
        <v>29.15</v>
      </c>
      <c r="K464">
        <v>1</v>
      </c>
      <c r="L464">
        <f t="shared" si="28"/>
        <v>2E-3</v>
      </c>
      <c r="M464">
        <f t="shared" si="31"/>
        <v>0.92000000000000071</v>
      </c>
      <c r="N464">
        <f t="shared" si="29"/>
        <v>0.68942920072475133</v>
      </c>
      <c r="O464">
        <f t="shared" si="30"/>
        <v>0.23057079927524937</v>
      </c>
    </row>
    <row r="465" spans="2:15" x14ac:dyDescent="0.25">
      <c r="B465" s="7">
        <v>29.75</v>
      </c>
      <c r="J465" s="7">
        <v>29.15</v>
      </c>
      <c r="K465">
        <v>1</v>
      </c>
      <c r="L465">
        <f t="shared" si="28"/>
        <v>2E-3</v>
      </c>
      <c r="M465">
        <f t="shared" si="31"/>
        <v>0.92200000000000071</v>
      </c>
      <c r="N465">
        <f t="shared" si="29"/>
        <v>0.68942920072475133</v>
      </c>
      <c r="O465">
        <f t="shared" si="30"/>
        <v>0.23257079927524937</v>
      </c>
    </row>
    <row r="466" spans="2:15" x14ac:dyDescent="0.25">
      <c r="B466" s="7">
        <v>23.43</v>
      </c>
      <c r="J466" s="7">
        <v>29.16</v>
      </c>
      <c r="K466">
        <v>1</v>
      </c>
      <c r="L466">
        <f t="shared" si="28"/>
        <v>2E-3</v>
      </c>
      <c r="M466">
        <f t="shared" si="31"/>
        <v>0.92400000000000071</v>
      </c>
      <c r="N466">
        <f t="shared" si="29"/>
        <v>0.68955376027154269</v>
      </c>
      <c r="O466">
        <f t="shared" si="30"/>
        <v>0.23444623972845802</v>
      </c>
    </row>
    <row r="467" spans="2:15" x14ac:dyDescent="0.25">
      <c r="B467" s="7">
        <v>28.69</v>
      </c>
      <c r="J467" s="7">
        <v>29.21</v>
      </c>
      <c r="K467">
        <v>1</v>
      </c>
      <c r="L467">
        <f t="shared" si="28"/>
        <v>2E-3</v>
      </c>
      <c r="M467">
        <f t="shared" si="31"/>
        <v>0.92600000000000071</v>
      </c>
      <c r="N467">
        <f t="shared" si="29"/>
        <v>0.69017580905615583</v>
      </c>
      <c r="O467">
        <f t="shared" si="30"/>
        <v>0.23582419094384488</v>
      </c>
    </row>
    <row r="468" spans="2:15" x14ac:dyDescent="0.25">
      <c r="B468" s="7">
        <v>26.44</v>
      </c>
      <c r="J468" s="7">
        <v>29.24</v>
      </c>
      <c r="K468">
        <v>1</v>
      </c>
      <c r="L468">
        <f t="shared" si="28"/>
        <v>2E-3</v>
      </c>
      <c r="M468">
        <f t="shared" si="31"/>
        <v>0.92800000000000071</v>
      </c>
      <c r="N468">
        <f t="shared" si="29"/>
        <v>0.69054843988801984</v>
      </c>
      <c r="O468">
        <f t="shared" si="30"/>
        <v>0.23745156011198087</v>
      </c>
    </row>
    <row r="469" spans="2:15" x14ac:dyDescent="0.25">
      <c r="B469" s="7">
        <v>24.7</v>
      </c>
      <c r="J469" s="7">
        <v>29.25</v>
      </c>
      <c r="K469">
        <v>1</v>
      </c>
      <c r="L469">
        <f t="shared" si="28"/>
        <v>2E-3</v>
      </c>
      <c r="M469">
        <f t="shared" si="31"/>
        <v>0.93000000000000071</v>
      </c>
      <c r="N469">
        <f t="shared" si="29"/>
        <v>0.69067255054546539</v>
      </c>
      <c r="O469">
        <f t="shared" si="30"/>
        <v>0.23932744945453532</v>
      </c>
    </row>
    <row r="470" spans="2:15" x14ac:dyDescent="0.25">
      <c r="B470" s="7">
        <v>25.88</v>
      </c>
      <c r="J470" s="7">
        <v>29.3</v>
      </c>
      <c r="K470">
        <v>1</v>
      </c>
      <c r="L470">
        <f t="shared" si="28"/>
        <v>2E-3</v>
      </c>
      <c r="M470">
        <f t="shared" si="31"/>
        <v>0.93200000000000072</v>
      </c>
      <c r="N470">
        <f t="shared" si="29"/>
        <v>0.6912923575824228</v>
      </c>
      <c r="O470">
        <f t="shared" si="30"/>
        <v>0.24070764241757792</v>
      </c>
    </row>
    <row r="471" spans="2:15" x14ac:dyDescent="0.25">
      <c r="B471" s="7">
        <v>23.81</v>
      </c>
      <c r="J471" s="7">
        <v>29.31</v>
      </c>
      <c r="K471">
        <v>1</v>
      </c>
      <c r="L471">
        <f t="shared" si="28"/>
        <v>2E-3</v>
      </c>
      <c r="M471">
        <f t="shared" si="31"/>
        <v>0.93400000000000072</v>
      </c>
      <c r="N471">
        <f t="shared" si="29"/>
        <v>0.69141616987939436</v>
      </c>
      <c r="O471">
        <f t="shared" si="30"/>
        <v>0.24258383012060636</v>
      </c>
    </row>
    <row r="472" spans="2:15" x14ac:dyDescent="0.25">
      <c r="B472" s="7">
        <v>21.78</v>
      </c>
      <c r="J472" s="7">
        <v>29.33</v>
      </c>
      <c r="K472">
        <v>1</v>
      </c>
      <c r="L472">
        <f t="shared" si="28"/>
        <v>2E-3</v>
      </c>
      <c r="M472">
        <f t="shared" si="31"/>
        <v>0.93600000000000072</v>
      </c>
      <c r="N472">
        <f t="shared" si="29"/>
        <v>0.69166364552235549</v>
      </c>
      <c r="O472">
        <f t="shared" si="30"/>
        <v>0.24433635447764523</v>
      </c>
    </row>
    <row r="473" spans="2:15" x14ac:dyDescent="0.25">
      <c r="B473" s="7">
        <v>25.6</v>
      </c>
      <c r="J473" s="7">
        <v>29.35</v>
      </c>
      <c r="K473">
        <v>1</v>
      </c>
      <c r="L473">
        <f t="shared" si="28"/>
        <v>2E-3</v>
      </c>
      <c r="M473">
        <f t="shared" si="31"/>
        <v>0.93800000000000072</v>
      </c>
      <c r="N473">
        <f t="shared" si="29"/>
        <v>0.69191092269673882</v>
      </c>
      <c r="O473">
        <f t="shared" si="30"/>
        <v>0.2460890773032619</v>
      </c>
    </row>
    <row r="474" spans="2:15" x14ac:dyDescent="0.25">
      <c r="B474" s="7">
        <v>30.06</v>
      </c>
      <c r="J474" s="7">
        <v>29.39</v>
      </c>
      <c r="K474">
        <v>1</v>
      </c>
      <c r="L474">
        <f t="shared" si="28"/>
        <v>2E-3</v>
      </c>
      <c r="M474">
        <f t="shared" si="31"/>
        <v>0.94000000000000072</v>
      </c>
      <c r="N474">
        <f t="shared" si="29"/>
        <v>0.69240488227631025</v>
      </c>
      <c r="O474">
        <f t="shared" si="30"/>
        <v>0.24759511772369047</v>
      </c>
    </row>
    <row r="475" spans="2:15" x14ac:dyDescent="0.25">
      <c r="B475" s="7">
        <v>27.25</v>
      </c>
      <c r="J475" s="7">
        <v>29.42</v>
      </c>
      <c r="K475">
        <v>1</v>
      </c>
      <c r="L475">
        <f t="shared" si="28"/>
        <v>2E-3</v>
      </c>
      <c r="M475">
        <f t="shared" si="31"/>
        <v>0.94200000000000073</v>
      </c>
      <c r="N475">
        <f t="shared" si="29"/>
        <v>0.69277483216384317</v>
      </c>
      <c r="O475">
        <f t="shared" si="30"/>
        <v>0.24922516783615756</v>
      </c>
    </row>
    <row r="476" spans="2:15" x14ac:dyDescent="0.25">
      <c r="B476" s="7">
        <v>30.01</v>
      </c>
      <c r="J476" s="7">
        <v>29.55</v>
      </c>
      <c r="K476">
        <v>1</v>
      </c>
      <c r="L476">
        <f t="shared" si="28"/>
        <v>2E-3</v>
      </c>
      <c r="M476">
        <f t="shared" si="31"/>
        <v>0.94400000000000073</v>
      </c>
      <c r="N476">
        <f t="shared" si="29"/>
        <v>0.6943728136222771</v>
      </c>
      <c r="O476">
        <f t="shared" si="30"/>
        <v>0.24962718637772363</v>
      </c>
    </row>
    <row r="477" spans="2:15" x14ac:dyDescent="0.25">
      <c r="B477" s="7">
        <v>25.68</v>
      </c>
      <c r="J477" s="7">
        <v>29.59</v>
      </c>
      <c r="K477">
        <v>1</v>
      </c>
      <c r="L477">
        <f t="shared" si="28"/>
        <v>2E-3</v>
      </c>
      <c r="M477">
        <f t="shared" si="31"/>
        <v>0.94600000000000073</v>
      </c>
      <c r="N477">
        <f t="shared" si="29"/>
        <v>0.69486282604923533</v>
      </c>
      <c r="O477">
        <f t="shared" si="30"/>
        <v>0.2511371739507654</v>
      </c>
    </row>
    <row r="478" spans="2:15" x14ac:dyDescent="0.25">
      <c r="B478" s="7">
        <v>24.23</v>
      </c>
      <c r="J478" s="7">
        <v>29.69</v>
      </c>
      <c r="K478">
        <v>1</v>
      </c>
      <c r="L478">
        <f t="shared" si="28"/>
        <v>2E-3</v>
      </c>
      <c r="M478">
        <f t="shared" si="31"/>
        <v>0.94800000000000073</v>
      </c>
      <c r="N478">
        <f t="shared" si="29"/>
        <v>0.69608442270742166</v>
      </c>
      <c r="O478">
        <f t="shared" si="30"/>
        <v>0.25191557729257907</v>
      </c>
    </row>
    <row r="479" spans="2:15" x14ac:dyDescent="0.25">
      <c r="B479" s="7">
        <v>25.44</v>
      </c>
      <c r="J479" s="7">
        <v>29.73</v>
      </c>
      <c r="K479">
        <v>1</v>
      </c>
      <c r="L479">
        <f t="shared" si="28"/>
        <v>2E-3</v>
      </c>
      <c r="M479">
        <f t="shared" si="31"/>
        <v>0.95000000000000073</v>
      </c>
      <c r="N479">
        <f t="shared" si="29"/>
        <v>0.69657169090952287</v>
      </c>
      <c r="O479">
        <f t="shared" si="30"/>
        <v>0.25342830909047787</v>
      </c>
    </row>
    <row r="480" spans="2:15" x14ac:dyDescent="0.25">
      <c r="B480" s="7">
        <v>25.5</v>
      </c>
      <c r="J480" s="7">
        <v>29.75</v>
      </c>
      <c r="K480">
        <v>1</v>
      </c>
      <c r="L480">
        <f t="shared" si="28"/>
        <v>2E-3</v>
      </c>
      <c r="M480">
        <f t="shared" si="31"/>
        <v>0.95200000000000073</v>
      </c>
      <c r="N480">
        <f t="shared" si="29"/>
        <v>0.69681503196811123</v>
      </c>
      <c r="O480">
        <f t="shared" si="30"/>
        <v>0.2551849680318895</v>
      </c>
    </row>
    <row r="481" spans="2:15" x14ac:dyDescent="0.25">
      <c r="B481" s="7">
        <v>28.12</v>
      </c>
      <c r="J481" s="7">
        <v>29.8</v>
      </c>
      <c r="K481">
        <v>1</v>
      </c>
      <c r="L481">
        <f t="shared" si="28"/>
        <v>2E-3</v>
      </c>
      <c r="M481">
        <f t="shared" si="31"/>
        <v>0.95400000000000074</v>
      </c>
      <c r="N481">
        <f t="shared" si="29"/>
        <v>0.69742253116359887</v>
      </c>
      <c r="O481">
        <f t="shared" si="30"/>
        <v>0.25657746883640187</v>
      </c>
    </row>
    <row r="482" spans="2:15" x14ac:dyDescent="0.25">
      <c r="B482" s="7">
        <v>23.26</v>
      </c>
      <c r="J482" s="7">
        <v>29.92</v>
      </c>
      <c r="K482">
        <v>1</v>
      </c>
      <c r="L482">
        <f t="shared" si="28"/>
        <v>2E-3</v>
      </c>
      <c r="M482">
        <f t="shared" si="31"/>
        <v>0.95600000000000074</v>
      </c>
      <c r="N482">
        <f t="shared" si="29"/>
        <v>0.69887556745044832</v>
      </c>
      <c r="O482">
        <f t="shared" si="30"/>
        <v>0.25712443254955242</v>
      </c>
    </row>
    <row r="483" spans="2:15" x14ac:dyDescent="0.25">
      <c r="B483" s="7">
        <v>17.93</v>
      </c>
      <c r="J483" s="7">
        <v>30.01</v>
      </c>
      <c r="K483">
        <v>1</v>
      </c>
      <c r="L483">
        <f t="shared" si="28"/>
        <v>2E-3</v>
      </c>
      <c r="M483">
        <f t="shared" si="31"/>
        <v>0.95800000000000074</v>
      </c>
      <c r="N483">
        <f t="shared" si="29"/>
        <v>0.69996076367209237</v>
      </c>
      <c r="O483">
        <f t="shared" si="30"/>
        <v>0.25803923632790837</v>
      </c>
    </row>
    <row r="484" spans="2:15" x14ac:dyDescent="0.25">
      <c r="B484" s="7">
        <v>26.28</v>
      </c>
      <c r="J484" s="7">
        <v>30.05</v>
      </c>
      <c r="K484">
        <v>1</v>
      </c>
      <c r="L484">
        <f t="shared" si="28"/>
        <v>2E-3</v>
      </c>
      <c r="M484">
        <f t="shared" si="31"/>
        <v>0.96000000000000074</v>
      </c>
      <c r="N484">
        <f t="shared" si="29"/>
        <v>0.70044181693217122</v>
      </c>
      <c r="O484">
        <f t="shared" si="30"/>
        <v>0.25955818306782952</v>
      </c>
    </row>
    <row r="485" spans="2:15" x14ac:dyDescent="0.25">
      <c r="B485" s="7">
        <v>31.96</v>
      </c>
      <c r="J485" s="7">
        <v>30.06</v>
      </c>
      <c r="K485">
        <v>1</v>
      </c>
      <c r="L485">
        <f t="shared" si="28"/>
        <v>2E-3</v>
      </c>
      <c r="M485">
        <f t="shared" si="31"/>
        <v>0.96200000000000074</v>
      </c>
      <c r="N485">
        <f t="shared" si="29"/>
        <v>0.70056195968740664</v>
      </c>
      <c r="O485">
        <f t="shared" si="30"/>
        <v>0.2614380403125941</v>
      </c>
    </row>
    <row r="486" spans="2:15" x14ac:dyDescent="0.25">
      <c r="B486" s="7">
        <v>22.31</v>
      </c>
      <c r="J486" s="7">
        <v>30.08</v>
      </c>
      <c r="K486">
        <v>1</v>
      </c>
      <c r="L486">
        <f t="shared" si="28"/>
        <v>2E-3</v>
      </c>
      <c r="M486">
        <f t="shared" si="31"/>
        <v>0.96400000000000075</v>
      </c>
      <c r="N486">
        <f t="shared" si="29"/>
        <v>0.70080210066149595</v>
      </c>
      <c r="O486">
        <f t="shared" si="30"/>
        <v>0.26319789933850479</v>
      </c>
    </row>
    <row r="487" spans="2:15" x14ac:dyDescent="0.25">
      <c r="B487" s="7">
        <v>24.63</v>
      </c>
      <c r="J487" s="7">
        <v>30.13</v>
      </c>
      <c r="K487">
        <v>1</v>
      </c>
      <c r="L487">
        <f t="shared" si="28"/>
        <v>2E-3</v>
      </c>
      <c r="M487">
        <f t="shared" si="31"/>
        <v>0.96600000000000075</v>
      </c>
      <c r="N487">
        <f t="shared" si="29"/>
        <v>0.70140161086914121</v>
      </c>
      <c r="O487">
        <f t="shared" si="30"/>
        <v>0.26459838913085953</v>
      </c>
    </row>
    <row r="488" spans="2:15" x14ac:dyDescent="0.25">
      <c r="B488" s="7">
        <v>25.11</v>
      </c>
      <c r="J488" s="7">
        <v>30.18</v>
      </c>
      <c r="K488">
        <v>1</v>
      </c>
      <c r="L488">
        <f t="shared" si="28"/>
        <v>2E-3</v>
      </c>
      <c r="M488">
        <f t="shared" si="31"/>
        <v>0.96800000000000075</v>
      </c>
      <c r="N488">
        <f t="shared" si="29"/>
        <v>0.7019999198234026</v>
      </c>
      <c r="O488">
        <f t="shared" si="30"/>
        <v>0.26600008017659815</v>
      </c>
    </row>
    <row r="489" spans="2:15" x14ac:dyDescent="0.25">
      <c r="B489" s="7">
        <v>31.69</v>
      </c>
      <c r="J489" s="7">
        <v>30.36</v>
      </c>
      <c r="K489">
        <v>1</v>
      </c>
      <c r="L489">
        <f t="shared" si="28"/>
        <v>2E-3</v>
      </c>
      <c r="M489">
        <f t="shared" si="31"/>
        <v>0.97000000000000075</v>
      </c>
      <c r="N489">
        <f t="shared" si="29"/>
        <v>0.70414392283460026</v>
      </c>
      <c r="O489">
        <f t="shared" si="30"/>
        <v>0.2658560771654005</v>
      </c>
    </row>
    <row r="490" spans="2:15" x14ac:dyDescent="0.25">
      <c r="B490" s="7">
        <v>23.74</v>
      </c>
      <c r="J490" s="7">
        <v>30.42</v>
      </c>
      <c r="K490">
        <v>1</v>
      </c>
      <c r="L490">
        <f t="shared" si="28"/>
        <v>2E-3</v>
      </c>
      <c r="M490">
        <f t="shared" si="31"/>
        <v>0.97200000000000075</v>
      </c>
      <c r="N490">
        <f t="shared" si="29"/>
        <v>0.70485515715741442</v>
      </c>
      <c r="O490">
        <f t="shared" si="30"/>
        <v>0.26714484284258633</v>
      </c>
    </row>
    <row r="491" spans="2:15" x14ac:dyDescent="0.25">
      <c r="B491" s="7">
        <v>22.59</v>
      </c>
      <c r="J491" s="7">
        <v>30.45</v>
      </c>
      <c r="K491">
        <v>1</v>
      </c>
      <c r="L491">
        <f t="shared" si="28"/>
        <v>2E-3</v>
      </c>
      <c r="M491">
        <f t="shared" si="31"/>
        <v>0.97400000000000075</v>
      </c>
      <c r="N491">
        <f t="shared" si="29"/>
        <v>0.70521013288727508</v>
      </c>
      <c r="O491">
        <f t="shared" si="30"/>
        <v>0.26878986711272568</v>
      </c>
    </row>
    <row r="492" spans="2:15" x14ac:dyDescent="0.25">
      <c r="B492" s="7">
        <v>26.03</v>
      </c>
      <c r="J492" s="7">
        <v>30.52</v>
      </c>
      <c r="K492">
        <v>1</v>
      </c>
      <c r="L492">
        <f t="shared" si="28"/>
        <v>2E-3</v>
      </c>
      <c r="M492">
        <f t="shared" si="31"/>
        <v>0.97600000000000076</v>
      </c>
      <c r="N492">
        <f t="shared" si="29"/>
        <v>0.70603675017352974</v>
      </c>
      <c r="O492">
        <f t="shared" si="30"/>
        <v>0.26996324982647102</v>
      </c>
    </row>
    <row r="493" spans="2:15" x14ac:dyDescent="0.25">
      <c r="B493" s="7">
        <v>23.35</v>
      </c>
      <c r="J493" s="7">
        <v>30.56</v>
      </c>
      <c r="K493">
        <v>1</v>
      </c>
      <c r="L493">
        <f t="shared" si="28"/>
        <v>2E-3</v>
      </c>
      <c r="M493">
        <f t="shared" si="31"/>
        <v>0.97800000000000076</v>
      </c>
      <c r="N493">
        <f t="shared" si="29"/>
        <v>0.70650806179731296</v>
      </c>
      <c r="O493">
        <f t="shared" si="30"/>
        <v>0.2714919382026878</v>
      </c>
    </row>
    <row r="494" spans="2:15" x14ac:dyDescent="0.25">
      <c r="B494" s="7">
        <v>28.54</v>
      </c>
      <c r="J494" s="7">
        <v>30.9</v>
      </c>
      <c r="K494">
        <v>1</v>
      </c>
      <c r="L494">
        <f t="shared" si="28"/>
        <v>2E-3</v>
      </c>
      <c r="M494">
        <f t="shared" si="31"/>
        <v>0.98000000000000076</v>
      </c>
      <c r="N494">
        <f t="shared" si="29"/>
        <v>0.71048382302178026</v>
      </c>
      <c r="O494">
        <f t="shared" si="30"/>
        <v>0.2695161769782205</v>
      </c>
    </row>
    <row r="495" spans="2:15" x14ac:dyDescent="0.25">
      <c r="B495" s="7">
        <v>28.83</v>
      </c>
      <c r="J495" s="7">
        <v>31.18</v>
      </c>
      <c r="K495">
        <v>1</v>
      </c>
      <c r="L495">
        <f t="shared" si="28"/>
        <v>2E-3</v>
      </c>
      <c r="M495">
        <f t="shared" si="31"/>
        <v>0.98200000000000076</v>
      </c>
      <c r="N495">
        <f t="shared" si="29"/>
        <v>0.71371750742209628</v>
      </c>
      <c r="O495">
        <f t="shared" si="30"/>
        <v>0.26828249257790449</v>
      </c>
    </row>
    <row r="496" spans="2:15" x14ac:dyDescent="0.25">
      <c r="B496" s="7">
        <v>25.52</v>
      </c>
      <c r="J496" s="7">
        <v>31.45</v>
      </c>
      <c r="K496">
        <v>1</v>
      </c>
      <c r="L496">
        <f t="shared" si="28"/>
        <v>2E-3</v>
      </c>
      <c r="M496">
        <f t="shared" si="31"/>
        <v>0.98400000000000076</v>
      </c>
      <c r="N496">
        <f t="shared" si="29"/>
        <v>0.71680149249044578</v>
      </c>
      <c r="O496">
        <f t="shared" si="30"/>
        <v>0.26719850750955498</v>
      </c>
    </row>
    <row r="497" spans="2:15" x14ac:dyDescent="0.25">
      <c r="B497" s="7">
        <v>25.92</v>
      </c>
      <c r="J497" s="7">
        <v>31.45</v>
      </c>
      <c r="K497">
        <v>1</v>
      </c>
      <c r="L497">
        <f t="shared" si="28"/>
        <v>2E-3</v>
      </c>
      <c r="M497">
        <f t="shared" si="31"/>
        <v>0.98600000000000076</v>
      </c>
      <c r="N497">
        <f t="shared" si="29"/>
        <v>0.71680149249044578</v>
      </c>
      <c r="O497">
        <f t="shared" si="30"/>
        <v>0.26919850750955499</v>
      </c>
    </row>
    <row r="498" spans="2:15" x14ac:dyDescent="0.25">
      <c r="B498" s="7">
        <v>20.92</v>
      </c>
      <c r="J498" s="7">
        <v>31.54</v>
      </c>
      <c r="K498">
        <v>1</v>
      </c>
      <c r="L498">
        <f t="shared" si="28"/>
        <v>2E-3</v>
      </c>
      <c r="M498">
        <f t="shared" si="31"/>
        <v>0.98800000000000077</v>
      </c>
      <c r="N498">
        <f t="shared" si="29"/>
        <v>0.71782208702580963</v>
      </c>
      <c r="O498">
        <f t="shared" si="30"/>
        <v>0.27017791297419114</v>
      </c>
    </row>
    <row r="499" spans="2:15" x14ac:dyDescent="0.25">
      <c r="B499" s="7">
        <v>28.91</v>
      </c>
      <c r="J499" s="7">
        <v>31.68</v>
      </c>
      <c r="K499">
        <v>1</v>
      </c>
      <c r="L499">
        <f t="shared" si="28"/>
        <v>2E-3</v>
      </c>
      <c r="M499">
        <f t="shared" si="31"/>
        <v>0.99000000000000077</v>
      </c>
      <c r="N499">
        <f t="shared" si="29"/>
        <v>0.71940237274972696</v>
      </c>
      <c r="O499">
        <f t="shared" si="30"/>
        <v>0.27059762725027381</v>
      </c>
    </row>
    <row r="500" spans="2:15" x14ac:dyDescent="0.25">
      <c r="B500" s="7">
        <v>20</v>
      </c>
      <c r="J500" s="7">
        <v>31.69</v>
      </c>
      <c r="K500">
        <v>1</v>
      </c>
      <c r="L500">
        <f t="shared" si="28"/>
        <v>2E-3</v>
      </c>
      <c r="M500">
        <f t="shared" si="31"/>
        <v>0.99200000000000077</v>
      </c>
      <c r="N500">
        <f t="shared" si="29"/>
        <v>0.71951491106099952</v>
      </c>
      <c r="O500">
        <f t="shared" si="30"/>
        <v>0.27248508893900125</v>
      </c>
    </row>
    <row r="501" spans="2:15" x14ac:dyDescent="0.25">
      <c r="B501" s="7">
        <v>25.91</v>
      </c>
      <c r="J501" s="7">
        <v>31.96</v>
      </c>
      <c r="K501">
        <v>1</v>
      </c>
      <c r="L501">
        <f t="shared" si="28"/>
        <v>2E-3</v>
      </c>
      <c r="M501">
        <f t="shared" si="31"/>
        <v>0.99400000000000077</v>
      </c>
      <c r="N501">
        <f t="shared" si="29"/>
        <v>0.72253644345857415</v>
      </c>
      <c r="O501">
        <f t="shared" si="30"/>
        <v>0.27146355654142662</v>
      </c>
    </row>
    <row r="502" spans="2:15" x14ac:dyDescent="0.25">
      <c r="B502" s="7">
        <v>19.5</v>
      </c>
      <c r="J502" s="7">
        <v>32.090000000000003</v>
      </c>
      <c r="K502">
        <v>1</v>
      </c>
      <c r="L502">
        <f t="shared" si="28"/>
        <v>2E-3</v>
      </c>
      <c r="M502">
        <f t="shared" si="31"/>
        <v>0.99600000000000077</v>
      </c>
      <c r="N502">
        <f t="shared" si="29"/>
        <v>0.72397962476389222</v>
      </c>
      <c r="O502">
        <f t="shared" si="30"/>
        <v>0.27202037523610856</v>
      </c>
    </row>
    <row r="503" spans="2:15" x14ac:dyDescent="0.25">
      <c r="B503" s="7">
        <v>24.89</v>
      </c>
      <c r="J503" s="7">
        <v>32.15</v>
      </c>
      <c r="K503">
        <v>1</v>
      </c>
      <c r="L503">
        <f t="shared" si="28"/>
        <v>2E-3</v>
      </c>
      <c r="M503">
        <f t="shared" si="31"/>
        <v>0.99800000000000078</v>
      </c>
      <c r="N503">
        <f t="shared" si="29"/>
        <v>0.72464317430644276</v>
      </c>
      <c r="O503">
        <f t="shared" si="30"/>
        <v>0.27335682569355801</v>
      </c>
    </row>
    <row r="504" spans="2:15" x14ac:dyDescent="0.25">
      <c r="B504" s="7">
        <v>23.53</v>
      </c>
      <c r="J504" s="7">
        <v>32.61</v>
      </c>
      <c r="K504">
        <v>1</v>
      </c>
      <c r="L504">
        <f t="shared" si="28"/>
        <v>2E-3</v>
      </c>
      <c r="M504">
        <f t="shared" si="31"/>
        <v>1.0000000000000007</v>
      </c>
      <c r="N504">
        <f t="shared" si="29"/>
        <v>0.72967767469264089</v>
      </c>
      <c r="O504">
        <f t="shared" si="30"/>
        <v>0.27032232530735978</v>
      </c>
    </row>
    <row r="505" spans="2:15" x14ac:dyDescent="0.25">
      <c r="N505" s="14" t="s">
        <v>52</v>
      </c>
      <c r="O505" s="14">
        <f>MAX(O5:O504)</f>
        <v>0.50856373459006365</v>
      </c>
    </row>
    <row r="506" spans="2:15" x14ac:dyDescent="0.25">
      <c r="M506" s="16" t="s">
        <v>51</v>
      </c>
      <c r="N506" s="16">
        <f>1.358/SQRT($E$20)</f>
        <v>6.0731606268894289E-2</v>
      </c>
    </row>
    <row r="508" spans="2:15" x14ac:dyDescent="0.25">
      <c r="M508" t="s">
        <v>53</v>
      </c>
    </row>
  </sheetData>
  <mergeCells count="1">
    <mergeCell ref="J2:N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P508"/>
  <sheetViews>
    <sheetView tabSelected="1" topLeftCell="C482" workbookViewId="0">
      <selection activeCell="O505" sqref="O505"/>
    </sheetView>
  </sheetViews>
  <sheetFormatPr baseColWidth="10" defaultRowHeight="15" x14ac:dyDescent="0.25"/>
  <cols>
    <col min="7" max="7" width="19" customWidth="1"/>
    <col min="8" max="8" width="11.85546875" customWidth="1"/>
    <col min="13" max="13" width="13.5703125" customWidth="1"/>
    <col min="14" max="14" width="14.42578125" customWidth="1"/>
    <col min="15" max="15" width="12.7109375" customWidth="1"/>
  </cols>
  <sheetData>
    <row r="2" spans="2:16" x14ac:dyDescent="0.25">
      <c r="E2" t="s">
        <v>48</v>
      </c>
      <c r="J2" s="17" t="s">
        <v>36</v>
      </c>
      <c r="K2" s="17"/>
      <c r="L2" s="17"/>
      <c r="M2" s="17"/>
      <c r="N2" s="17"/>
    </row>
    <row r="3" spans="2:16" x14ac:dyDescent="0.25">
      <c r="K3" t="s">
        <v>42</v>
      </c>
      <c r="L3" t="s">
        <v>39</v>
      </c>
      <c r="M3" t="s">
        <v>40</v>
      </c>
      <c r="N3" t="s">
        <v>44</v>
      </c>
      <c r="O3" t="s">
        <v>10</v>
      </c>
    </row>
    <row r="4" spans="2:16" ht="21" x14ac:dyDescent="0.35">
      <c r="B4" s="6" t="s">
        <v>18</v>
      </c>
      <c r="J4" s="15" t="s">
        <v>3</v>
      </c>
      <c r="K4" s="15" t="s">
        <v>41</v>
      </c>
      <c r="L4" s="15" t="s">
        <v>37</v>
      </c>
      <c r="M4" s="15" t="s">
        <v>38</v>
      </c>
      <c r="N4" s="15" t="s">
        <v>43</v>
      </c>
      <c r="O4" s="15" t="s">
        <v>50</v>
      </c>
      <c r="P4" s="15" t="s">
        <v>49</v>
      </c>
    </row>
    <row r="5" spans="2:16" ht="15.75" thickBot="1" x14ac:dyDescent="0.3">
      <c r="B5" s="7">
        <v>19.350000000000001</v>
      </c>
      <c r="J5" s="7">
        <v>14.31</v>
      </c>
      <c r="K5">
        <v>1</v>
      </c>
      <c r="L5">
        <f>K5/$E$20</f>
        <v>2E-3</v>
      </c>
      <c r="M5">
        <f>L5</f>
        <v>2E-3</v>
      </c>
      <c r="N5">
        <f>(J5-$H$7)^2/(($H$8-$H$7)*($H$9-$H$7))</f>
        <v>0</v>
      </c>
      <c r="O5">
        <f>ABS(M5-N5)</f>
        <v>2E-3</v>
      </c>
    </row>
    <row r="6" spans="2:16" x14ac:dyDescent="0.25">
      <c r="B6" s="7">
        <v>24.37</v>
      </c>
      <c r="D6" s="11" t="s">
        <v>19</v>
      </c>
      <c r="E6" s="11"/>
      <c r="G6" s="12" t="s">
        <v>45</v>
      </c>
      <c r="J6" s="7">
        <v>15.16</v>
      </c>
      <c r="K6">
        <v>1</v>
      </c>
      <c r="L6">
        <f t="shared" ref="L6:L69" si="0">K6/$E$20</f>
        <v>2E-3</v>
      </c>
      <c r="M6">
        <f>M5+L6</f>
        <v>4.0000000000000001E-3</v>
      </c>
      <c r="N6">
        <f t="shared" ref="N6:N69" si="1">(J6-$H$7)^2/(($H$8-$H$7)*($H$9-$H$7))</f>
        <v>3.0557952257693395E-3</v>
      </c>
      <c r="O6">
        <f t="shared" ref="O6:O69" si="2">ABS(M6-N6)</f>
        <v>9.4420477423066062E-4</v>
      </c>
    </row>
    <row r="7" spans="2:16" x14ac:dyDescent="0.25">
      <c r="B7" s="7">
        <v>25.2</v>
      </c>
      <c r="D7" s="8"/>
      <c r="E7" s="8"/>
      <c r="F7" s="13" t="s">
        <v>46</v>
      </c>
      <c r="G7" t="s">
        <v>9</v>
      </c>
      <c r="H7">
        <f>MIN(J5:J504)</f>
        <v>14.31</v>
      </c>
      <c r="J7" s="7">
        <v>16.43</v>
      </c>
      <c r="K7">
        <v>1</v>
      </c>
      <c r="L7">
        <f t="shared" si="0"/>
        <v>2E-3</v>
      </c>
      <c r="M7">
        <f t="shared" ref="M7:M70" si="3">M6+L7</f>
        <v>6.0000000000000001E-3</v>
      </c>
      <c r="N7">
        <f t="shared" si="1"/>
        <v>1.9008949567747711E-2</v>
      </c>
      <c r="O7">
        <f t="shared" si="2"/>
        <v>1.3008949567747711E-2</v>
      </c>
    </row>
    <row r="8" spans="2:16" x14ac:dyDescent="0.25">
      <c r="B8" s="7">
        <v>24.91</v>
      </c>
      <c r="D8" s="8" t="s">
        <v>20</v>
      </c>
      <c r="E8" s="8">
        <v>24.928520000000013</v>
      </c>
      <c r="F8" s="13" t="s">
        <v>47</v>
      </c>
      <c r="G8" t="s">
        <v>10</v>
      </c>
      <c r="H8">
        <f>MAX(J5:J504)</f>
        <v>32.61</v>
      </c>
      <c r="J8" s="7">
        <v>17</v>
      </c>
      <c r="K8">
        <v>1</v>
      </c>
      <c r="L8">
        <f t="shared" si="0"/>
        <v>2E-3</v>
      </c>
      <c r="M8">
        <f t="shared" si="3"/>
        <v>8.0000000000000002E-3</v>
      </c>
      <c r="N8">
        <f t="shared" si="1"/>
        <v>3.0604899423099696E-2</v>
      </c>
      <c r="O8">
        <f t="shared" si="2"/>
        <v>2.2604899423099695E-2</v>
      </c>
    </row>
    <row r="9" spans="2:16" x14ac:dyDescent="0.25">
      <c r="B9" s="7">
        <v>29.16</v>
      </c>
      <c r="D9" s="8" t="s">
        <v>21</v>
      </c>
      <c r="E9" s="8">
        <v>0.13643978616846866</v>
      </c>
      <c r="F9" s="13" t="s">
        <v>57</v>
      </c>
      <c r="G9" t="s">
        <v>11</v>
      </c>
      <c r="H9">
        <f>E11</f>
        <v>27.23</v>
      </c>
      <c r="J9" s="7">
        <v>17.52</v>
      </c>
      <c r="K9">
        <v>1</v>
      </c>
      <c r="L9">
        <f t="shared" si="0"/>
        <v>2E-3</v>
      </c>
      <c r="M9">
        <f t="shared" si="3"/>
        <v>0.01</v>
      </c>
      <c r="N9">
        <f t="shared" si="1"/>
        <v>4.3580926762421951E-2</v>
      </c>
      <c r="O9">
        <f t="shared" si="2"/>
        <v>3.3580926762421949E-2</v>
      </c>
    </row>
    <row r="10" spans="2:16" ht="13.5" customHeight="1" x14ac:dyDescent="0.25">
      <c r="B10" s="7">
        <v>26.01</v>
      </c>
      <c r="D10" s="8" t="s">
        <v>22</v>
      </c>
      <c r="E10" s="8">
        <v>24.84</v>
      </c>
      <c r="G10" s="18"/>
      <c r="J10" s="7">
        <v>17.739999999999998</v>
      </c>
      <c r="K10">
        <v>1</v>
      </c>
      <c r="L10">
        <f t="shared" si="0"/>
        <v>2E-3</v>
      </c>
      <c r="M10">
        <f t="shared" si="3"/>
        <v>1.2E-2</v>
      </c>
      <c r="N10">
        <f t="shared" si="1"/>
        <v>4.975934290886324E-2</v>
      </c>
      <c r="O10">
        <f t="shared" si="2"/>
        <v>3.7759342908863236E-2</v>
      </c>
    </row>
    <row r="11" spans="2:16" x14ac:dyDescent="0.25">
      <c r="B11" s="7">
        <v>21.89</v>
      </c>
      <c r="D11" s="8" t="s">
        <v>23</v>
      </c>
      <c r="E11" s="8">
        <v>27.23</v>
      </c>
      <c r="J11" s="7">
        <v>17.93</v>
      </c>
      <c r="K11">
        <v>1</v>
      </c>
      <c r="L11">
        <f t="shared" si="0"/>
        <v>2E-3</v>
      </c>
      <c r="M11">
        <f t="shared" si="3"/>
        <v>1.4E-2</v>
      </c>
      <c r="N11">
        <f t="shared" si="1"/>
        <v>5.542472381532422E-2</v>
      </c>
      <c r="O11">
        <f t="shared" si="2"/>
        <v>4.1424723815324221E-2</v>
      </c>
    </row>
    <row r="12" spans="2:16" x14ac:dyDescent="0.25">
      <c r="B12" s="7">
        <v>21.3</v>
      </c>
      <c r="D12" s="8" t="s">
        <v>24</v>
      </c>
      <c r="E12" s="8">
        <v>3.0508863670823154</v>
      </c>
      <c r="J12" s="7">
        <v>18.27</v>
      </c>
      <c r="K12">
        <v>1</v>
      </c>
      <c r="L12">
        <f t="shared" si="0"/>
        <v>2E-3</v>
      </c>
      <c r="M12">
        <f t="shared" si="3"/>
        <v>1.6E-2</v>
      </c>
      <c r="N12">
        <f t="shared" si="1"/>
        <v>6.6324925138303792E-2</v>
      </c>
      <c r="O12">
        <f t="shared" si="2"/>
        <v>5.0324925138303792E-2</v>
      </c>
    </row>
    <row r="13" spans="2:16" x14ac:dyDescent="0.25">
      <c r="B13" s="7">
        <v>26.46</v>
      </c>
      <c r="D13" s="8" t="s">
        <v>25</v>
      </c>
      <c r="E13" s="8">
        <v>9.3079076248487294</v>
      </c>
      <c r="J13" s="7">
        <v>18.28</v>
      </c>
      <c r="K13">
        <v>1</v>
      </c>
      <c r="L13">
        <f t="shared" si="0"/>
        <v>2E-3</v>
      </c>
      <c r="M13">
        <f t="shared" si="3"/>
        <v>1.8000000000000002E-2</v>
      </c>
      <c r="N13">
        <f t="shared" si="1"/>
        <v>6.6660322455125307E-2</v>
      </c>
      <c r="O13">
        <f t="shared" si="2"/>
        <v>4.8660322455125304E-2</v>
      </c>
    </row>
    <row r="14" spans="2:16" x14ac:dyDescent="0.25">
      <c r="B14" s="7">
        <v>21.56</v>
      </c>
      <c r="D14" s="8" t="s">
        <v>26</v>
      </c>
      <c r="E14" s="8">
        <v>-7.5958871966522956E-2</v>
      </c>
      <c r="J14" s="7">
        <v>18.28</v>
      </c>
      <c r="K14">
        <v>1</v>
      </c>
      <c r="L14">
        <f t="shared" si="0"/>
        <v>2E-3</v>
      </c>
      <c r="M14">
        <f t="shared" si="3"/>
        <v>2.0000000000000004E-2</v>
      </c>
      <c r="N14">
        <f t="shared" si="1"/>
        <v>6.6660322455125307E-2</v>
      </c>
      <c r="O14">
        <f t="shared" si="2"/>
        <v>4.6660322455125303E-2</v>
      </c>
    </row>
    <row r="15" spans="2:16" x14ac:dyDescent="0.25">
      <c r="B15" s="7">
        <v>22.49</v>
      </c>
      <c r="D15" s="8" t="s">
        <v>27</v>
      </c>
      <c r="E15" s="8">
        <v>-0.12956245557651511</v>
      </c>
      <c r="J15" s="7">
        <v>18.38</v>
      </c>
      <c r="K15">
        <v>1</v>
      </c>
      <c r="L15">
        <f t="shared" si="0"/>
        <v>2E-3</v>
      </c>
      <c r="M15">
        <f t="shared" si="3"/>
        <v>2.2000000000000006E-2</v>
      </c>
      <c r="N15">
        <f t="shared" si="1"/>
        <v>7.0060819841310087E-2</v>
      </c>
      <c r="O15">
        <f t="shared" si="2"/>
        <v>4.8060819841310082E-2</v>
      </c>
    </row>
    <row r="16" spans="2:16" x14ac:dyDescent="0.25">
      <c r="B16" s="7">
        <v>25.54</v>
      </c>
      <c r="D16" s="8" t="s">
        <v>28</v>
      </c>
      <c r="E16" s="8">
        <v>18.299999999999997</v>
      </c>
      <c r="J16" s="7">
        <v>18.55</v>
      </c>
      <c r="K16">
        <v>1</v>
      </c>
      <c r="L16">
        <f t="shared" si="0"/>
        <v>2E-3</v>
      </c>
      <c r="M16">
        <f t="shared" si="3"/>
        <v>2.4000000000000007E-2</v>
      </c>
      <c r="N16">
        <f t="shared" si="1"/>
        <v>7.6035798270990912E-2</v>
      </c>
      <c r="O16">
        <f t="shared" si="2"/>
        <v>5.2035798270990904E-2</v>
      </c>
    </row>
    <row r="17" spans="2:15" x14ac:dyDescent="0.25">
      <c r="B17" s="7">
        <v>28.01</v>
      </c>
      <c r="D17" s="8" t="s">
        <v>29</v>
      </c>
      <c r="E17" s="8">
        <v>14.31</v>
      </c>
      <c r="J17" s="7">
        <v>18.920000000000002</v>
      </c>
      <c r="K17">
        <v>1</v>
      </c>
      <c r="L17">
        <f t="shared" si="0"/>
        <v>2E-3</v>
      </c>
      <c r="M17">
        <f t="shared" si="3"/>
        <v>2.6000000000000009E-2</v>
      </c>
      <c r="N17">
        <f t="shared" si="1"/>
        <v>8.988521206584453E-2</v>
      </c>
      <c r="O17">
        <f t="shared" si="2"/>
        <v>6.3885212065844521E-2</v>
      </c>
    </row>
    <row r="18" spans="2:15" x14ac:dyDescent="0.25">
      <c r="B18" s="7">
        <v>28.47</v>
      </c>
      <c r="D18" s="8" t="s">
        <v>30</v>
      </c>
      <c r="E18" s="8">
        <v>32.61</v>
      </c>
      <c r="J18" s="7">
        <v>18.93</v>
      </c>
      <c r="K18">
        <v>1</v>
      </c>
      <c r="L18">
        <f t="shared" si="0"/>
        <v>2E-3</v>
      </c>
      <c r="M18">
        <f t="shared" si="3"/>
        <v>2.8000000000000011E-2</v>
      </c>
      <c r="N18">
        <f t="shared" si="1"/>
        <v>9.027559254935795E-2</v>
      </c>
      <c r="O18">
        <f t="shared" si="2"/>
        <v>6.2275592549357939E-2</v>
      </c>
    </row>
    <row r="19" spans="2:15" x14ac:dyDescent="0.25">
      <c r="B19" s="7">
        <v>27.09</v>
      </c>
      <c r="D19" s="8" t="s">
        <v>31</v>
      </c>
      <c r="E19" s="8">
        <v>12464.260000000006</v>
      </c>
      <c r="J19" s="7">
        <v>19.28</v>
      </c>
      <c r="K19">
        <v>1</v>
      </c>
      <c r="L19">
        <f t="shared" si="0"/>
        <v>2E-3</v>
      </c>
      <c r="M19">
        <f t="shared" si="3"/>
        <v>3.0000000000000013E-2</v>
      </c>
      <c r="N19">
        <f t="shared" si="1"/>
        <v>0.10447182324180757</v>
      </c>
      <c r="O19">
        <f t="shared" si="2"/>
        <v>7.4471823241807553E-2</v>
      </c>
    </row>
    <row r="20" spans="2:15" ht="15.75" thickBot="1" x14ac:dyDescent="0.3">
      <c r="B20" s="7">
        <v>21.02</v>
      </c>
      <c r="D20" s="9" t="s">
        <v>32</v>
      </c>
      <c r="E20" s="9">
        <v>500</v>
      </c>
      <c r="J20" s="7">
        <v>19.350000000000001</v>
      </c>
      <c r="K20">
        <v>1</v>
      </c>
      <c r="L20">
        <f t="shared" si="0"/>
        <v>2E-3</v>
      </c>
      <c r="M20">
        <f t="shared" si="3"/>
        <v>3.2000000000000015E-2</v>
      </c>
      <c r="N20">
        <f t="shared" si="1"/>
        <v>0.10743541592650871</v>
      </c>
      <c r="O20">
        <f t="shared" si="2"/>
        <v>7.5435415926508695E-2</v>
      </c>
    </row>
    <row r="21" spans="2:15" ht="15.75" thickBot="1" x14ac:dyDescent="0.3">
      <c r="B21" s="7">
        <v>28.51</v>
      </c>
      <c r="J21" s="7">
        <v>19.45</v>
      </c>
      <c r="K21">
        <v>1</v>
      </c>
      <c r="L21">
        <f t="shared" si="0"/>
        <v>2E-3</v>
      </c>
      <c r="M21">
        <f t="shared" si="3"/>
        <v>3.4000000000000016E-2</v>
      </c>
      <c r="N21">
        <f t="shared" si="1"/>
        <v>0.11174102082593172</v>
      </c>
      <c r="O21">
        <f t="shared" si="2"/>
        <v>7.7741020825931706E-2</v>
      </c>
    </row>
    <row r="22" spans="2:15" x14ac:dyDescent="0.25">
      <c r="B22" s="7">
        <v>24.75</v>
      </c>
      <c r="D22" s="10" t="s">
        <v>33</v>
      </c>
      <c r="E22" s="10" t="s">
        <v>35</v>
      </c>
      <c r="J22" s="7">
        <v>19.489999999999998</v>
      </c>
      <c r="K22">
        <v>1</v>
      </c>
      <c r="L22">
        <f t="shared" si="0"/>
        <v>2E-3</v>
      </c>
      <c r="M22">
        <f t="shared" si="3"/>
        <v>3.6000000000000018E-2</v>
      </c>
      <c r="N22">
        <f t="shared" si="1"/>
        <v>0.11348694784212211</v>
      </c>
      <c r="O22">
        <f t="shared" si="2"/>
        <v>7.7486947842122095E-2</v>
      </c>
    </row>
    <row r="23" spans="2:15" x14ac:dyDescent="0.25">
      <c r="B23" s="7">
        <v>24.06</v>
      </c>
      <c r="D23" s="8">
        <v>14.31</v>
      </c>
      <c r="E23" s="8">
        <v>1</v>
      </c>
      <c r="J23" s="7">
        <v>19.5</v>
      </c>
      <c r="K23">
        <v>1</v>
      </c>
      <c r="L23">
        <f t="shared" si="0"/>
        <v>2E-3</v>
      </c>
      <c r="M23">
        <f t="shared" si="3"/>
        <v>3.800000000000002E-2</v>
      </c>
      <c r="N23">
        <f t="shared" si="1"/>
        <v>0.11392554433335025</v>
      </c>
      <c r="O23">
        <f t="shared" si="2"/>
        <v>7.5925544333350234E-2</v>
      </c>
    </row>
    <row r="24" spans="2:15" x14ac:dyDescent="0.25">
      <c r="B24" s="7">
        <v>25.6</v>
      </c>
      <c r="D24" s="8">
        <v>15.141818181818183</v>
      </c>
      <c r="E24" s="8">
        <v>0</v>
      </c>
      <c r="J24" s="7">
        <v>19.61</v>
      </c>
      <c r="K24">
        <v>1</v>
      </c>
      <c r="L24">
        <f t="shared" si="0"/>
        <v>2E-3</v>
      </c>
      <c r="M24">
        <f t="shared" si="3"/>
        <v>4.0000000000000022E-2</v>
      </c>
      <c r="N24">
        <f t="shared" si="1"/>
        <v>0.11880593479842323</v>
      </c>
      <c r="O24">
        <f t="shared" si="2"/>
        <v>7.8805934798423211E-2</v>
      </c>
    </row>
    <row r="25" spans="2:15" x14ac:dyDescent="0.25">
      <c r="B25" s="7">
        <v>27.79</v>
      </c>
      <c r="D25" s="8">
        <v>15.973636363636365</v>
      </c>
      <c r="E25" s="8">
        <v>1</v>
      </c>
      <c r="J25" s="7">
        <v>19.88</v>
      </c>
      <c r="K25">
        <v>1</v>
      </c>
      <c r="L25">
        <f t="shared" si="0"/>
        <v>2E-3</v>
      </c>
      <c r="M25">
        <f t="shared" si="3"/>
        <v>4.2000000000000023E-2</v>
      </c>
      <c r="N25">
        <f t="shared" si="1"/>
        <v>0.13121901910030617</v>
      </c>
      <c r="O25">
        <f t="shared" si="2"/>
        <v>8.9219019100306149E-2</v>
      </c>
    </row>
    <row r="26" spans="2:15" x14ac:dyDescent="0.25">
      <c r="B26" s="7">
        <v>20.73</v>
      </c>
      <c r="D26" s="8">
        <v>16.805454545454545</v>
      </c>
      <c r="E26" s="8">
        <v>1</v>
      </c>
      <c r="J26" s="7">
        <v>19.93</v>
      </c>
      <c r="K26">
        <v>1</v>
      </c>
      <c r="L26">
        <f t="shared" si="0"/>
        <v>2E-3</v>
      </c>
      <c r="M26">
        <f t="shared" si="3"/>
        <v>4.4000000000000025E-2</v>
      </c>
      <c r="N26">
        <f t="shared" si="1"/>
        <v>0.13358541000524454</v>
      </c>
      <c r="O26">
        <f t="shared" si="2"/>
        <v>8.9585410005244517E-2</v>
      </c>
    </row>
    <row r="27" spans="2:15" x14ac:dyDescent="0.25">
      <c r="B27" s="7">
        <v>22.84</v>
      </c>
      <c r="D27" s="8">
        <v>17.637272727272727</v>
      </c>
      <c r="E27" s="8">
        <v>2</v>
      </c>
      <c r="J27" s="7">
        <v>19.989999999999998</v>
      </c>
      <c r="K27">
        <v>1</v>
      </c>
      <c r="L27">
        <f t="shared" si="0"/>
        <v>2E-3</v>
      </c>
      <c r="M27">
        <f t="shared" si="3"/>
        <v>4.6000000000000027E-2</v>
      </c>
      <c r="N27">
        <f t="shared" si="1"/>
        <v>0.1364529936219526</v>
      </c>
      <c r="O27">
        <f t="shared" si="2"/>
        <v>9.0452993621952568E-2</v>
      </c>
    </row>
    <row r="28" spans="2:15" x14ac:dyDescent="0.25">
      <c r="B28" s="7">
        <v>28.14</v>
      </c>
      <c r="D28" s="8">
        <v>18.469090909090909</v>
      </c>
      <c r="E28" s="8">
        <v>6</v>
      </c>
      <c r="J28" s="7">
        <v>20</v>
      </c>
      <c r="K28">
        <v>1</v>
      </c>
      <c r="L28">
        <f t="shared" si="0"/>
        <v>2E-3</v>
      </c>
      <c r="M28">
        <f t="shared" si="3"/>
        <v>4.8000000000000029E-2</v>
      </c>
      <c r="N28">
        <f t="shared" si="1"/>
        <v>0.13693388485679001</v>
      </c>
      <c r="O28">
        <f t="shared" si="2"/>
        <v>8.8933884856789977E-2</v>
      </c>
    </row>
    <row r="29" spans="2:15" x14ac:dyDescent="0.25">
      <c r="B29" s="7">
        <v>26.44</v>
      </c>
      <c r="D29" s="8">
        <v>19.300909090909091</v>
      </c>
      <c r="E29" s="8">
        <v>4</v>
      </c>
      <c r="J29" s="7">
        <v>20.27</v>
      </c>
      <c r="K29">
        <v>1</v>
      </c>
      <c r="L29">
        <f t="shared" si="0"/>
        <v>2E-3</v>
      </c>
      <c r="M29">
        <f t="shared" si="3"/>
        <v>5.0000000000000031E-2</v>
      </c>
      <c r="N29">
        <f t="shared" si="1"/>
        <v>0.15023769645908405</v>
      </c>
      <c r="O29">
        <f t="shared" si="2"/>
        <v>0.10023769645908402</v>
      </c>
    </row>
    <row r="30" spans="2:15" x14ac:dyDescent="0.25">
      <c r="B30" s="7">
        <v>27.16</v>
      </c>
      <c r="D30" s="8">
        <v>20.132727272727273</v>
      </c>
      <c r="E30" s="8">
        <v>9</v>
      </c>
      <c r="J30" s="7">
        <v>20.309999999999999</v>
      </c>
      <c r="K30">
        <v>1</v>
      </c>
      <c r="L30">
        <f t="shared" si="0"/>
        <v>2E-3</v>
      </c>
      <c r="M30">
        <f t="shared" si="3"/>
        <v>5.2000000000000032E-2</v>
      </c>
      <c r="N30">
        <f t="shared" si="1"/>
        <v>0.1522610769933512</v>
      </c>
      <c r="O30">
        <f t="shared" si="2"/>
        <v>0.10026107699335117</v>
      </c>
    </row>
    <row r="31" spans="2:15" x14ac:dyDescent="0.25">
      <c r="B31" s="7">
        <v>24.45</v>
      </c>
      <c r="D31" s="8">
        <v>20.964545454545455</v>
      </c>
      <c r="E31" s="8">
        <v>21</v>
      </c>
      <c r="J31" s="7">
        <v>20.34</v>
      </c>
      <c r="K31">
        <v>1</v>
      </c>
      <c r="L31">
        <f t="shared" si="0"/>
        <v>2E-3</v>
      </c>
      <c r="M31">
        <f t="shared" si="3"/>
        <v>5.4000000000000034E-2</v>
      </c>
      <c r="N31">
        <f t="shared" si="1"/>
        <v>0.15378749429020963</v>
      </c>
      <c r="O31">
        <f t="shared" si="2"/>
        <v>9.9787494290209597E-2</v>
      </c>
    </row>
    <row r="32" spans="2:15" x14ac:dyDescent="0.25">
      <c r="B32" s="7">
        <v>23.87</v>
      </c>
      <c r="D32" s="8">
        <v>21.796363636363637</v>
      </c>
      <c r="E32" s="8">
        <v>33</v>
      </c>
      <c r="J32" s="7">
        <v>20.34</v>
      </c>
      <c r="K32">
        <v>1</v>
      </c>
      <c r="L32">
        <f t="shared" si="0"/>
        <v>2E-3</v>
      </c>
      <c r="M32">
        <f t="shared" si="3"/>
        <v>5.6000000000000036E-2</v>
      </c>
      <c r="N32">
        <f t="shared" si="1"/>
        <v>0.15378749429020963</v>
      </c>
      <c r="O32">
        <f t="shared" si="2"/>
        <v>9.7787494290209595E-2</v>
      </c>
    </row>
    <row r="33" spans="2:15" x14ac:dyDescent="0.25">
      <c r="B33" s="7">
        <v>24.76</v>
      </c>
      <c r="D33" s="8">
        <v>22.628181818181815</v>
      </c>
      <c r="E33" s="8">
        <v>38</v>
      </c>
      <c r="J33" s="7">
        <v>20.41</v>
      </c>
      <c r="K33">
        <v>1</v>
      </c>
      <c r="L33">
        <f t="shared" si="0"/>
        <v>2E-3</v>
      </c>
      <c r="M33">
        <f t="shared" si="3"/>
        <v>5.8000000000000038E-2</v>
      </c>
      <c r="N33">
        <f t="shared" si="1"/>
        <v>0.15737874097007223</v>
      </c>
      <c r="O33">
        <f t="shared" si="2"/>
        <v>9.9378740970072196E-2</v>
      </c>
    </row>
    <row r="34" spans="2:15" x14ac:dyDescent="0.25">
      <c r="B34" s="7">
        <v>19.45</v>
      </c>
      <c r="D34" s="8">
        <v>23.46</v>
      </c>
      <c r="E34" s="8">
        <v>53</v>
      </c>
      <c r="J34" s="7">
        <v>20.43</v>
      </c>
      <c r="K34">
        <v>1</v>
      </c>
      <c r="L34">
        <f t="shared" si="0"/>
        <v>2E-3</v>
      </c>
      <c r="M34">
        <f t="shared" si="3"/>
        <v>6.0000000000000039E-2</v>
      </c>
      <c r="N34">
        <f t="shared" si="1"/>
        <v>0.15841242450388265</v>
      </c>
      <c r="O34">
        <f t="shared" si="2"/>
        <v>9.8412424503882615E-2</v>
      </c>
    </row>
    <row r="35" spans="2:15" x14ac:dyDescent="0.25">
      <c r="B35" s="7">
        <v>23.89</v>
      </c>
      <c r="D35" s="8">
        <v>24.291818181818179</v>
      </c>
      <c r="E35" s="8">
        <v>42</v>
      </c>
      <c r="J35" s="7">
        <v>20.43</v>
      </c>
      <c r="K35">
        <v>1</v>
      </c>
      <c r="L35">
        <f t="shared" si="0"/>
        <v>2E-3</v>
      </c>
      <c r="M35">
        <f t="shared" si="3"/>
        <v>6.2000000000000041E-2</v>
      </c>
      <c r="N35">
        <f t="shared" si="1"/>
        <v>0.15841242450388265</v>
      </c>
      <c r="O35">
        <f t="shared" si="2"/>
        <v>9.6412424503882613E-2</v>
      </c>
    </row>
    <row r="36" spans="2:15" x14ac:dyDescent="0.25">
      <c r="B36" s="7">
        <v>25.76</v>
      </c>
      <c r="D36" s="8">
        <v>25.123636363636365</v>
      </c>
      <c r="E36" s="8">
        <v>53</v>
      </c>
      <c r="J36" s="7">
        <v>20.49</v>
      </c>
      <c r="K36">
        <v>1</v>
      </c>
      <c r="L36">
        <f t="shared" si="0"/>
        <v>2E-3</v>
      </c>
      <c r="M36">
        <f t="shared" si="3"/>
        <v>6.4000000000000043E-2</v>
      </c>
      <c r="N36">
        <f t="shared" si="1"/>
        <v>0.1615337765822463</v>
      </c>
      <c r="O36">
        <f t="shared" si="2"/>
        <v>9.7533776582246254E-2</v>
      </c>
    </row>
    <row r="37" spans="2:15" x14ac:dyDescent="0.25">
      <c r="B37" s="7">
        <v>29.1</v>
      </c>
      <c r="D37" s="8">
        <v>25.955454545454543</v>
      </c>
      <c r="E37" s="8">
        <v>53</v>
      </c>
      <c r="J37" s="7">
        <v>20.53</v>
      </c>
      <c r="K37">
        <v>1</v>
      </c>
      <c r="L37">
        <f t="shared" si="0"/>
        <v>2E-3</v>
      </c>
      <c r="M37">
        <f t="shared" si="3"/>
        <v>6.6000000000000045E-2</v>
      </c>
      <c r="N37">
        <f t="shared" si="1"/>
        <v>0.16363159586526593</v>
      </c>
      <c r="O37">
        <f t="shared" si="2"/>
        <v>9.7631595865265888E-2</v>
      </c>
    </row>
    <row r="38" spans="2:15" x14ac:dyDescent="0.25">
      <c r="B38" s="7">
        <v>23.04</v>
      </c>
      <c r="D38" s="8">
        <v>26.787272727272725</v>
      </c>
      <c r="E38" s="8">
        <v>35</v>
      </c>
      <c r="J38" s="7">
        <v>20.53</v>
      </c>
      <c r="K38">
        <v>1</v>
      </c>
      <c r="L38">
        <f t="shared" si="0"/>
        <v>2E-3</v>
      </c>
      <c r="M38">
        <f t="shared" si="3"/>
        <v>6.8000000000000047E-2</v>
      </c>
      <c r="N38">
        <f t="shared" si="1"/>
        <v>0.16363159586526593</v>
      </c>
      <c r="O38">
        <f t="shared" si="2"/>
        <v>9.5631595865265887E-2</v>
      </c>
    </row>
    <row r="39" spans="2:15" x14ac:dyDescent="0.25">
      <c r="B39" s="7">
        <v>25.83</v>
      </c>
      <c r="D39" s="8">
        <v>27.619090909090907</v>
      </c>
      <c r="E39" s="8">
        <v>44</v>
      </c>
      <c r="J39" s="7">
        <v>20.54</v>
      </c>
      <c r="K39">
        <v>1</v>
      </c>
      <c r="L39">
        <f t="shared" si="0"/>
        <v>2E-3</v>
      </c>
      <c r="M39">
        <f t="shared" si="3"/>
        <v>7.0000000000000048E-2</v>
      </c>
      <c r="N39">
        <f t="shared" si="1"/>
        <v>0.16415816542320116</v>
      </c>
      <c r="O39">
        <f t="shared" si="2"/>
        <v>9.4158165423201115E-2</v>
      </c>
    </row>
    <row r="40" spans="2:15" x14ac:dyDescent="0.25">
      <c r="B40" s="7">
        <v>22.47</v>
      </c>
      <c r="D40" s="8">
        <v>28.450909090909089</v>
      </c>
      <c r="E40" s="8">
        <v>39</v>
      </c>
      <c r="J40" s="7">
        <v>20.58</v>
      </c>
      <c r="K40">
        <v>1</v>
      </c>
      <c r="L40">
        <f t="shared" si="0"/>
        <v>2E-3</v>
      </c>
      <c r="M40">
        <f t="shared" si="3"/>
        <v>7.200000000000005E-2</v>
      </c>
      <c r="N40">
        <f t="shared" si="1"/>
        <v>0.16627290260366434</v>
      </c>
      <c r="O40">
        <f t="shared" si="2"/>
        <v>9.4272902603664291E-2</v>
      </c>
    </row>
    <row r="41" spans="2:15" x14ac:dyDescent="0.25">
      <c r="B41" s="7">
        <v>25.84</v>
      </c>
      <c r="D41" s="8">
        <v>29.282727272727271</v>
      </c>
      <c r="E41" s="8">
        <v>30</v>
      </c>
      <c r="J41" s="7">
        <v>20.64</v>
      </c>
      <c r="K41">
        <v>1</v>
      </c>
      <c r="L41">
        <f t="shared" si="0"/>
        <v>2E-3</v>
      </c>
      <c r="M41">
        <f t="shared" si="3"/>
        <v>7.4000000000000052E-2</v>
      </c>
      <c r="N41">
        <f t="shared" si="1"/>
        <v>0.16947038522052482</v>
      </c>
      <c r="O41">
        <f t="shared" si="2"/>
        <v>9.547038522052477E-2</v>
      </c>
    </row>
    <row r="42" spans="2:15" x14ac:dyDescent="0.25">
      <c r="B42" s="7">
        <v>30.56</v>
      </c>
      <c r="D42" s="8">
        <v>30.11454545454545</v>
      </c>
      <c r="E42" s="8">
        <v>17</v>
      </c>
      <c r="J42" s="7">
        <v>20.7</v>
      </c>
      <c r="K42">
        <v>1</v>
      </c>
      <c r="L42">
        <f t="shared" si="0"/>
        <v>2E-3</v>
      </c>
      <c r="M42">
        <f t="shared" si="3"/>
        <v>7.6000000000000054E-2</v>
      </c>
      <c r="N42">
        <f t="shared" si="1"/>
        <v>0.17269832005278379</v>
      </c>
      <c r="O42">
        <f t="shared" si="2"/>
        <v>9.669832005278374E-2</v>
      </c>
    </row>
    <row r="43" spans="2:15" x14ac:dyDescent="0.25">
      <c r="B43" s="7">
        <v>22.71</v>
      </c>
      <c r="D43" s="8">
        <v>30.946363636363635</v>
      </c>
      <c r="E43" s="8">
        <v>8</v>
      </c>
      <c r="J43" s="7">
        <v>20.73</v>
      </c>
      <c r="K43">
        <v>1</v>
      </c>
      <c r="L43">
        <f t="shared" si="0"/>
        <v>2E-3</v>
      </c>
      <c r="M43">
        <f t="shared" si="3"/>
        <v>7.8000000000000055E-2</v>
      </c>
      <c r="N43">
        <f t="shared" si="1"/>
        <v>0.17432370704968791</v>
      </c>
      <c r="O43">
        <f t="shared" si="2"/>
        <v>9.6323707049687859E-2</v>
      </c>
    </row>
    <row r="44" spans="2:15" x14ac:dyDescent="0.25">
      <c r="B44" s="7">
        <v>26.29</v>
      </c>
      <c r="D44" s="8">
        <v>31.778181818181814</v>
      </c>
      <c r="E44" s="8">
        <v>6</v>
      </c>
      <c r="J44" s="7">
        <v>20.77</v>
      </c>
      <c r="K44">
        <v>1</v>
      </c>
      <c r="L44">
        <f t="shared" si="0"/>
        <v>2E-3</v>
      </c>
      <c r="M44">
        <f t="shared" si="3"/>
        <v>8.0000000000000057E-2</v>
      </c>
      <c r="N44">
        <f t="shared" si="1"/>
        <v>0.17650273224043714</v>
      </c>
      <c r="O44">
        <f t="shared" si="2"/>
        <v>9.6502732240437081E-2</v>
      </c>
    </row>
    <row r="45" spans="2:15" ht="15.75" thickBot="1" x14ac:dyDescent="0.3">
      <c r="B45" s="7">
        <v>26.06</v>
      </c>
      <c r="D45" s="9" t="s">
        <v>34</v>
      </c>
      <c r="E45" s="9">
        <v>4</v>
      </c>
      <c r="J45" s="7">
        <v>20.77</v>
      </c>
      <c r="K45">
        <v>1</v>
      </c>
      <c r="L45">
        <f t="shared" si="0"/>
        <v>2E-3</v>
      </c>
      <c r="M45">
        <f t="shared" si="3"/>
        <v>8.2000000000000059E-2</v>
      </c>
      <c r="N45">
        <f t="shared" si="1"/>
        <v>0.17650273224043714</v>
      </c>
      <c r="O45">
        <f t="shared" si="2"/>
        <v>9.4502732240437079E-2</v>
      </c>
    </row>
    <row r="46" spans="2:15" x14ac:dyDescent="0.25">
      <c r="B46" s="7">
        <v>25.28</v>
      </c>
      <c r="J46" s="7">
        <v>20.85</v>
      </c>
      <c r="K46">
        <v>1</v>
      </c>
      <c r="L46">
        <f t="shared" si="0"/>
        <v>2E-3</v>
      </c>
      <c r="M46">
        <f t="shared" si="3"/>
        <v>8.4000000000000061E-2</v>
      </c>
      <c r="N46">
        <f t="shared" si="1"/>
        <v>0.18090138557580074</v>
      </c>
      <c r="O46">
        <f t="shared" si="2"/>
        <v>9.6901385575800678E-2</v>
      </c>
    </row>
    <row r="47" spans="2:15" x14ac:dyDescent="0.25">
      <c r="B47" s="7">
        <v>26.99</v>
      </c>
      <c r="J47" s="7">
        <v>20.87</v>
      </c>
      <c r="K47">
        <v>1</v>
      </c>
      <c r="L47">
        <f t="shared" si="0"/>
        <v>2E-3</v>
      </c>
      <c r="M47">
        <f t="shared" si="3"/>
        <v>8.6000000000000063E-2</v>
      </c>
      <c r="N47">
        <f t="shared" si="1"/>
        <v>0.18200950785836342</v>
      </c>
      <c r="O47">
        <f t="shared" si="2"/>
        <v>9.600950785836336E-2</v>
      </c>
    </row>
    <row r="48" spans="2:15" x14ac:dyDescent="0.25">
      <c r="B48" s="7">
        <v>28.24</v>
      </c>
      <c r="J48" s="7">
        <v>20.88</v>
      </c>
      <c r="K48">
        <v>1</v>
      </c>
      <c r="L48">
        <f t="shared" si="0"/>
        <v>2E-3</v>
      </c>
      <c r="M48">
        <f t="shared" si="3"/>
        <v>8.8000000000000064E-2</v>
      </c>
      <c r="N48">
        <f t="shared" si="1"/>
        <v>0.18256483784195296</v>
      </c>
      <c r="O48">
        <f t="shared" si="2"/>
        <v>9.4564837841952895E-2</v>
      </c>
    </row>
    <row r="49" spans="2:15" x14ac:dyDescent="0.25">
      <c r="B49" s="7">
        <v>24.27</v>
      </c>
      <c r="J49" s="7">
        <v>20.92</v>
      </c>
      <c r="K49">
        <v>1</v>
      </c>
      <c r="L49">
        <f t="shared" si="0"/>
        <v>2E-3</v>
      </c>
      <c r="M49">
        <f t="shared" si="3"/>
        <v>9.0000000000000066E-2</v>
      </c>
      <c r="N49">
        <f t="shared" si="1"/>
        <v>0.18479461672503353</v>
      </c>
      <c r="O49">
        <f t="shared" si="2"/>
        <v>9.4794616725033462E-2</v>
      </c>
    </row>
    <row r="50" spans="2:15" x14ac:dyDescent="0.25">
      <c r="B50" s="7">
        <v>23.39</v>
      </c>
      <c r="J50" s="7">
        <v>21.02</v>
      </c>
      <c r="K50">
        <v>1</v>
      </c>
      <c r="L50">
        <f t="shared" si="0"/>
        <v>2E-3</v>
      </c>
      <c r="M50">
        <f t="shared" si="3"/>
        <v>9.2000000000000068E-2</v>
      </c>
      <c r="N50">
        <f t="shared" si="1"/>
        <v>0.19042827657378741</v>
      </c>
      <c r="O50">
        <f t="shared" si="2"/>
        <v>9.8428276573787346E-2</v>
      </c>
    </row>
    <row r="51" spans="2:15" x14ac:dyDescent="0.25">
      <c r="B51" s="7">
        <v>18.28</v>
      </c>
      <c r="J51" s="7">
        <v>21.04</v>
      </c>
      <c r="K51">
        <v>1</v>
      </c>
      <c r="L51">
        <f t="shared" si="0"/>
        <v>2E-3</v>
      </c>
      <c r="M51">
        <f t="shared" si="3"/>
        <v>9.400000000000007E-2</v>
      </c>
      <c r="N51">
        <f t="shared" si="1"/>
        <v>0.1915651592820044</v>
      </c>
      <c r="O51">
        <f t="shared" si="2"/>
        <v>9.7565159282004335E-2</v>
      </c>
    </row>
    <row r="52" spans="2:15" x14ac:dyDescent="0.25">
      <c r="B52" s="7">
        <v>23.36</v>
      </c>
      <c r="J52" s="7">
        <v>21.14</v>
      </c>
      <c r="K52">
        <v>1</v>
      </c>
      <c r="L52">
        <f t="shared" si="0"/>
        <v>2E-3</v>
      </c>
      <c r="M52">
        <f t="shared" si="3"/>
        <v>9.6000000000000071E-2</v>
      </c>
      <c r="N52">
        <f t="shared" si="1"/>
        <v>0.1973003265154207</v>
      </c>
      <c r="O52">
        <f t="shared" si="2"/>
        <v>0.10130032651542063</v>
      </c>
    </row>
    <row r="53" spans="2:15" x14ac:dyDescent="0.25">
      <c r="B53" s="7">
        <v>27.82</v>
      </c>
      <c r="J53" s="7">
        <v>21.16</v>
      </c>
      <c r="K53">
        <v>1</v>
      </c>
      <c r="L53">
        <f t="shared" si="0"/>
        <v>2E-3</v>
      </c>
      <c r="M53">
        <f t="shared" si="3"/>
        <v>9.8000000000000073E-2</v>
      </c>
      <c r="N53">
        <f t="shared" si="1"/>
        <v>0.19845751070057013</v>
      </c>
      <c r="O53">
        <f t="shared" si="2"/>
        <v>0.10045751070057006</v>
      </c>
    </row>
    <row r="54" spans="2:15" x14ac:dyDescent="0.25">
      <c r="B54" s="7">
        <v>25.9</v>
      </c>
      <c r="J54" s="7">
        <v>21.18</v>
      </c>
      <c r="K54">
        <v>1</v>
      </c>
      <c r="L54">
        <f t="shared" si="0"/>
        <v>2E-3</v>
      </c>
      <c r="M54">
        <f t="shared" si="3"/>
        <v>0.10000000000000007</v>
      </c>
      <c r="N54">
        <f t="shared" si="1"/>
        <v>0.19961807846520835</v>
      </c>
      <c r="O54">
        <f t="shared" si="2"/>
        <v>9.9618078465208273E-2</v>
      </c>
    </row>
    <row r="55" spans="2:15" x14ac:dyDescent="0.25">
      <c r="B55" s="7">
        <v>18.93</v>
      </c>
      <c r="J55" s="7">
        <v>21.22</v>
      </c>
      <c r="K55">
        <v>1</v>
      </c>
      <c r="L55">
        <f t="shared" si="0"/>
        <v>2E-3</v>
      </c>
      <c r="M55">
        <f t="shared" si="3"/>
        <v>0.10200000000000008</v>
      </c>
      <c r="N55">
        <f t="shared" si="1"/>
        <v>0.20194936473295094</v>
      </c>
      <c r="O55">
        <f t="shared" si="2"/>
        <v>9.9949364732950866E-2</v>
      </c>
    </row>
    <row r="56" spans="2:15" x14ac:dyDescent="0.25">
      <c r="B56" s="7">
        <v>21.38</v>
      </c>
      <c r="J56" s="7">
        <v>21.24</v>
      </c>
      <c r="K56">
        <v>1</v>
      </c>
      <c r="L56">
        <f t="shared" si="0"/>
        <v>2E-3</v>
      </c>
      <c r="M56">
        <f t="shared" si="3"/>
        <v>0.10400000000000008</v>
      </c>
      <c r="N56">
        <f t="shared" si="1"/>
        <v>0.20312008323605535</v>
      </c>
      <c r="O56">
        <f t="shared" si="2"/>
        <v>9.912008323605527E-2</v>
      </c>
    </row>
    <row r="57" spans="2:15" x14ac:dyDescent="0.25">
      <c r="B57" s="7">
        <v>25.13</v>
      </c>
      <c r="J57" s="7">
        <v>21.24</v>
      </c>
      <c r="K57">
        <v>1</v>
      </c>
      <c r="L57">
        <f t="shared" si="0"/>
        <v>2E-3</v>
      </c>
      <c r="M57">
        <f t="shared" si="3"/>
        <v>0.10600000000000008</v>
      </c>
      <c r="N57">
        <f t="shared" si="1"/>
        <v>0.20312008323605535</v>
      </c>
      <c r="O57">
        <f t="shared" si="2"/>
        <v>9.7120083236055268E-2</v>
      </c>
    </row>
    <row r="58" spans="2:15" x14ac:dyDescent="0.25">
      <c r="B58" s="7">
        <v>32.090000000000003</v>
      </c>
      <c r="J58" s="7">
        <v>21.3</v>
      </c>
      <c r="K58">
        <v>1</v>
      </c>
      <c r="L58">
        <f t="shared" si="0"/>
        <v>2E-3</v>
      </c>
      <c r="M58">
        <f t="shared" si="3"/>
        <v>0.10800000000000008</v>
      </c>
      <c r="N58">
        <f t="shared" si="1"/>
        <v>0.20665254022230123</v>
      </c>
      <c r="O58">
        <f t="shared" si="2"/>
        <v>9.8652540222301147E-2</v>
      </c>
    </row>
    <row r="59" spans="2:15" x14ac:dyDescent="0.25">
      <c r="B59" s="7">
        <v>27.95</v>
      </c>
      <c r="J59" s="7">
        <v>21.34</v>
      </c>
      <c r="K59">
        <v>1</v>
      </c>
      <c r="L59">
        <f t="shared" si="0"/>
        <v>2E-3</v>
      </c>
      <c r="M59">
        <f t="shared" si="3"/>
        <v>0.11000000000000008</v>
      </c>
      <c r="N59">
        <f t="shared" si="1"/>
        <v>0.2090244294439087</v>
      </c>
      <c r="O59">
        <f t="shared" si="2"/>
        <v>9.9024429443908615E-2</v>
      </c>
    </row>
    <row r="60" spans="2:15" x14ac:dyDescent="0.25">
      <c r="B60" s="7">
        <v>19.61</v>
      </c>
      <c r="J60" s="7">
        <v>21.38</v>
      </c>
      <c r="K60">
        <v>1</v>
      </c>
      <c r="L60">
        <f t="shared" si="0"/>
        <v>2E-3</v>
      </c>
      <c r="M60">
        <f t="shared" si="3"/>
        <v>0.11200000000000009</v>
      </c>
      <c r="N60">
        <f t="shared" si="1"/>
        <v>0.21140985298347117</v>
      </c>
      <c r="O60">
        <f t="shared" si="2"/>
        <v>9.9409852983471089E-2</v>
      </c>
    </row>
    <row r="61" spans="2:15" x14ac:dyDescent="0.25">
      <c r="B61" s="7">
        <v>21.51</v>
      </c>
      <c r="J61" s="7">
        <v>21.38</v>
      </c>
      <c r="K61">
        <v>1</v>
      </c>
      <c r="L61">
        <f t="shared" si="0"/>
        <v>2E-3</v>
      </c>
      <c r="M61">
        <f t="shared" si="3"/>
        <v>0.11400000000000009</v>
      </c>
      <c r="N61">
        <f t="shared" si="1"/>
        <v>0.21140985298347117</v>
      </c>
      <c r="O61">
        <f t="shared" si="2"/>
        <v>9.7409852983471087E-2</v>
      </c>
    </row>
    <row r="62" spans="2:15" x14ac:dyDescent="0.25">
      <c r="B62" s="7">
        <v>25.94</v>
      </c>
      <c r="J62" s="7">
        <v>21.4</v>
      </c>
      <c r="K62">
        <v>1</v>
      </c>
      <c r="L62">
        <f t="shared" si="0"/>
        <v>2E-3</v>
      </c>
      <c r="M62">
        <f t="shared" si="3"/>
        <v>0.11600000000000009</v>
      </c>
      <c r="N62">
        <f t="shared" si="1"/>
        <v>0.21260764012248551</v>
      </c>
      <c r="O62">
        <f t="shared" si="2"/>
        <v>9.6607640122485419E-2</v>
      </c>
    </row>
    <row r="63" spans="2:15" x14ac:dyDescent="0.25">
      <c r="B63" s="7">
        <v>29.02</v>
      </c>
      <c r="J63" s="7">
        <v>21.4</v>
      </c>
      <c r="K63">
        <v>1</v>
      </c>
      <c r="L63">
        <f t="shared" si="0"/>
        <v>2E-3</v>
      </c>
      <c r="M63">
        <f t="shared" si="3"/>
        <v>0.11800000000000009</v>
      </c>
      <c r="N63">
        <f t="shared" si="1"/>
        <v>0.21260764012248551</v>
      </c>
      <c r="O63">
        <f t="shared" si="2"/>
        <v>9.4607640122485417E-2</v>
      </c>
    </row>
    <row r="64" spans="2:15" x14ac:dyDescent="0.25">
      <c r="B64" s="7">
        <v>32.61</v>
      </c>
      <c r="J64" s="7">
        <v>21.42</v>
      </c>
      <c r="K64">
        <v>1</v>
      </c>
      <c r="L64">
        <f t="shared" si="0"/>
        <v>2E-3</v>
      </c>
      <c r="M64">
        <f t="shared" si="3"/>
        <v>0.12000000000000009</v>
      </c>
      <c r="N64">
        <f t="shared" si="1"/>
        <v>0.21380881084098879</v>
      </c>
      <c r="O64">
        <f t="shared" si="2"/>
        <v>9.3808810840988702E-2</v>
      </c>
    </row>
    <row r="65" spans="2:15" x14ac:dyDescent="0.25">
      <c r="B65" s="7">
        <v>24.83</v>
      </c>
      <c r="J65" s="7">
        <v>21.43</v>
      </c>
      <c r="K65">
        <v>1</v>
      </c>
      <c r="L65">
        <f t="shared" si="0"/>
        <v>2E-3</v>
      </c>
      <c r="M65">
        <f t="shared" si="3"/>
        <v>0.12200000000000009</v>
      </c>
      <c r="N65">
        <f t="shared" si="1"/>
        <v>0.21441066504254849</v>
      </c>
      <c r="O65">
        <f t="shared" si="2"/>
        <v>9.2410665042548398E-2</v>
      </c>
    </row>
    <row r="66" spans="2:15" x14ac:dyDescent="0.25">
      <c r="B66" s="7">
        <v>25.71</v>
      </c>
      <c r="J66" s="7">
        <v>21.45</v>
      </c>
      <c r="K66">
        <v>1</v>
      </c>
      <c r="L66">
        <f t="shared" si="0"/>
        <v>2E-3</v>
      </c>
      <c r="M66">
        <f t="shared" si="3"/>
        <v>0.1240000000000001</v>
      </c>
      <c r="N66">
        <f t="shared" si="1"/>
        <v>0.21561691113028469</v>
      </c>
      <c r="O66">
        <f t="shared" si="2"/>
        <v>9.1616911130284598E-2</v>
      </c>
    </row>
    <row r="67" spans="2:15" x14ac:dyDescent="0.25">
      <c r="B67" s="7">
        <v>26.86</v>
      </c>
      <c r="J67" s="7">
        <v>21.46</v>
      </c>
      <c r="K67">
        <v>1</v>
      </c>
      <c r="L67">
        <f t="shared" si="0"/>
        <v>2E-3</v>
      </c>
      <c r="M67">
        <f t="shared" si="3"/>
        <v>0.12600000000000008</v>
      </c>
      <c r="N67">
        <f t="shared" si="1"/>
        <v>0.21622130301646117</v>
      </c>
      <c r="O67">
        <f t="shared" si="2"/>
        <v>9.0221303016461085E-2</v>
      </c>
    </row>
    <row r="68" spans="2:15" x14ac:dyDescent="0.25">
      <c r="B68" s="7">
        <v>27.62</v>
      </c>
      <c r="J68" s="7">
        <v>21.5</v>
      </c>
      <c r="K68">
        <v>1</v>
      </c>
      <c r="L68">
        <f t="shared" si="0"/>
        <v>2E-3</v>
      </c>
      <c r="M68">
        <f t="shared" si="3"/>
        <v>0.12800000000000009</v>
      </c>
      <c r="N68">
        <f t="shared" si="1"/>
        <v>0.21864732950988852</v>
      </c>
      <c r="O68">
        <f t="shared" si="2"/>
        <v>9.0647329509888436E-2</v>
      </c>
    </row>
    <row r="69" spans="2:15" x14ac:dyDescent="0.25">
      <c r="B69" s="7">
        <v>26.87</v>
      </c>
      <c r="J69" s="7">
        <v>21.51</v>
      </c>
      <c r="K69">
        <v>1</v>
      </c>
      <c r="L69">
        <f t="shared" si="0"/>
        <v>2E-3</v>
      </c>
      <c r="M69">
        <f t="shared" si="3"/>
        <v>0.13000000000000009</v>
      </c>
      <c r="N69">
        <f t="shared" si="1"/>
        <v>0.21925595087042593</v>
      </c>
      <c r="O69">
        <f t="shared" si="2"/>
        <v>8.9255950870425843E-2</v>
      </c>
    </row>
    <row r="70" spans="2:15" x14ac:dyDescent="0.25">
      <c r="B70" s="7">
        <v>21.24</v>
      </c>
      <c r="J70" s="7">
        <v>21.54</v>
      </c>
      <c r="K70">
        <v>1</v>
      </c>
      <c r="L70">
        <f t="shared" ref="L70:L133" si="4">K70/$E$20</f>
        <v>2E-3</v>
      </c>
      <c r="M70">
        <f t="shared" si="3"/>
        <v>0.13200000000000009</v>
      </c>
      <c r="N70">
        <f t="shared" ref="N70:N133" si="5">(J70-$H$7)^2/(($H$8-$H$7)*($H$9-$H$7))</f>
        <v>0.22108689032127082</v>
      </c>
      <c r="O70">
        <f t="shared" ref="O70:O133" si="6">ABS(M70-N70)</f>
        <v>8.9086890321270734E-2</v>
      </c>
    </row>
    <row r="71" spans="2:15" x14ac:dyDescent="0.25">
      <c r="B71" s="7">
        <v>22.73</v>
      </c>
      <c r="J71" s="7">
        <v>21.56</v>
      </c>
      <c r="K71">
        <v>1</v>
      </c>
      <c r="L71">
        <f t="shared" si="4"/>
        <v>2E-3</v>
      </c>
      <c r="M71">
        <f t="shared" ref="M71:M134" si="7">M70+L71</f>
        <v>0.13400000000000009</v>
      </c>
      <c r="N71">
        <f t="shared" si="5"/>
        <v>0.22231174609619508</v>
      </c>
      <c r="O71">
        <f t="shared" si="6"/>
        <v>8.8311746096194993E-2</v>
      </c>
    </row>
    <row r="72" spans="2:15" x14ac:dyDescent="0.25">
      <c r="B72" s="7">
        <v>26.1</v>
      </c>
      <c r="J72" s="7">
        <v>21.56</v>
      </c>
      <c r="K72">
        <v>1</v>
      </c>
      <c r="L72">
        <f t="shared" si="4"/>
        <v>2E-3</v>
      </c>
      <c r="M72">
        <f t="shared" si="7"/>
        <v>0.13600000000000009</v>
      </c>
      <c r="N72">
        <f t="shared" si="5"/>
        <v>0.22231174609619508</v>
      </c>
      <c r="O72">
        <f t="shared" si="6"/>
        <v>8.6311746096194991E-2</v>
      </c>
    </row>
    <row r="73" spans="2:15" x14ac:dyDescent="0.25">
      <c r="B73" s="7">
        <v>21.4</v>
      </c>
      <c r="J73" s="7">
        <v>21.57</v>
      </c>
      <c r="K73">
        <v>1</v>
      </c>
      <c r="L73">
        <f t="shared" si="4"/>
        <v>2E-3</v>
      </c>
      <c r="M73">
        <f t="shared" si="7"/>
        <v>0.13800000000000009</v>
      </c>
      <c r="N73">
        <f t="shared" si="5"/>
        <v>0.22292544282596563</v>
      </c>
      <c r="O73">
        <f t="shared" si="6"/>
        <v>8.4925442825965536E-2</v>
      </c>
    </row>
    <row r="74" spans="2:15" x14ac:dyDescent="0.25">
      <c r="B74" s="7">
        <v>28</v>
      </c>
      <c r="J74" s="7">
        <v>21.59</v>
      </c>
      <c r="K74">
        <v>1</v>
      </c>
      <c r="L74">
        <f t="shared" si="4"/>
        <v>2E-3</v>
      </c>
      <c r="M74">
        <f t="shared" si="7"/>
        <v>0.1400000000000001</v>
      </c>
      <c r="N74">
        <f t="shared" si="5"/>
        <v>0.224155373970123</v>
      </c>
      <c r="O74">
        <f t="shared" si="6"/>
        <v>8.4155373970122904E-2</v>
      </c>
    </row>
    <row r="75" spans="2:15" x14ac:dyDescent="0.25">
      <c r="B75" s="7">
        <v>27.23</v>
      </c>
      <c r="J75" s="7">
        <v>21.61</v>
      </c>
      <c r="K75">
        <v>1</v>
      </c>
      <c r="L75">
        <f t="shared" si="4"/>
        <v>2E-3</v>
      </c>
      <c r="M75">
        <f t="shared" si="7"/>
        <v>0.1420000000000001</v>
      </c>
      <c r="N75">
        <f t="shared" si="5"/>
        <v>0.22538868869376913</v>
      </c>
      <c r="O75">
        <f t="shared" si="6"/>
        <v>8.3388688693769031E-2</v>
      </c>
    </row>
    <row r="76" spans="2:15" x14ac:dyDescent="0.25">
      <c r="B76" s="7">
        <v>25.26</v>
      </c>
      <c r="J76" s="7">
        <v>21.62</v>
      </c>
      <c r="K76">
        <v>1</v>
      </c>
      <c r="L76">
        <f t="shared" si="4"/>
        <v>2E-3</v>
      </c>
      <c r="M76">
        <f t="shared" si="7"/>
        <v>0.1440000000000001</v>
      </c>
      <c r="N76">
        <f t="shared" si="5"/>
        <v>0.22600661489790058</v>
      </c>
      <c r="O76">
        <f t="shared" si="6"/>
        <v>8.2006614897900482E-2</v>
      </c>
    </row>
    <row r="77" spans="2:15" x14ac:dyDescent="0.25">
      <c r="B77" s="7">
        <v>24.64</v>
      </c>
      <c r="J77" s="7">
        <v>21.62</v>
      </c>
      <c r="K77">
        <v>1</v>
      </c>
      <c r="L77">
        <f t="shared" si="4"/>
        <v>2E-3</v>
      </c>
      <c r="M77">
        <f t="shared" si="7"/>
        <v>0.1460000000000001</v>
      </c>
      <c r="N77">
        <f t="shared" si="5"/>
        <v>0.22600661489790058</v>
      </c>
      <c r="O77">
        <f t="shared" si="6"/>
        <v>8.000661489790048E-2</v>
      </c>
    </row>
    <row r="78" spans="2:15" x14ac:dyDescent="0.25">
      <c r="B78" s="7">
        <v>31.68</v>
      </c>
      <c r="J78" s="7">
        <v>21.66</v>
      </c>
      <c r="K78">
        <v>1</v>
      </c>
      <c r="L78">
        <f t="shared" si="4"/>
        <v>2E-3</v>
      </c>
      <c r="M78">
        <f t="shared" si="7"/>
        <v>0.1480000000000001</v>
      </c>
      <c r="N78">
        <f t="shared" si="5"/>
        <v>0.22848677866314776</v>
      </c>
      <c r="O78">
        <f t="shared" si="6"/>
        <v>8.0486778663147657E-2</v>
      </c>
    </row>
    <row r="79" spans="2:15" x14ac:dyDescent="0.25">
      <c r="B79" s="7">
        <v>23.4</v>
      </c>
      <c r="J79" s="7">
        <v>21.74</v>
      </c>
      <c r="K79">
        <v>1</v>
      </c>
      <c r="L79">
        <f t="shared" si="4"/>
        <v>2E-3</v>
      </c>
      <c r="M79">
        <f t="shared" si="7"/>
        <v>0.15000000000000011</v>
      </c>
      <c r="N79">
        <f t="shared" si="5"/>
        <v>0.23348770914750705</v>
      </c>
      <c r="O79">
        <f t="shared" si="6"/>
        <v>8.3487709147506944E-2</v>
      </c>
    </row>
    <row r="80" spans="2:15" x14ac:dyDescent="0.25">
      <c r="B80" s="7">
        <v>27.28</v>
      </c>
      <c r="J80" s="7">
        <v>21.75</v>
      </c>
      <c r="K80">
        <v>1</v>
      </c>
      <c r="L80">
        <f t="shared" si="4"/>
        <v>2E-3</v>
      </c>
      <c r="M80">
        <f t="shared" si="7"/>
        <v>0.15200000000000011</v>
      </c>
      <c r="N80">
        <f t="shared" si="5"/>
        <v>0.23411663198497693</v>
      </c>
      <c r="O80">
        <f t="shared" si="6"/>
        <v>8.2116631984976818E-2</v>
      </c>
    </row>
    <row r="81" spans="2:15" x14ac:dyDescent="0.25">
      <c r="B81" s="7">
        <v>21.99</v>
      </c>
      <c r="J81" s="7">
        <v>21.78</v>
      </c>
      <c r="K81">
        <v>1</v>
      </c>
      <c r="L81">
        <f t="shared" si="4"/>
        <v>2E-3</v>
      </c>
      <c r="M81">
        <f t="shared" si="7"/>
        <v>0.15400000000000011</v>
      </c>
      <c r="N81">
        <f t="shared" si="5"/>
        <v>0.23600847586661941</v>
      </c>
      <c r="O81">
        <f t="shared" si="6"/>
        <v>8.2008475866619301E-2</v>
      </c>
    </row>
    <row r="82" spans="2:15" x14ac:dyDescent="0.25">
      <c r="B82" s="7">
        <v>29.24</v>
      </c>
      <c r="J82" s="7">
        <v>21.79</v>
      </c>
      <c r="K82">
        <v>1</v>
      </c>
      <c r="L82">
        <f t="shared" si="4"/>
        <v>2E-3</v>
      </c>
      <c r="M82">
        <f t="shared" si="7"/>
        <v>0.15600000000000011</v>
      </c>
      <c r="N82">
        <f t="shared" si="5"/>
        <v>0.23664078228357777</v>
      </c>
      <c r="O82">
        <f t="shared" si="6"/>
        <v>8.0640782283577656E-2</v>
      </c>
    </row>
    <row r="83" spans="2:15" x14ac:dyDescent="0.25">
      <c r="B83" s="7">
        <v>23.46</v>
      </c>
      <c r="J83" s="7">
        <v>21.81</v>
      </c>
      <c r="K83">
        <v>1</v>
      </c>
      <c r="L83">
        <f t="shared" si="4"/>
        <v>2E-3</v>
      </c>
      <c r="M83">
        <f t="shared" si="7"/>
        <v>0.15800000000000011</v>
      </c>
      <c r="N83">
        <f t="shared" si="5"/>
        <v>0.23790793280211128</v>
      </c>
      <c r="O83">
        <f t="shared" si="6"/>
        <v>7.990793280211117E-2</v>
      </c>
    </row>
    <row r="84" spans="2:15" x14ac:dyDescent="0.25">
      <c r="B84" s="7">
        <v>24.51</v>
      </c>
      <c r="J84" s="7">
        <v>21.88</v>
      </c>
      <c r="K84">
        <v>1</v>
      </c>
      <c r="L84">
        <f t="shared" si="4"/>
        <v>2E-3</v>
      </c>
      <c r="M84">
        <f t="shared" si="7"/>
        <v>0.16000000000000011</v>
      </c>
      <c r="N84">
        <f t="shared" si="5"/>
        <v>0.2423696053054526</v>
      </c>
      <c r="O84">
        <f t="shared" si="6"/>
        <v>8.2369605305452481E-2</v>
      </c>
    </row>
    <row r="85" spans="2:15" x14ac:dyDescent="0.25">
      <c r="B85" s="7">
        <v>27.53</v>
      </c>
      <c r="J85" s="7">
        <v>21.89</v>
      </c>
      <c r="K85">
        <v>1</v>
      </c>
      <c r="L85">
        <f t="shared" si="4"/>
        <v>2E-3</v>
      </c>
      <c r="M85">
        <f t="shared" si="7"/>
        <v>0.16200000000000012</v>
      </c>
      <c r="N85">
        <f t="shared" si="5"/>
        <v>0.24301037067113304</v>
      </c>
      <c r="O85">
        <f t="shared" si="6"/>
        <v>8.1010370671132925E-2</v>
      </c>
    </row>
    <row r="86" spans="2:15" x14ac:dyDescent="0.25">
      <c r="B86" s="7">
        <v>21.59</v>
      </c>
      <c r="J86" s="7">
        <v>21.89</v>
      </c>
      <c r="K86">
        <v>1</v>
      </c>
      <c r="L86">
        <f t="shared" si="4"/>
        <v>2E-3</v>
      </c>
      <c r="M86">
        <f t="shared" si="7"/>
        <v>0.16400000000000012</v>
      </c>
      <c r="N86">
        <f t="shared" si="5"/>
        <v>0.24301037067113304</v>
      </c>
      <c r="O86">
        <f t="shared" si="6"/>
        <v>7.9010370671132923E-2</v>
      </c>
    </row>
    <row r="87" spans="2:15" x14ac:dyDescent="0.25">
      <c r="B87" s="7">
        <v>23.17</v>
      </c>
      <c r="J87" s="7">
        <v>21.9</v>
      </c>
      <c r="K87">
        <v>1</v>
      </c>
      <c r="L87">
        <f t="shared" si="4"/>
        <v>2E-3</v>
      </c>
      <c r="M87">
        <f t="shared" si="7"/>
        <v>0.16600000000000012</v>
      </c>
      <c r="N87">
        <f t="shared" si="5"/>
        <v>0.24365198193168547</v>
      </c>
      <c r="O87">
        <f t="shared" si="6"/>
        <v>7.7651981931685349E-2</v>
      </c>
    </row>
    <row r="88" spans="2:15" x14ac:dyDescent="0.25">
      <c r="B88" s="7">
        <v>27.4</v>
      </c>
      <c r="J88" s="7">
        <v>21.92</v>
      </c>
      <c r="K88">
        <v>1</v>
      </c>
      <c r="L88">
        <f t="shared" si="4"/>
        <v>2E-3</v>
      </c>
      <c r="M88">
        <f t="shared" si="7"/>
        <v>0.16800000000000012</v>
      </c>
      <c r="N88">
        <f t="shared" si="5"/>
        <v>0.24493774213740729</v>
      </c>
      <c r="O88">
        <f t="shared" si="6"/>
        <v>7.6937742137407172E-2</v>
      </c>
    </row>
    <row r="89" spans="2:15" x14ac:dyDescent="0.25">
      <c r="B89" s="7">
        <v>29.39</v>
      </c>
      <c r="J89" s="7">
        <v>21.93</v>
      </c>
      <c r="K89">
        <v>1</v>
      </c>
      <c r="L89">
        <f t="shared" si="4"/>
        <v>2E-3</v>
      </c>
      <c r="M89">
        <f t="shared" si="7"/>
        <v>0.17000000000000012</v>
      </c>
      <c r="N89">
        <f t="shared" si="5"/>
        <v>0.24558189108257625</v>
      </c>
      <c r="O89">
        <f t="shared" si="6"/>
        <v>7.5581891082576125E-2</v>
      </c>
    </row>
    <row r="90" spans="2:15" x14ac:dyDescent="0.25">
      <c r="B90" s="7">
        <v>23.84</v>
      </c>
      <c r="J90" s="7">
        <v>21.94</v>
      </c>
      <c r="K90">
        <v>1</v>
      </c>
      <c r="L90">
        <f t="shared" si="4"/>
        <v>2E-3</v>
      </c>
      <c r="M90">
        <f t="shared" si="7"/>
        <v>0.17200000000000013</v>
      </c>
      <c r="N90">
        <f t="shared" si="5"/>
        <v>0.24622688592261763</v>
      </c>
      <c r="O90">
        <f t="shared" si="6"/>
        <v>7.4226885922617503E-2</v>
      </c>
    </row>
    <row r="91" spans="2:15" x14ac:dyDescent="0.25">
      <c r="B91" s="7">
        <v>23.57</v>
      </c>
      <c r="J91" s="7">
        <v>21.99</v>
      </c>
      <c r="K91">
        <v>1</v>
      </c>
      <c r="L91">
        <f t="shared" si="4"/>
        <v>2E-3</v>
      </c>
      <c r="M91">
        <f t="shared" si="7"/>
        <v>0.17400000000000013</v>
      </c>
      <c r="N91">
        <f t="shared" si="5"/>
        <v>0.24946454854590663</v>
      </c>
      <c r="O91">
        <f t="shared" si="6"/>
        <v>7.5464548545906507E-2</v>
      </c>
    </row>
    <row r="92" spans="2:15" x14ac:dyDescent="0.25">
      <c r="B92" s="7">
        <v>29.8</v>
      </c>
      <c r="J92" s="7">
        <v>22.03</v>
      </c>
      <c r="K92">
        <v>1</v>
      </c>
      <c r="L92">
        <f t="shared" si="4"/>
        <v>2E-3</v>
      </c>
      <c r="M92">
        <f t="shared" si="7"/>
        <v>0.17600000000000013</v>
      </c>
      <c r="N92">
        <f t="shared" si="5"/>
        <v>0.25206990475223751</v>
      </c>
      <c r="O92">
        <f t="shared" si="6"/>
        <v>7.6069904752237377E-2</v>
      </c>
    </row>
    <row r="93" spans="2:15" x14ac:dyDescent="0.25">
      <c r="B93" s="7">
        <v>23.43</v>
      </c>
      <c r="J93" s="7">
        <v>22.06</v>
      </c>
      <c r="K93">
        <v>1</v>
      </c>
      <c r="L93">
        <f t="shared" si="4"/>
        <v>2E-3</v>
      </c>
      <c r="M93">
        <f t="shared" si="7"/>
        <v>0.17800000000000013</v>
      </c>
      <c r="N93">
        <f t="shared" si="5"/>
        <v>0.2540328038031433</v>
      </c>
      <c r="O93">
        <f t="shared" si="6"/>
        <v>7.6032803803143173E-2</v>
      </c>
    </row>
    <row r="94" spans="2:15" x14ac:dyDescent="0.25">
      <c r="B94" s="7">
        <v>25.11</v>
      </c>
      <c r="J94" s="7">
        <v>22.06</v>
      </c>
      <c r="K94">
        <v>1</v>
      </c>
      <c r="L94">
        <f t="shared" si="4"/>
        <v>2E-3</v>
      </c>
      <c r="M94">
        <f t="shared" si="7"/>
        <v>0.18000000000000013</v>
      </c>
      <c r="N94">
        <f t="shared" si="5"/>
        <v>0.2540328038031433</v>
      </c>
      <c r="O94">
        <f t="shared" si="6"/>
        <v>7.4032803803143171E-2</v>
      </c>
    </row>
    <row r="95" spans="2:15" x14ac:dyDescent="0.25">
      <c r="B95" s="7">
        <v>25.28</v>
      </c>
      <c r="J95" s="7">
        <v>22.15</v>
      </c>
      <c r="K95">
        <v>1</v>
      </c>
      <c r="L95">
        <f t="shared" si="4"/>
        <v>2E-3</v>
      </c>
      <c r="M95">
        <f t="shared" si="7"/>
        <v>0.18200000000000013</v>
      </c>
      <c r="N95">
        <f t="shared" si="5"/>
        <v>0.25996717927895913</v>
      </c>
      <c r="O95">
        <f t="shared" si="6"/>
        <v>7.7967179278958992E-2</v>
      </c>
    </row>
    <row r="96" spans="2:15" x14ac:dyDescent="0.25">
      <c r="B96" s="7">
        <v>24.77</v>
      </c>
      <c r="J96" s="7">
        <v>22.16</v>
      </c>
      <c r="K96">
        <v>1</v>
      </c>
      <c r="L96">
        <f t="shared" si="4"/>
        <v>2E-3</v>
      </c>
      <c r="M96">
        <f t="shared" si="7"/>
        <v>0.18400000000000014</v>
      </c>
      <c r="N96">
        <f t="shared" si="5"/>
        <v>0.26063078380618859</v>
      </c>
      <c r="O96">
        <f t="shared" si="6"/>
        <v>7.6630783806188457E-2</v>
      </c>
    </row>
    <row r="97" spans="2:15" x14ac:dyDescent="0.25">
      <c r="B97" s="7">
        <v>22.28</v>
      </c>
      <c r="J97" s="7">
        <v>22.2</v>
      </c>
      <c r="K97">
        <v>1</v>
      </c>
      <c r="L97">
        <f t="shared" si="4"/>
        <v>2E-3</v>
      </c>
      <c r="M97">
        <f t="shared" si="7"/>
        <v>0.18600000000000014</v>
      </c>
      <c r="N97">
        <f t="shared" si="5"/>
        <v>0.26329366086382783</v>
      </c>
      <c r="O97">
        <f t="shared" si="6"/>
        <v>7.729366086382769E-2</v>
      </c>
    </row>
    <row r="98" spans="2:15" x14ac:dyDescent="0.25">
      <c r="B98" s="7">
        <v>24.81</v>
      </c>
      <c r="J98" s="7">
        <v>22.21</v>
      </c>
      <c r="K98">
        <v>1</v>
      </c>
      <c r="L98">
        <f t="shared" si="4"/>
        <v>2E-3</v>
      </c>
      <c r="M98">
        <f t="shared" si="7"/>
        <v>0.18800000000000014</v>
      </c>
      <c r="N98">
        <f t="shared" si="5"/>
        <v>0.2639614948654182</v>
      </c>
      <c r="O98">
        <f t="shared" si="6"/>
        <v>7.5961494865418061E-2</v>
      </c>
    </row>
    <row r="99" spans="2:15" x14ac:dyDescent="0.25">
      <c r="B99" s="7">
        <v>29.33</v>
      </c>
      <c r="J99" s="7">
        <v>22.23</v>
      </c>
      <c r="K99">
        <v>1</v>
      </c>
      <c r="L99">
        <f t="shared" si="4"/>
        <v>2E-3</v>
      </c>
      <c r="M99">
        <f t="shared" si="7"/>
        <v>0.19000000000000014</v>
      </c>
      <c r="N99">
        <f t="shared" si="5"/>
        <v>0.26529970055321528</v>
      </c>
      <c r="O99">
        <f t="shared" si="6"/>
        <v>7.5299700553215138E-2</v>
      </c>
    </row>
    <row r="100" spans="2:15" x14ac:dyDescent="0.25">
      <c r="B100" s="7">
        <v>22.87</v>
      </c>
      <c r="J100" s="7">
        <v>22.25</v>
      </c>
      <c r="K100">
        <v>1</v>
      </c>
      <c r="L100">
        <f t="shared" si="4"/>
        <v>2E-3</v>
      </c>
      <c r="M100">
        <f t="shared" si="7"/>
        <v>0.19200000000000014</v>
      </c>
      <c r="N100">
        <f t="shared" si="5"/>
        <v>0.26664128982050112</v>
      </c>
      <c r="O100">
        <f t="shared" si="6"/>
        <v>7.4641289820500972E-2</v>
      </c>
    </row>
    <row r="101" spans="2:15" x14ac:dyDescent="0.25">
      <c r="B101" s="7">
        <v>28.33</v>
      </c>
      <c r="J101" s="7">
        <v>22.26</v>
      </c>
      <c r="K101">
        <v>1</v>
      </c>
      <c r="L101">
        <f t="shared" si="4"/>
        <v>2E-3</v>
      </c>
      <c r="M101">
        <f t="shared" si="7"/>
        <v>0.19400000000000014</v>
      </c>
      <c r="N101">
        <f t="shared" si="5"/>
        <v>0.26731335329645245</v>
      </c>
      <c r="O101">
        <f t="shared" si="6"/>
        <v>7.3313353296452305E-2</v>
      </c>
    </row>
    <row r="102" spans="2:15" x14ac:dyDescent="0.25">
      <c r="B102" s="7">
        <v>20.7</v>
      </c>
      <c r="J102" s="7">
        <v>22.27</v>
      </c>
      <c r="K102">
        <v>1</v>
      </c>
      <c r="L102">
        <f t="shared" si="4"/>
        <v>2E-3</v>
      </c>
      <c r="M102">
        <f t="shared" si="7"/>
        <v>0.19600000000000015</v>
      </c>
      <c r="N102">
        <f t="shared" si="5"/>
        <v>0.26798626266727571</v>
      </c>
      <c r="O102">
        <f t="shared" si="6"/>
        <v>7.1986262667275563E-2</v>
      </c>
    </row>
    <row r="103" spans="2:15" x14ac:dyDescent="0.25">
      <c r="B103" s="7">
        <v>23.22</v>
      </c>
      <c r="J103" s="7">
        <v>22.28</v>
      </c>
      <c r="K103">
        <v>1</v>
      </c>
      <c r="L103">
        <f t="shared" si="4"/>
        <v>2E-3</v>
      </c>
      <c r="M103">
        <f t="shared" si="7"/>
        <v>0.19800000000000015</v>
      </c>
      <c r="N103">
        <f t="shared" si="5"/>
        <v>0.2686600179329714</v>
      </c>
      <c r="O103">
        <f t="shared" si="6"/>
        <v>7.0660017932971247E-2</v>
      </c>
    </row>
    <row r="104" spans="2:15" x14ac:dyDescent="0.25">
      <c r="B104" s="7">
        <v>23.91</v>
      </c>
      <c r="J104" s="7">
        <v>22.28</v>
      </c>
      <c r="K104">
        <v>1</v>
      </c>
      <c r="L104">
        <f t="shared" si="4"/>
        <v>2E-3</v>
      </c>
      <c r="M104">
        <f t="shared" si="7"/>
        <v>0.20000000000000015</v>
      </c>
      <c r="N104">
        <f t="shared" si="5"/>
        <v>0.2686600179329714</v>
      </c>
      <c r="O104">
        <f t="shared" si="6"/>
        <v>6.8660017932971246E-2</v>
      </c>
    </row>
    <row r="105" spans="2:15" x14ac:dyDescent="0.25">
      <c r="B105" s="7">
        <v>20.41</v>
      </c>
      <c r="J105" s="7">
        <v>22.31</v>
      </c>
      <c r="K105">
        <v>1</v>
      </c>
      <c r="L105">
        <f t="shared" si="4"/>
        <v>2E-3</v>
      </c>
      <c r="M105">
        <f t="shared" si="7"/>
        <v>0.20200000000000015</v>
      </c>
      <c r="N105">
        <f t="shared" si="5"/>
        <v>0.27068635909929106</v>
      </c>
      <c r="O105">
        <f t="shared" si="6"/>
        <v>6.8686359099290911E-2</v>
      </c>
    </row>
    <row r="106" spans="2:15" x14ac:dyDescent="0.25">
      <c r="B106" s="7">
        <v>25.8</v>
      </c>
      <c r="J106" s="7">
        <v>22.31</v>
      </c>
      <c r="K106">
        <v>1</v>
      </c>
      <c r="L106">
        <f t="shared" si="4"/>
        <v>2E-3</v>
      </c>
      <c r="M106">
        <f t="shared" si="7"/>
        <v>0.20400000000000015</v>
      </c>
      <c r="N106">
        <f t="shared" si="5"/>
        <v>0.27068635909929106</v>
      </c>
      <c r="O106">
        <f t="shared" si="6"/>
        <v>6.6686359099290909E-2</v>
      </c>
    </row>
    <row r="107" spans="2:15" x14ac:dyDescent="0.25">
      <c r="B107" s="7">
        <v>31.45</v>
      </c>
      <c r="J107" s="7">
        <v>22.4</v>
      </c>
      <c r="K107">
        <v>1</v>
      </c>
      <c r="L107">
        <f t="shared" si="4"/>
        <v>2E-3</v>
      </c>
      <c r="M107">
        <f t="shared" si="7"/>
        <v>0.20600000000000016</v>
      </c>
      <c r="N107">
        <f t="shared" si="5"/>
        <v>0.27681106092134861</v>
      </c>
      <c r="O107">
        <f t="shared" si="6"/>
        <v>7.0811060921348451E-2</v>
      </c>
    </row>
    <row r="108" spans="2:15" x14ac:dyDescent="0.25">
      <c r="B108" s="7">
        <v>24.2</v>
      </c>
      <c r="J108" s="7">
        <v>22.45</v>
      </c>
      <c r="K108">
        <v>1</v>
      </c>
      <c r="L108">
        <f t="shared" si="4"/>
        <v>2E-3</v>
      </c>
      <c r="M108">
        <f t="shared" si="7"/>
        <v>0.20800000000000016</v>
      </c>
      <c r="N108">
        <f t="shared" si="5"/>
        <v>0.28024327936524046</v>
      </c>
      <c r="O108">
        <f t="shared" si="6"/>
        <v>7.2243279365240304E-2</v>
      </c>
    </row>
    <row r="109" spans="2:15" x14ac:dyDescent="0.25">
      <c r="B109" s="7">
        <v>23.66</v>
      </c>
      <c r="J109" s="7">
        <v>22.45</v>
      </c>
      <c r="K109">
        <v>1</v>
      </c>
      <c r="L109">
        <f t="shared" si="4"/>
        <v>2E-3</v>
      </c>
      <c r="M109">
        <f t="shared" si="7"/>
        <v>0.21000000000000016</v>
      </c>
      <c r="N109">
        <f t="shared" si="5"/>
        <v>0.28024327936524046</v>
      </c>
      <c r="O109">
        <f t="shared" si="6"/>
        <v>7.0243279365240302E-2</v>
      </c>
    </row>
    <row r="110" spans="2:15" x14ac:dyDescent="0.25">
      <c r="B110" s="7">
        <v>21.61</v>
      </c>
      <c r="J110" s="7">
        <v>22.46</v>
      </c>
      <c r="K110">
        <v>1</v>
      </c>
      <c r="L110">
        <f t="shared" si="4"/>
        <v>2E-3</v>
      </c>
      <c r="M110">
        <f t="shared" si="7"/>
        <v>0.21200000000000016</v>
      </c>
      <c r="N110">
        <f t="shared" si="5"/>
        <v>0.28093226073863548</v>
      </c>
      <c r="O110">
        <f t="shared" si="6"/>
        <v>6.8932260738635315E-2</v>
      </c>
    </row>
    <row r="111" spans="2:15" x14ac:dyDescent="0.25">
      <c r="B111" s="7">
        <v>21.75</v>
      </c>
      <c r="J111" s="7">
        <v>22.46</v>
      </c>
      <c r="K111">
        <v>1</v>
      </c>
      <c r="L111">
        <f t="shared" si="4"/>
        <v>2E-3</v>
      </c>
      <c r="M111">
        <f t="shared" si="7"/>
        <v>0.21400000000000016</v>
      </c>
      <c r="N111">
        <f t="shared" si="5"/>
        <v>0.28093226073863548</v>
      </c>
      <c r="O111">
        <f t="shared" si="6"/>
        <v>6.6932260738635313E-2</v>
      </c>
    </row>
    <row r="112" spans="2:15" x14ac:dyDescent="0.25">
      <c r="B112" s="7">
        <v>26.65</v>
      </c>
      <c r="J112" s="7">
        <v>22.47</v>
      </c>
      <c r="K112">
        <v>1</v>
      </c>
      <c r="L112">
        <f t="shared" si="4"/>
        <v>2E-3</v>
      </c>
      <c r="M112">
        <f t="shared" si="7"/>
        <v>0.21600000000000016</v>
      </c>
      <c r="N112">
        <f t="shared" si="5"/>
        <v>0.28162208800690242</v>
      </c>
      <c r="O112">
        <f t="shared" si="6"/>
        <v>6.5622088006902252E-2</v>
      </c>
    </row>
    <row r="113" spans="2:15" x14ac:dyDescent="0.25">
      <c r="B113" s="7">
        <v>22.28</v>
      </c>
      <c r="J113" s="7">
        <v>22.48</v>
      </c>
      <c r="K113">
        <v>1</v>
      </c>
      <c r="L113">
        <f t="shared" si="4"/>
        <v>2E-3</v>
      </c>
      <c r="M113">
        <f t="shared" si="7"/>
        <v>0.21800000000000017</v>
      </c>
      <c r="N113">
        <f t="shared" si="5"/>
        <v>0.28231276117004184</v>
      </c>
      <c r="O113">
        <f t="shared" si="6"/>
        <v>6.4312761170041671E-2</v>
      </c>
    </row>
    <row r="114" spans="2:15" x14ac:dyDescent="0.25">
      <c r="B114" s="7">
        <v>27.21</v>
      </c>
      <c r="J114" s="7">
        <v>22.49</v>
      </c>
      <c r="K114">
        <v>1</v>
      </c>
      <c r="L114">
        <f t="shared" si="4"/>
        <v>2E-3</v>
      </c>
      <c r="M114">
        <f t="shared" si="7"/>
        <v>0.22000000000000017</v>
      </c>
      <c r="N114">
        <f t="shared" si="5"/>
        <v>0.28300428022805318</v>
      </c>
      <c r="O114">
        <f t="shared" si="6"/>
        <v>6.3004280228053017E-2</v>
      </c>
    </row>
    <row r="115" spans="2:15" x14ac:dyDescent="0.25">
      <c r="B115" s="7">
        <v>27.83</v>
      </c>
      <c r="J115" s="7">
        <v>22.49</v>
      </c>
      <c r="K115">
        <v>1</v>
      </c>
      <c r="L115">
        <f t="shared" si="4"/>
        <v>2E-3</v>
      </c>
      <c r="M115">
        <f t="shared" si="7"/>
        <v>0.22200000000000017</v>
      </c>
      <c r="N115">
        <f t="shared" si="5"/>
        <v>0.28300428022805318</v>
      </c>
      <c r="O115">
        <f t="shared" si="6"/>
        <v>6.1004280228053015E-2</v>
      </c>
    </row>
    <row r="116" spans="2:15" x14ac:dyDescent="0.25">
      <c r="B116" s="7">
        <v>22.27</v>
      </c>
      <c r="J116" s="7">
        <v>22.51</v>
      </c>
      <c r="K116">
        <v>1</v>
      </c>
      <c r="L116">
        <f t="shared" si="4"/>
        <v>2E-3</v>
      </c>
      <c r="M116">
        <f t="shared" si="7"/>
        <v>0.22400000000000017</v>
      </c>
      <c r="N116">
        <f t="shared" si="5"/>
        <v>0.28438985602869293</v>
      </c>
      <c r="O116">
        <f t="shared" si="6"/>
        <v>6.0389856028692762E-2</v>
      </c>
    </row>
    <row r="117" spans="2:15" x14ac:dyDescent="0.25">
      <c r="B117" s="7">
        <v>20.58</v>
      </c>
      <c r="J117" s="7">
        <v>22.57</v>
      </c>
      <c r="K117">
        <v>1</v>
      </c>
      <c r="L117">
        <f t="shared" si="4"/>
        <v>2E-3</v>
      </c>
      <c r="M117">
        <f t="shared" si="7"/>
        <v>0.22600000000000017</v>
      </c>
      <c r="N117">
        <f t="shared" si="5"/>
        <v>0.28856688490754373</v>
      </c>
      <c r="O117">
        <f t="shared" si="6"/>
        <v>6.2566884907543557E-2</v>
      </c>
    </row>
    <row r="118" spans="2:15" x14ac:dyDescent="0.25">
      <c r="B118" s="7">
        <v>24.55</v>
      </c>
      <c r="J118" s="7">
        <v>22.59</v>
      </c>
      <c r="K118">
        <v>1</v>
      </c>
      <c r="L118">
        <f t="shared" si="4"/>
        <v>2E-3</v>
      </c>
      <c r="M118">
        <f t="shared" si="7"/>
        <v>0.22800000000000017</v>
      </c>
      <c r="N118">
        <f t="shared" si="5"/>
        <v>0.28996599502613818</v>
      </c>
      <c r="O118">
        <f t="shared" si="6"/>
        <v>6.1965995026138004E-2</v>
      </c>
    </row>
    <row r="119" spans="2:15" x14ac:dyDescent="0.25">
      <c r="B119" s="7">
        <v>19.93</v>
      </c>
      <c r="J119" s="7">
        <v>22.6</v>
      </c>
      <c r="K119">
        <v>1</v>
      </c>
      <c r="L119">
        <f t="shared" si="4"/>
        <v>2E-3</v>
      </c>
      <c r="M119">
        <f t="shared" si="7"/>
        <v>0.23000000000000018</v>
      </c>
      <c r="N119">
        <f t="shared" si="5"/>
        <v>0.29066681892774382</v>
      </c>
      <c r="O119">
        <f t="shared" si="6"/>
        <v>6.0666818927743643E-2</v>
      </c>
    </row>
    <row r="120" spans="2:15" x14ac:dyDescent="0.25">
      <c r="B120" s="7">
        <v>21.04</v>
      </c>
      <c r="J120" s="7">
        <v>22.61</v>
      </c>
      <c r="K120">
        <v>1</v>
      </c>
      <c r="L120">
        <f t="shared" si="4"/>
        <v>2E-3</v>
      </c>
      <c r="M120">
        <f t="shared" si="7"/>
        <v>0.23200000000000018</v>
      </c>
      <c r="N120">
        <f t="shared" si="5"/>
        <v>0.29136848872422133</v>
      </c>
      <c r="O120">
        <f t="shared" si="6"/>
        <v>5.9368488724221152E-2</v>
      </c>
    </row>
    <row r="121" spans="2:15" x14ac:dyDescent="0.25">
      <c r="B121" s="7">
        <v>27.85</v>
      </c>
      <c r="J121" s="7">
        <v>22.68</v>
      </c>
      <c r="K121">
        <v>1</v>
      </c>
      <c r="L121">
        <f t="shared" si="4"/>
        <v>2E-3</v>
      </c>
      <c r="M121">
        <f t="shared" si="7"/>
        <v>0.23400000000000018</v>
      </c>
      <c r="N121">
        <f t="shared" si="5"/>
        <v>0.29630386235598638</v>
      </c>
      <c r="O121">
        <f t="shared" si="6"/>
        <v>6.23038623559862E-2</v>
      </c>
    </row>
    <row r="122" spans="2:15" x14ac:dyDescent="0.25">
      <c r="B122" s="7">
        <v>20.87</v>
      </c>
      <c r="J122" s="7">
        <v>22.69</v>
      </c>
      <c r="K122">
        <v>1</v>
      </c>
      <c r="L122">
        <f t="shared" si="4"/>
        <v>2E-3</v>
      </c>
      <c r="M122">
        <f t="shared" si="7"/>
        <v>0.23600000000000018</v>
      </c>
      <c r="N122">
        <f t="shared" si="5"/>
        <v>0.29701229931144169</v>
      </c>
      <c r="O122">
        <f t="shared" si="6"/>
        <v>6.1012299311441504E-2</v>
      </c>
    </row>
    <row r="123" spans="2:15" x14ac:dyDescent="0.25">
      <c r="B123" s="7">
        <v>21.62</v>
      </c>
      <c r="J123" s="7">
        <v>22.69</v>
      </c>
      <c r="K123">
        <v>1</v>
      </c>
      <c r="L123">
        <f t="shared" si="4"/>
        <v>2E-3</v>
      </c>
      <c r="M123">
        <f t="shared" si="7"/>
        <v>0.23800000000000018</v>
      </c>
      <c r="N123">
        <f t="shared" si="5"/>
        <v>0.29701229931144169</v>
      </c>
      <c r="O123">
        <f t="shared" si="6"/>
        <v>5.9012299311441502E-2</v>
      </c>
    </row>
    <row r="124" spans="2:15" x14ac:dyDescent="0.25">
      <c r="B124" s="7">
        <v>24.75</v>
      </c>
      <c r="J124" s="7">
        <v>22.71</v>
      </c>
      <c r="K124">
        <v>1</v>
      </c>
      <c r="L124">
        <f t="shared" si="4"/>
        <v>2E-3</v>
      </c>
      <c r="M124">
        <f t="shared" si="7"/>
        <v>0.24000000000000019</v>
      </c>
      <c r="N124">
        <f t="shared" si="5"/>
        <v>0.29843171090696857</v>
      </c>
      <c r="O124">
        <f t="shared" si="6"/>
        <v>5.8431710906968387E-2</v>
      </c>
    </row>
    <row r="125" spans="2:15" x14ac:dyDescent="0.25">
      <c r="B125" s="7">
        <v>27.6</v>
      </c>
      <c r="J125" s="7">
        <v>22.71</v>
      </c>
      <c r="K125">
        <v>1</v>
      </c>
      <c r="L125">
        <f t="shared" si="4"/>
        <v>2E-3</v>
      </c>
      <c r="M125">
        <f t="shared" si="7"/>
        <v>0.24200000000000019</v>
      </c>
      <c r="N125">
        <f t="shared" si="5"/>
        <v>0.29843171090696857</v>
      </c>
      <c r="O125">
        <f t="shared" si="6"/>
        <v>5.6431710906968385E-2</v>
      </c>
    </row>
    <row r="126" spans="2:15" x14ac:dyDescent="0.25">
      <c r="B126" s="7">
        <v>29.25</v>
      </c>
      <c r="J126" s="7">
        <v>22.73</v>
      </c>
      <c r="K126">
        <v>1</v>
      </c>
      <c r="L126">
        <f t="shared" si="4"/>
        <v>2E-3</v>
      </c>
      <c r="M126">
        <f t="shared" si="7"/>
        <v>0.24400000000000019</v>
      </c>
      <c r="N126">
        <f t="shared" si="5"/>
        <v>0.29985450608198422</v>
      </c>
      <c r="O126">
        <f t="shared" si="6"/>
        <v>5.5854506081984029E-2</v>
      </c>
    </row>
    <row r="127" spans="2:15" x14ac:dyDescent="0.25">
      <c r="B127" s="7">
        <v>21.34</v>
      </c>
      <c r="J127" s="7">
        <v>22.73</v>
      </c>
      <c r="K127">
        <v>1</v>
      </c>
      <c r="L127">
        <f t="shared" si="4"/>
        <v>2E-3</v>
      </c>
      <c r="M127">
        <f t="shared" si="7"/>
        <v>0.24600000000000019</v>
      </c>
      <c r="N127">
        <f t="shared" si="5"/>
        <v>0.29985450608198422</v>
      </c>
      <c r="O127">
        <f t="shared" si="6"/>
        <v>5.3854506081984027E-2</v>
      </c>
    </row>
    <row r="128" spans="2:15" x14ac:dyDescent="0.25">
      <c r="B128" s="7">
        <v>25.93</v>
      </c>
      <c r="J128" s="7">
        <v>22.77</v>
      </c>
      <c r="K128">
        <v>1</v>
      </c>
      <c r="L128">
        <f t="shared" si="4"/>
        <v>2E-3</v>
      </c>
      <c r="M128">
        <f t="shared" si="7"/>
        <v>0.24800000000000019</v>
      </c>
      <c r="N128">
        <f t="shared" si="5"/>
        <v>0.30271024717048167</v>
      </c>
      <c r="O128">
        <f t="shared" si="6"/>
        <v>5.471024717048148E-2</v>
      </c>
    </row>
    <row r="129" spans="2:15" x14ac:dyDescent="0.25">
      <c r="B129" s="7">
        <v>23.45</v>
      </c>
      <c r="J129" s="7">
        <v>22.83</v>
      </c>
      <c r="K129">
        <v>1</v>
      </c>
      <c r="L129">
        <f t="shared" si="4"/>
        <v>2E-3</v>
      </c>
      <c r="M129">
        <f t="shared" si="7"/>
        <v>0.25000000000000017</v>
      </c>
      <c r="N129">
        <f t="shared" si="5"/>
        <v>0.30701923564939337</v>
      </c>
      <c r="O129">
        <f t="shared" si="6"/>
        <v>5.7019235649393207E-2</v>
      </c>
    </row>
    <row r="130" spans="2:15" x14ac:dyDescent="0.25">
      <c r="B130" s="7">
        <v>27.22</v>
      </c>
      <c r="J130" s="7">
        <v>22.84</v>
      </c>
      <c r="K130">
        <v>1</v>
      </c>
      <c r="L130">
        <f t="shared" si="4"/>
        <v>2E-3</v>
      </c>
      <c r="M130">
        <f t="shared" si="7"/>
        <v>0.25200000000000017</v>
      </c>
      <c r="N130">
        <f t="shared" si="5"/>
        <v>0.30774036102793151</v>
      </c>
      <c r="O130">
        <f t="shared" si="6"/>
        <v>5.574036102793134E-2</v>
      </c>
    </row>
    <row r="131" spans="2:15" x14ac:dyDescent="0.25">
      <c r="B131" s="7">
        <v>28.82</v>
      </c>
      <c r="J131" s="7">
        <v>22.87</v>
      </c>
      <c r="K131">
        <v>1</v>
      </c>
      <c r="L131">
        <f t="shared" si="4"/>
        <v>2E-3</v>
      </c>
      <c r="M131">
        <f t="shared" si="7"/>
        <v>0.25400000000000017</v>
      </c>
      <c r="N131">
        <f t="shared" si="5"/>
        <v>0.30990881253277852</v>
      </c>
      <c r="O131">
        <f t="shared" si="6"/>
        <v>5.5908812532778351E-2</v>
      </c>
    </row>
    <row r="132" spans="2:15" x14ac:dyDescent="0.25">
      <c r="B132" s="7">
        <v>23.01</v>
      </c>
      <c r="J132" s="7">
        <v>22.88</v>
      </c>
      <c r="K132">
        <v>1</v>
      </c>
      <c r="L132">
        <f t="shared" si="4"/>
        <v>2E-3</v>
      </c>
      <c r="M132">
        <f t="shared" si="7"/>
        <v>0.25600000000000017</v>
      </c>
      <c r="N132">
        <f t="shared" si="5"/>
        <v>0.31063332149080508</v>
      </c>
      <c r="O132">
        <f t="shared" si="6"/>
        <v>5.4633321490804909E-2</v>
      </c>
    </row>
    <row r="133" spans="2:15" x14ac:dyDescent="0.25">
      <c r="B133" s="7">
        <v>24.8</v>
      </c>
      <c r="J133" s="7">
        <v>22.93</v>
      </c>
      <c r="K133">
        <v>1</v>
      </c>
      <c r="L133">
        <f t="shared" si="4"/>
        <v>2E-3</v>
      </c>
      <c r="M133">
        <f t="shared" si="7"/>
        <v>0.25800000000000017</v>
      </c>
      <c r="N133">
        <f t="shared" si="5"/>
        <v>0.31426855470402137</v>
      </c>
      <c r="O133">
        <f t="shared" si="6"/>
        <v>5.6268554704021201E-2</v>
      </c>
    </row>
    <row r="134" spans="2:15" x14ac:dyDescent="0.25">
      <c r="B134" s="7">
        <v>29.73</v>
      </c>
      <c r="J134" s="7">
        <v>22.94</v>
      </c>
      <c r="K134">
        <v>1</v>
      </c>
      <c r="L134">
        <f t="shared" ref="L134:L197" si="8">K134/$E$20</f>
        <v>2E-3</v>
      </c>
      <c r="M134">
        <f t="shared" si="7"/>
        <v>0.26000000000000018</v>
      </c>
      <c r="N134">
        <f t="shared" ref="N134:N197" si="9">(J134-$H$7)^2/(($H$8-$H$7)*($H$9-$H$7))</f>
        <v>0.31499813903128132</v>
      </c>
      <c r="O134">
        <f t="shared" ref="O134:O197" si="10">ABS(M134-N134)</f>
        <v>5.4998139031281146E-2</v>
      </c>
    </row>
    <row r="135" spans="2:15" x14ac:dyDescent="0.25">
      <c r="B135" s="7">
        <v>26.56</v>
      </c>
      <c r="J135" s="7">
        <v>22.95</v>
      </c>
      <c r="K135">
        <v>1</v>
      </c>
      <c r="L135">
        <f t="shared" si="8"/>
        <v>2E-3</v>
      </c>
      <c r="M135">
        <f t="shared" ref="M135:M198" si="11">M134+L135</f>
        <v>0.26200000000000018</v>
      </c>
      <c r="N135">
        <f t="shared" si="9"/>
        <v>0.31572856925341314</v>
      </c>
      <c r="O135">
        <f t="shared" si="10"/>
        <v>5.3728569253412961E-2</v>
      </c>
    </row>
    <row r="136" spans="2:15" x14ac:dyDescent="0.25">
      <c r="B136" s="7">
        <v>27.43</v>
      </c>
      <c r="J136" s="7">
        <v>22.98</v>
      </c>
      <c r="K136">
        <v>1</v>
      </c>
      <c r="L136">
        <f t="shared" si="8"/>
        <v>2E-3</v>
      </c>
      <c r="M136">
        <f t="shared" si="11"/>
        <v>0.26400000000000018</v>
      </c>
      <c r="N136">
        <f t="shared" si="9"/>
        <v>0.31792493528904231</v>
      </c>
      <c r="O136">
        <f t="shared" si="10"/>
        <v>5.3924935289042131E-2</v>
      </c>
    </row>
    <row r="137" spans="2:15" x14ac:dyDescent="0.25">
      <c r="B137" s="7">
        <v>23.98</v>
      </c>
      <c r="J137" s="7">
        <v>23.01</v>
      </c>
      <c r="K137">
        <v>1</v>
      </c>
      <c r="L137">
        <f t="shared" si="8"/>
        <v>2E-3</v>
      </c>
      <c r="M137">
        <f t="shared" si="11"/>
        <v>0.26600000000000018</v>
      </c>
      <c r="N137">
        <f t="shared" si="9"/>
        <v>0.32012891437852115</v>
      </c>
      <c r="O137">
        <f t="shared" si="10"/>
        <v>5.4128914378520965E-2</v>
      </c>
    </row>
    <row r="138" spans="2:15" x14ac:dyDescent="0.25">
      <c r="B138" s="7">
        <v>27.23</v>
      </c>
      <c r="J138" s="7">
        <v>23.04</v>
      </c>
      <c r="K138">
        <v>1</v>
      </c>
      <c r="L138">
        <f t="shared" si="8"/>
        <v>2E-3</v>
      </c>
      <c r="M138">
        <f t="shared" si="11"/>
        <v>0.26800000000000018</v>
      </c>
      <c r="N138">
        <f t="shared" si="9"/>
        <v>0.32234050652184942</v>
      </c>
      <c r="O138">
        <f t="shared" si="10"/>
        <v>5.4340506521849241E-2</v>
      </c>
    </row>
    <row r="139" spans="2:15" x14ac:dyDescent="0.25">
      <c r="B139" s="7">
        <v>25.62</v>
      </c>
      <c r="J139" s="7">
        <v>23.07</v>
      </c>
      <c r="K139">
        <v>1</v>
      </c>
      <c r="L139">
        <f t="shared" si="8"/>
        <v>2E-3</v>
      </c>
      <c r="M139">
        <f t="shared" si="11"/>
        <v>0.27000000000000018</v>
      </c>
      <c r="N139">
        <f t="shared" si="9"/>
        <v>0.32455971171902764</v>
      </c>
      <c r="O139">
        <f t="shared" si="10"/>
        <v>5.4559711719027459E-2</v>
      </c>
    </row>
    <row r="140" spans="2:15" x14ac:dyDescent="0.25">
      <c r="B140" s="7">
        <v>23.74</v>
      </c>
      <c r="J140" s="7">
        <v>23.08</v>
      </c>
      <c r="K140">
        <v>1</v>
      </c>
      <c r="L140">
        <f t="shared" si="8"/>
        <v>2E-3</v>
      </c>
      <c r="M140">
        <f t="shared" si="11"/>
        <v>0.27200000000000019</v>
      </c>
      <c r="N140">
        <f t="shared" si="9"/>
        <v>0.32530113857449788</v>
      </c>
      <c r="O140">
        <f t="shared" si="10"/>
        <v>5.3301138574497697E-2</v>
      </c>
    </row>
    <row r="141" spans="2:15" x14ac:dyDescent="0.25">
      <c r="B141" s="7">
        <v>22.93</v>
      </c>
      <c r="J141" s="7">
        <v>23.08</v>
      </c>
      <c r="K141">
        <v>1</v>
      </c>
      <c r="L141">
        <f t="shared" si="8"/>
        <v>2E-3</v>
      </c>
      <c r="M141">
        <f t="shared" si="11"/>
        <v>0.27400000000000019</v>
      </c>
      <c r="N141">
        <f t="shared" si="9"/>
        <v>0.32530113857449788</v>
      </c>
      <c r="O141">
        <f t="shared" si="10"/>
        <v>5.1301138574497696E-2</v>
      </c>
    </row>
    <row r="142" spans="2:15" x14ac:dyDescent="0.25">
      <c r="B142" s="7">
        <v>23.2</v>
      </c>
      <c r="J142" s="7">
        <v>23.1</v>
      </c>
      <c r="K142">
        <v>1</v>
      </c>
      <c r="L142">
        <f t="shared" si="8"/>
        <v>2E-3</v>
      </c>
      <c r="M142">
        <f t="shared" si="11"/>
        <v>0.27600000000000019</v>
      </c>
      <c r="N142">
        <f t="shared" si="9"/>
        <v>0.32678652997005547</v>
      </c>
      <c r="O142">
        <f t="shared" si="10"/>
        <v>5.0786529970055283E-2</v>
      </c>
    </row>
    <row r="143" spans="2:15" x14ac:dyDescent="0.25">
      <c r="B143" s="7">
        <v>25.69</v>
      </c>
      <c r="J143" s="7">
        <v>23.11</v>
      </c>
      <c r="K143">
        <v>1</v>
      </c>
      <c r="L143">
        <f t="shared" si="8"/>
        <v>2E-3</v>
      </c>
      <c r="M143">
        <f t="shared" si="11"/>
        <v>0.27800000000000019</v>
      </c>
      <c r="N143">
        <f t="shared" si="9"/>
        <v>0.32753049451014227</v>
      </c>
      <c r="O143">
        <f t="shared" si="10"/>
        <v>4.9530494510142076E-2</v>
      </c>
    </row>
    <row r="144" spans="2:15" x14ac:dyDescent="0.25">
      <c r="B144" s="7">
        <v>30.13</v>
      </c>
      <c r="J144" s="7">
        <v>23.12</v>
      </c>
      <c r="K144">
        <v>1</v>
      </c>
      <c r="L144">
        <f t="shared" si="8"/>
        <v>2E-3</v>
      </c>
      <c r="M144">
        <f t="shared" si="11"/>
        <v>0.28000000000000019</v>
      </c>
      <c r="N144">
        <f t="shared" si="9"/>
        <v>0.32827530494510149</v>
      </c>
      <c r="O144">
        <f t="shared" si="10"/>
        <v>4.8275304945101294E-2</v>
      </c>
    </row>
    <row r="145" spans="2:15" x14ac:dyDescent="0.25">
      <c r="B145" s="7">
        <v>27.92</v>
      </c>
      <c r="J145" s="7">
        <v>23.14</v>
      </c>
      <c r="K145">
        <v>1</v>
      </c>
      <c r="L145">
        <f t="shared" si="8"/>
        <v>2E-3</v>
      </c>
      <c r="M145">
        <f t="shared" si="11"/>
        <v>0.28200000000000019</v>
      </c>
      <c r="N145">
        <f t="shared" si="9"/>
        <v>0.32976746349963637</v>
      </c>
      <c r="O145">
        <f t="shared" si="10"/>
        <v>4.7767463499636176E-2</v>
      </c>
    </row>
    <row r="146" spans="2:15" x14ac:dyDescent="0.25">
      <c r="B146" s="7">
        <v>18.38</v>
      </c>
      <c r="J146" s="7">
        <v>23.17</v>
      </c>
      <c r="K146">
        <v>1</v>
      </c>
      <c r="L146">
        <f t="shared" si="8"/>
        <v>2E-3</v>
      </c>
      <c r="M146">
        <f t="shared" si="11"/>
        <v>0.2840000000000002</v>
      </c>
      <c r="N146">
        <f t="shared" si="9"/>
        <v>0.33201204554298003</v>
      </c>
      <c r="O146">
        <f t="shared" si="10"/>
        <v>4.8012045542979831E-2</v>
      </c>
    </row>
    <row r="147" spans="2:15" x14ac:dyDescent="0.25">
      <c r="B147" s="7">
        <v>23.52</v>
      </c>
      <c r="J147" s="7">
        <v>23.18</v>
      </c>
      <c r="K147">
        <v>1</v>
      </c>
      <c r="L147">
        <f t="shared" si="8"/>
        <v>2E-3</v>
      </c>
      <c r="M147">
        <f t="shared" si="11"/>
        <v>0.2860000000000002</v>
      </c>
      <c r="N147">
        <f t="shared" si="9"/>
        <v>0.33276193134717219</v>
      </c>
      <c r="O147">
        <f t="shared" si="10"/>
        <v>4.6761931347171992E-2</v>
      </c>
    </row>
    <row r="148" spans="2:15" x14ac:dyDescent="0.25">
      <c r="B148" s="7">
        <v>25.73</v>
      </c>
      <c r="J148" s="7">
        <v>23.19</v>
      </c>
      <c r="K148">
        <v>1</v>
      </c>
      <c r="L148">
        <f t="shared" si="8"/>
        <v>2E-3</v>
      </c>
      <c r="M148">
        <f t="shared" si="11"/>
        <v>0.2880000000000002</v>
      </c>
      <c r="N148">
        <f t="shared" si="9"/>
        <v>0.33351266304623672</v>
      </c>
      <c r="O148">
        <f t="shared" si="10"/>
        <v>4.5512663046236523E-2</v>
      </c>
    </row>
    <row r="149" spans="2:15" x14ac:dyDescent="0.25">
      <c r="B149" s="7">
        <v>26.45</v>
      </c>
      <c r="J149" s="7">
        <v>23.2</v>
      </c>
      <c r="K149">
        <v>1</v>
      </c>
      <c r="L149">
        <f t="shared" si="8"/>
        <v>2E-3</v>
      </c>
      <c r="M149">
        <f t="shared" si="11"/>
        <v>0.2900000000000002</v>
      </c>
      <c r="N149">
        <f t="shared" si="9"/>
        <v>0.33426424064017324</v>
      </c>
      <c r="O149">
        <f t="shared" si="10"/>
        <v>4.4264240640173036E-2</v>
      </c>
    </row>
    <row r="150" spans="2:15" x14ac:dyDescent="0.25">
      <c r="B150" s="7">
        <v>26.2</v>
      </c>
      <c r="J150" s="7">
        <v>23.22</v>
      </c>
      <c r="K150">
        <v>1</v>
      </c>
      <c r="L150">
        <f t="shared" si="8"/>
        <v>2E-3</v>
      </c>
      <c r="M150">
        <f t="shared" si="11"/>
        <v>0.2920000000000002</v>
      </c>
      <c r="N150">
        <f t="shared" si="9"/>
        <v>0.33576993351266299</v>
      </c>
      <c r="O150">
        <f t="shared" si="10"/>
        <v>4.3769933512662784E-2</v>
      </c>
    </row>
    <row r="151" spans="2:15" x14ac:dyDescent="0.25">
      <c r="B151" s="7">
        <v>23.38</v>
      </c>
      <c r="J151" s="7">
        <v>23.22</v>
      </c>
      <c r="K151">
        <v>1</v>
      </c>
      <c r="L151">
        <f t="shared" si="8"/>
        <v>2E-3</v>
      </c>
      <c r="M151">
        <f t="shared" si="11"/>
        <v>0.29400000000000021</v>
      </c>
      <c r="N151">
        <f t="shared" si="9"/>
        <v>0.33576993351266299</v>
      </c>
      <c r="O151">
        <f t="shared" si="10"/>
        <v>4.1769933512662782E-2</v>
      </c>
    </row>
    <row r="152" spans="2:15" x14ac:dyDescent="0.25">
      <c r="B152" s="7">
        <v>24.47</v>
      </c>
      <c r="J152" s="7">
        <v>23.22</v>
      </c>
      <c r="K152">
        <v>1</v>
      </c>
      <c r="L152">
        <f t="shared" si="8"/>
        <v>2E-3</v>
      </c>
      <c r="M152">
        <f t="shared" si="11"/>
        <v>0.29600000000000021</v>
      </c>
      <c r="N152">
        <f t="shared" si="9"/>
        <v>0.33576993351266299</v>
      </c>
      <c r="O152">
        <f t="shared" si="10"/>
        <v>3.9769933512662781E-2</v>
      </c>
    </row>
    <row r="153" spans="2:15" x14ac:dyDescent="0.25">
      <c r="B153" s="7">
        <v>23.19</v>
      </c>
      <c r="J153" s="7">
        <v>23.23</v>
      </c>
      <c r="K153">
        <v>1</v>
      </c>
      <c r="L153">
        <f t="shared" si="8"/>
        <v>2E-3</v>
      </c>
      <c r="M153">
        <f t="shared" si="11"/>
        <v>0.29800000000000021</v>
      </c>
      <c r="N153">
        <f t="shared" si="9"/>
        <v>0.33652404879121628</v>
      </c>
      <c r="O153">
        <f t="shared" si="10"/>
        <v>3.852404879121607E-2</v>
      </c>
    </row>
    <row r="154" spans="2:15" x14ac:dyDescent="0.25">
      <c r="B154" s="7">
        <v>23.29</v>
      </c>
      <c r="J154" s="7">
        <v>23.24</v>
      </c>
      <c r="K154">
        <v>1</v>
      </c>
      <c r="L154">
        <f t="shared" si="8"/>
        <v>2E-3</v>
      </c>
      <c r="M154">
        <f t="shared" si="11"/>
        <v>0.30000000000000021</v>
      </c>
      <c r="N154">
        <f t="shared" si="9"/>
        <v>0.3372790099646415</v>
      </c>
      <c r="O154">
        <f t="shared" si="10"/>
        <v>3.7279009964641285E-2</v>
      </c>
    </row>
    <row r="155" spans="2:15" x14ac:dyDescent="0.25">
      <c r="B155" s="7">
        <v>23.08</v>
      </c>
      <c r="J155" s="7">
        <v>23.26</v>
      </c>
      <c r="K155">
        <v>1</v>
      </c>
      <c r="L155">
        <f t="shared" si="8"/>
        <v>2E-3</v>
      </c>
      <c r="M155">
        <f t="shared" si="11"/>
        <v>0.30200000000000021</v>
      </c>
      <c r="N155">
        <f t="shared" si="9"/>
        <v>0.33879146999610904</v>
      </c>
      <c r="O155">
        <f t="shared" si="10"/>
        <v>3.6791469996108828E-2</v>
      </c>
    </row>
    <row r="156" spans="2:15" x14ac:dyDescent="0.25">
      <c r="B156" s="7">
        <v>28.75</v>
      </c>
      <c r="J156" s="7">
        <v>23.29</v>
      </c>
      <c r="K156">
        <v>1</v>
      </c>
      <c r="L156">
        <f t="shared" si="8"/>
        <v>2E-3</v>
      </c>
      <c r="M156">
        <f t="shared" si="11"/>
        <v>0.30400000000000021</v>
      </c>
      <c r="N156">
        <f t="shared" si="9"/>
        <v>0.34106650425485113</v>
      </c>
      <c r="O156">
        <f t="shared" si="10"/>
        <v>3.7066504254850918E-2</v>
      </c>
    </row>
    <row r="157" spans="2:15" x14ac:dyDescent="0.25">
      <c r="B157" s="7">
        <v>18.27</v>
      </c>
      <c r="J157" s="7">
        <v>23.29</v>
      </c>
      <c r="K157">
        <v>1</v>
      </c>
      <c r="L157">
        <f t="shared" si="8"/>
        <v>2E-3</v>
      </c>
      <c r="M157">
        <f t="shared" si="11"/>
        <v>0.30600000000000022</v>
      </c>
      <c r="N157">
        <f t="shared" si="9"/>
        <v>0.34106650425485113</v>
      </c>
      <c r="O157">
        <f t="shared" si="10"/>
        <v>3.5066504254850916E-2</v>
      </c>
    </row>
    <row r="158" spans="2:15" x14ac:dyDescent="0.25">
      <c r="B158" s="7">
        <v>31.45</v>
      </c>
      <c r="J158" s="7">
        <v>23.31</v>
      </c>
      <c r="K158">
        <v>1</v>
      </c>
      <c r="L158">
        <f t="shared" si="8"/>
        <v>2E-3</v>
      </c>
      <c r="M158">
        <f t="shared" si="11"/>
        <v>0.30800000000000022</v>
      </c>
      <c r="N158">
        <f t="shared" si="9"/>
        <v>0.34258742323504032</v>
      </c>
      <c r="O158">
        <f t="shared" si="10"/>
        <v>3.4587423235040105E-2</v>
      </c>
    </row>
    <row r="159" spans="2:15" x14ac:dyDescent="0.25">
      <c r="B159" s="7">
        <v>24.74</v>
      </c>
      <c r="J159" s="7">
        <v>23.35</v>
      </c>
      <c r="K159">
        <v>1</v>
      </c>
      <c r="L159">
        <f t="shared" si="8"/>
        <v>2E-3</v>
      </c>
      <c r="M159">
        <f t="shared" si="11"/>
        <v>0.31000000000000022</v>
      </c>
      <c r="N159">
        <f t="shared" si="9"/>
        <v>0.34563941193388503</v>
      </c>
      <c r="O159">
        <f t="shared" si="10"/>
        <v>3.5639411933884813E-2</v>
      </c>
    </row>
    <row r="160" spans="2:15" x14ac:dyDescent="0.25">
      <c r="B160" s="7">
        <v>22.51</v>
      </c>
      <c r="J160" s="7">
        <v>23.36</v>
      </c>
      <c r="K160">
        <v>1</v>
      </c>
      <c r="L160">
        <f t="shared" si="8"/>
        <v>2E-3</v>
      </c>
      <c r="M160">
        <f t="shared" si="11"/>
        <v>0.31200000000000022</v>
      </c>
      <c r="N160">
        <f t="shared" si="9"/>
        <v>0.34640452384577641</v>
      </c>
      <c r="O160">
        <f t="shared" si="10"/>
        <v>3.4404523845776191E-2</v>
      </c>
    </row>
    <row r="161" spans="2:15" x14ac:dyDescent="0.25">
      <c r="B161" s="7">
        <v>27.94</v>
      </c>
      <c r="J161" s="7">
        <v>23.37</v>
      </c>
      <c r="K161">
        <v>1</v>
      </c>
      <c r="L161">
        <f t="shared" si="8"/>
        <v>2E-3</v>
      </c>
      <c r="M161">
        <f t="shared" si="11"/>
        <v>0.31400000000000022</v>
      </c>
      <c r="N161">
        <f t="shared" si="9"/>
        <v>0.34717048165254033</v>
      </c>
      <c r="O161">
        <f t="shared" si="10"/>
        <v>3.3170481652540107E-2</v>
      </c>
    </row>
    <row r="162" spans="2:15" x14ac:dyDescent="0.25">
      <c r="B162" s="7">
        <v>26.87</v>
      </c>
      <c r="J162" s="7">
        <v>23.38</v>
      </c>
      <c r="K162">
        <v>1</v>
      </c>
      <c r="L162">
        <f t="shared" si="8"/>
        <v>2E-3</v>
      </c>
      <c r="M162">
        <f t="shared" si="11"/>
        <v>0.31600000000000023</v>
      </c>
      <c r="N162">
        <f t="shared" si="9"/>
        <v>0.34793728535417612</v>
      </c>
      <c r="O162">
        <f t="shared" si="10"/>
        <v>3.1937285354175893E-2</v>
      </c>
    </row>
    <row r="163" spans="2:15" x14ac:dyDescent="0.25">
      <c r="B163" s="7">
        <v>21.81</v>
      </c>
      <c r="J163" s="7">
        <v>23.38</v>
      </c>
      <c r="K163">
        <v>1</v>
      </c>
      <c r="L163">
        <f t="shared" si="8"/>
        <v>2E-3</v>
      </c>
      <c r="M163">
        <f t="shared" si="11"/>
        <v>0.31800000000000023</v>
      </c>
      <c r="N163">
        <f t="shared" si="9"/>
        <v>0.34793728535417612</v>
      </c>
      <c r="O163">
        <f t="shared" si="10"/>
        <v>2.9937285354175891E-2</v>
      </c>
    </row>
    <row r="164" spans="2:15" x14ac:dyDescent="0.25">
      <c r="B164" s="7">
        <v>25.95</v>
      </c>
      <c r="J164" s="7">
        <v>23.39</v>
      </c>
      <c r="K164">
        <v>1</v>
      </c>
      <c r="L164">
        <f t="shared" si="8"/>
        <v>2E-3</v>
      </c>
      <c r="M164">
        <f t="shared" si="11"/>
        <v>0.32000000000000023</v>
      </c>
      <c r="N164">
        <f t="shared" si="9"/>
        <v>0.34870493495068439</v>
      </c>
      <c r="O164">
        <f t="shared" si="10"/>
        <v>2.8704934950684158E-2</v>
      </c>
    </row>
    <row r="165" spans="2:15" x14ac:dyDescent="0.25">
      <c r="B165" s="7">
        <v>24.95</v>
      </c>
      <c r="J165" s="7">
        <v>23.39</v>
      </c>
      <c r="K165">
        <v>1</v>
      </c>
      <c r="L165">
        <f t="shared" si="8"/>
        <v>2E-3</v>
      </c>
      <c r="M165">
        <f t="shared" si="11"/>
        <v>0.32200000000000023</v>
      </c>
      <c r="N165">
        <f t="shared" si="9"/>
        <v>0.34870493495068439</v>
      </c>
      <c r="O165">
        <f t="shared" si="10"/>
        <v>2.6704934950684156E-2</v>
      </c>
    </row>
    <row r="166" spans="2:15" x14ac:dyDescent="0.25">
      <c r="B166" s="7">
        <v>21.66</v>
      </c>
      <c r="J166" s="7">
        <v>23.39</v>
      </c>
      <c r="K166">
        <v>1</v>
      </c>
      <c r="L166">
        <f t="shared" si="8"/>
        <v>2E-3</v>
      </c>
      <c r="M166">
        <f t="shared" si="11"/>
        <v>0.32400000000000023</v>
      </c>
      <c r="N166">
        <f t="shared" si="9"/>
        <v>0.34870493495068439</v>
      </c>
      <c r="O166">
        <f t="shared" si="10"/>
        <v>2.4704934950684154E-2</v>
      </c>
    </row>
    <row r="167" spans="2:15" x14ac:dyDescent="0.25">
      <c r="B167" s="7">
        <v>24.68</v>
      </c>
      <c r="J167" s="7">
        <v>23.4</v>
      </c>
      <c r="K167">
        <v>1</v>
      </c>
      <c r="L167">
        <f t="shared" si="8"/>
        <v>2E-3</v>
      </c>
      <c r="M167">
        <f t="shared" si="11"/>
        <v>0.32600000000000023</v>
      </c>
      <c r="N167">
        <f t="shared" si="9"/>
        <v>0.34947343044206458</v>
      </c>
      <c r="O167">
        <f t="shared" si="10"/>
        <v>2.3473430442064347E-2</v>
      </c>
    </row>
    <row r="168" spans="2:15" x14ac:dyDescent="0.25">
      <c r="B168" s="7">
        <v>23.38</v>
      </c>
      <c r="J168" s="7">
        <v>23.43</v>
      </c>
      <c r="K168">
        <v>1</v>
      </c>
      <c r="L168">
        <f t="shared" si="8"/>
        <v>2E-3</v>
      </c>
      <c r="M168">
        <f t="shared" si="11"/>
        <v>0.32800000000000024</v>
      </c>
      <c r="N168">
        <f t="shared" si="9"/>
        <v>0.35178399228543883</v>
      </c>
      <c r="O168">
        <f t="shared" si="10"/>
        <v>2.3783992285438593E-2</v>
      </c>
    </row>
    <row r="169" spans="2:15" x14ac:dyDescent="0.25">
      <c r="B169" s="7">
        <v>22.71</v>
      </c>
      <c r="J169" s="7">
        <v>23.43</v>
      </c>
      <c r="K169">
        <v>1</v>
      </c>
      <c r="L169">
        <f t="shared" si="8"/>
        <v>2E-3</v>
      </c>
      <c r="M169">
        <f t="shared" si="11"/>
        <v>0.33000000000000024</v>
      </c>
      <c r="N169">
        <f t="shared" si="9"/>
        <v>0.35178399228543883</v>
      </c>
      <c r="O169">
        <f t="shared" si="10"/>
        <v>2.1783992285438591E-2</v>
      </c>
    </row>
    <row r="170" spans="2:15" x14ac:dyDescent="0.25">
      <c r="B170" s="7">
        <v>17</v>
      </c>
      <c r="J170" s="7">
        <v>23.43</v>
      </c>
      <c r="K170">
        <v>1</v>
      </c>
      <c r="L170">
        <f t="shared" si="8"/>
        <v>2E-3</v>
      </c>
      <c r="M170">
        <f t="shared" si="11"/>
        <v>0.33200000000000024</v>
      </c>
      <c r="N170">
        <f t="shared" si="9"/>
        <v>0.35178399228543883</v>
      </c>
      <c r="O170">
        <f t="shared" si="10"/>
        <v>1.978399228543859E-2</v>
      </c>
    </row>
    <row r="171" spans="2:15" x14ac:dyDescent="0.25">
      <c r="B171" s="7">
        <v>27.68</v>
      </c>
      <c r="J171" s="7">
        <v>23.44</v>
      </c>
      <c r="K171">
        <v>1</v>
      </c>
      <c r="L171">
        <f t="shared" si="8"/>
        <v>2E-3</v>
      </c>
      <c r="M171">
        <f t="shared" si="11"/>
        <v>0.33400000000000024</v>
      </c>
      <c r="N171">
        <f t="shared" si="9"/>
        <v>0.35255587135630795</v>
      </c>
      <c r="O171">
        <f t="shared" si="10"/>
        <v>1.8555871356307707E-2</v>
      </c>
    </row>
    <row r="172" spans="2:15" x14ac:dyDescent="0.25">
      <c r="B172" s="7">
        <v>28.25</v>
      </c>
      <c r="J172" s="7">
        <v>23.45</v>
      </c>
      <c r="K172">
        <v>1</v>
      </c>
      <c r="L172">
        <f t="shared" si="8"/>
        <v>2E-3</v>
      </c>
      <c r="M172">
        <f t="shared" si="11"/>
        <v>0.33600000000000024</v>
      </c>
      <c r="N172">
        <f t="shared" si="9"/>
        <v>0.3533285963220491</v>
      </c>
      <c r="O172">
        <f t="shared" si="10"/>
        <v>1.7328596322048861E-2</v>
      </c>
    </row>
    <row r="173" spans="2:15" x14ac:dyDescent="0.25">
      <c r="B173" s="7">
        <v>30.42</v>
      </c>
      <c r="J173" s="7">
        <v>23.46</v>
      </c>
      <c r="K173">
        <v>1</v>
      </c>
      <c r="L173">
        <f t="shared" si="8"/>
        <v>2E-3</v>
      </c>
      <c r="M173">
        <f t="shared" si="11"/>
        <v>0.33800000000000024</v>
      </c>
      <c r="N173">
        <f t="shared" si="9"/>
        <v>0.35410216718266269</v>
      </c>
      <c r="O173">
        <f t="shared" si="10"/>
        <v>1.6102167182662441E-2</v>
      </c>
    </row>
    <row r="174" spans="2:15" x14ac:dyDescent="0.25">
      <c r="B174" s="7">
        <v>24.16</v>
      </c>
      <c r="J174" s="7">
        <v>23.47</v>
      </c>
      <c r="K174">
        <v>1</v>
      </c>
      <c r="L174">
        <f t="shared" si="8"/>
        <v>2E-3</v>
      </c>
      <c r="M174">
        <f t="shared" si="11"/>
        <v>0.34000000000000025</v>
      </c>
      <c r="N174">
        <f t="shared" si="9"/>
        <v>0.35487658393814808</v>
      </c>
      <c r="O174">
        <f t="shared" si="10"/>
        <v>1.4876583938147836E-2</v>
      </c>
    </row>
    <row r="175" spans="2:15" x14ac:dyDescent="0.25">
      <c r="B175" s="7">
        <v>15.16</v>
      </c>
      <c r="J175" s="7">
        <v>23.49</v>
      </c>
      <c r="K175">
        <v>1</v>
      </c>
      <c r="L175">
        <f t="shared" si="8"/>
        <v>2E-3</v>
      </c>
      <c r="M175">
        <f t="shared" si="11"/>
        <v>0.34200000000000025</v>
      </c>
      <c r="N175">
        <f t="shared" si="9"/>
        <v>0.35642795513373587</v>
      </c>
      <c r="O175">
        <f t="shared" si="10"/>
        <v>1.4427955133735626E-2</v>
      </c>
    </row>
    <row r="176" spans="2:15" x14ac:dyDescent="0.25">
      <c r="B176" s="7">
        <v>26.77</v>
      </c>
      <c r="J176" s="7">
        <v>23.52</v>
      </c>
      <c r="K176">
        <v>1</v>
      </c>
      <c r="L176">
        <f t="shared" si="8"/>
        <v>2E-3</v>
      </c>
      <c r="M176">
        <f t="shared" si="11"/>
        <v>0.34400000000000025</v>
      </c>
      <c r="N176">
        <f t="shared" si="9"/>
        <v>0.35876135613865912</v>
      </c>
      <c r="O176">
        <f t="shared" si="10"/>
        <v>1.4761356138658865E-2</v>
      </c>
    </row>
    <row r="177" spans="2:15" x14ac:dyDescent="0.25">
      <c r="B177" s="7">
        <v>27.09</v>
      </c>
      <c r="J177" s="7">
        <v>23.53</v>
      </c>
      <c r="K177">
        <v>1</v>
      </c>
      <c r="L177">
        <f t="shared" si="8"/>
        <v>2E-3</v>
      </c>
      <c r="M177">
        <f t="shared" si="11"/>
        <v>0.34600000000000025</v>
      </c>
      <c r="N177">
        <f t="shared" si="9"/>
        <v>0.35954084826337795</v>
      </c>
      <c r="O177">
        <f t="shared" si="10"/>
        <v>1.3540848263377703E-2</v>
      </c>
    </row>
    <row r="178" spans="2:15" x14ac:dyDescent="0.25">
      <c r="B178" s="7">
        <v>31.54</v>
      </c>
      <c r="J178" s="7">
        <v>23.55</v>
      </c>
      <c r="K178">
        <v>1</v>
      </c>
      <c r="L178">
        <f t="shared" si="8"/>
        <v>2E-3</v>
      </c>
      <c r="M178">
        <f t="shared" si="11"/>
        <v>0.34800000000000025</v>
      </c>
      <c r="N178">
        <f t="shared" si="9"/>
        <v>0.36110237019743197</v>
      </c>
      <c r="O178">
        <f t="shared" si="10"/>
        <v>1.3102370197431712E-2</v>
      </c>
    </row>
    <row r="179" spans="2:15" x14ac:dyDescent="0.25">
      <c r="B179" s="7">
        <v>18.28</v>
      </c>
      <c r="J179" s="7">
        <v>23.56</v>
      </c>
      <c r="K179">
        <v>1</v>
      </c>
      <c r="L179">
        <f t="shared" si="8"/>
        <v>2E-3</v>
      </c>
      <c r="M179">
        <f t="shared" si="11"/>
        <v>0.35000000000000026</v>
      </c>
      <c r="N179">
        <f t="shared" si="9"/>
        <v>0.36188440000676714</v>
      </c>
      <c r="O179">
        <f t="shared" si="10"/>
        <v>1.1884400006766882E-2</v>
      </c>
    </row>
    <row r="180" spans="2:15" x14ac:dyDescent="0.25">
      <c r="B180" s="7">
        <v>21.93</v>
      </c>
      <c r="J180" s="7">
        <v>23.57</v>
      </c>
      <c r="K180">
        <v>1</v>
      </c>
      <c r="L180">
        <f t="shared" si="8"/>
        <v>2E-3</v>
      </c>
      <c r="M180">
        <f t="shared" si="11"/>
        <v>0.35200000000000026</v>
      </c>
      <c r="N180">
        <f t="shared" si="9"/>
        <v>0.36266727571097468</v>
      </c>
      <c r="O180">
        <f t="shared" si="10"/>
        <v>1.0667275710974422E-2</v>
      </c>
    </row>
    <row r="181" spans="2:15" x14ac:dyDescent="0.25">
      <c r="B181" s="7">
        <v>24.84</v>
      </c>
      <c r="J181" s="7">
        <v>23.59</v>
      </c>
      <c r="K181">
        <v>1</v>
      </c>
      <c r="L181">
        <f t="shared" si="8"/>
        <v>2E-3</v>
      </c>
      <c r="M181">
        <f t="shared" si="11"/>
        <v>0.35400000000000026</v>
      </c>
      <c r="N181">
        <f t="shared" si="9"/>
        <v>0.36423556480400621</v>
      </c>
      <c r="O181">
        <f t="shared" si="10"/>
        <v>1.0235564804005948E-2</v>
      </c>
    </row>
    <row r="182" spans="2:15" x14ac:dyDescent="0.25">
      <c r="B182" s="7">
        <v>25.22</v>
      </c>
      <c r="J182" s="7">
        <v>23.59</v>
      </c>
      <c r="K182">
        <v>1</v>
      </c>
      <c r="L182">
        <f t="shared" si="8"/>
        <v>2E-3</v>
      </c>
      <c r="M182">
        <f t="shared" si="11"/>
        <v>0.35600000000000026</v>
      </c>
      <c r="N182">
        <f t="shared" si="9"/>
        <v>0.36423556480400621</v>
      </c>
      <c r="O182">
        <f t="shared" si="10"/>
        <v>8.2355648040059459E-3</v>
      </c>
    </row>
    <row r="183" spans="2:15" x14ac:dyDescent="0.25">
      <c r="B183" s="7">
        <v>14.31</v>
      </c>
      <c r="J183" s="7">
        <v>23.65</v>
      </c>
      <c r="K183">
        <v>1</v>
      </c>
      <c r="L183">
        <f t="shared" si="8"/>
        <v>2E-3</v>
      </c>
      <c r="M183">
        <f t="shared" si="11"/>
        <v>0.35800000000000026</v>
      </c>
      <c r="N183">
        <f t="shared" si="9"/>
        <v>0.36896073356003306</v>
      </c>
      <c r="O183">
        <f t="shared" si="10"/>
        <v>1.0960733560032798E-2</v>
      </c>
    </row>
    <row r="184" spans="2:15" x14ac:dyDescent="0.25">
      <c r="B184" s="7">
        <v>21.18</v>
      </c>
      <c r="J184" s="7">
        <v>23.66</v>
      </c>
      <c r="K184">
        <v>1</v>
      </c>
      <c r="L184">
        <f t="shared" si="8"/>
        <v>2E-3</v>
      </c>
      <c r="M184">
        <f t="shared" si="11"/>
        <v>0.36000000000000026</v>
      </c>
      <c r="N184">
        <f t="shared" si="9"/>
        <v>0.36975122231809038</v>
      </c>
      <c r="O184">
        <f t="shared" si="10"/>
        <v>9.7512223180901136E-3</v>
      </c>
    </row>
    <row r="185" spans="2:15" x14ac:dyDescent="0.25">
      <c r="B185" s="7">
        <v>25.73</v>
      </c>
      <c r="J185" s="7">
        <v>23.7</v>
      </c>
      <c r="K185">
        <v>1</v>
      </c>
      <c r="L185">
        <f t="shared" si="8"/>
        <v>2E-3</v>
      </c>
      <c r="M185">
        <f t="shared" si="11"/>
        <v>0.36200000000000027</v>
      </c>
      <c r="N185">
        <f t="shared" si="9"/>
        <v>0.37292163629904074</v>
      </c>
      <c r="O185">
        <f t="shared" si="10"/>
        <v>1.0921636299040471E-2</v>
      </c>
    </row>
    <row r="186" spans="2:15" x14ac:dyDescent="0.25">
      <c r="B186" s="7">
        <v>22.4</v>
      </c>
      <c r="J186" s="7">
        <v>23.7</v>
      </c>
      <c r="K186">
        <v>1</v>
      </c>
      <c r="L186">
        <f t="shared" si="8"/>
        <v>2E-3</v>
      </c>
      <c r="M186">
        <f t="shared" si="11"/>
        <v>0.36400000000000027</v>
      </c>
      <c r="N186">
        <f t="shared" si="9"/>
        <v>0.37292163629904074</v>
      </c>
      <c r="O186">
        <f t="shared" si="10"/>
        <v>8.9216362990404696E-3</v>
      </c>
    </row>
    <row r="187" spans="2:15" x14ac:dyDescent="0.25">
      <c r="B187" s="7">
        <v>22.77</v>
      </c>
      <c r="J187" s="7">
        <v>23.73</v>
      </c>
      <c r="K187">
        <v>1</v>
      </c>
      <c r="L187">
        <f t="shared" si="8"/>
        <v>2E-3</v>
      </c>
      <c r="M187">
        <f t="shared" si="11"/>
        <v>0.36600000000000027</v>
      </c>
      <c r="N187">
        <f t="shared" si="9"/>
        <v>0.37530832868091163</v>
      </c>
      <c r="O187">
        <f t="shared" si="10"/>
        <v>9.3083286809113597E-3</v>
      </c>
    </row>
    <row r="188" spans="2:15" x14ac:dyDescent="0.25">
      <c r="B188" s="7">
        <v>29.35</v>
      </c>
      <c r="J188" s="7">
        <v>23.74</v>
      </c>
      <c r="K188">
        <v>1</v>
      </c>
      <c r="L188">
        <f t="shared" si="8"/>
        <v>2E-3</v>
      </c>
      <c r="M188">
        <f t="shared" si="11"/>
        <v>0.36800000000000027</v>
      </c>
      <c r="N188">
        <f t="shared" si="9"/>
        <v>0.37610558459794607</v>
      </c>
      <c r="O188">
        <f t="shared" si="10"/>
        <v>8.105584597945803E-3</v>
      </c>
    </row>
    <row r="189" spans="2:15" x14ac:dyDescent="0.25">
      <c r="B189" s="7">
        <v>20.54</v>
      </c>
      <c r="J189" s="7">
        <v>23.74</v>
      </c>
      <c r="K189">
        <v>1</v>
      </c>
      <c r="L189">
        <f t="shared" si="8"/>
        <v>2E-3</v>
      </c>
      <c r="M189">
        <f t="shared" si="11"/>
        <v>0.37000000000000027</v>
      </c>
      <c r="N189">
        <f t="shared" si="9"/>
        <v>0.37610558459794607</v>
      </c>
      <c r="O189">
        <f t="shared" si="10"/>
        <v>6.1055845979458012E-3</v>
      </c>
    </row>
    <row r="190" spans="2:15" x14ac:dyDescent="0.25">
      <c r="B190" s="7">
        <v>24.97</v>
      </c>
      <c r="J190" s="7">
        <v>23.77</v>
      </c>
      <c r="K190">
        <v>1</v>
      </c>
      <c r="L190">
        <f t="shared" si="8"/>
        <v>2E-3</v>
      </c>
      <c r="M190">
        <f t="shared" si="11"/>
        <v>0.37200000000000027</v>
      </c>
      <c r="N190">
        <f t="shared" si="9"/>
        <v>0.37850242771828313</v>
      </c>
      <c r="O190">
        <f t="shared" si="10"/>
        <v>6.5024277182828549E-3</v>
      </c>
    </row>
    <row r="191" spans="2:15" x14ac:dyDescent="0.25">
      <c r="B191" s="7">
        <v>24.73</v>
      </c>
      <c r="J191" s="7">
        <v>23.8</v>
      </c>
      <c r="K191">
        <v>1</v>
      </c>
      <c r="L191">
        <f t="shared" si="8"/>
        <v>2E-3</v>
      </c>
      <c r="M191">
        <f t="shared" si="11"/>
        <v>0.37400000000000028</v>
      </c>
      <c r="N191">
        <f t="shared" si="9"/>
        <v>0.38090688389246996</v>
      </c>
      <c r="O191">
        <f t="shared" si="10"/>
        <v>6.906883892469684E-3</v>
      </c>
    </row>
    <row r="192" spans="2:15" x14ac:dyDescent="0.25">
      <c r="B192" s="7">
        <v>28.35</v>
      </c>
      <c r="J192" s="7">
        <v>23.81</v>
      </c>
      <c r="K192">
        <v>1</v>
      </c>
      <c r="L192">
        <f t="shared" si="8"/>
        <v>2E-3</v>
      </c>
      <c r="M192">
        <f t="shared" si="11"/>
        <v>0.37600000000000028</v>
      </c>
      <c r="N192">
        <f t="shared" si="9"/>
        <v>0.38171006107360972</v>
      </c>
      <c r="O192">
        <f t="shared" si="10"/>
        <v>5.7100610736094404E-3</v>
      </c>
    </row>
    <row r="193" spans="2:15" x14ac:dyDescent="0.25">
      <c r="B193" s="7">
        <v>20.43</v>
      </c>
      <c r="J193" s="7">
        <v>23.82</v>
      </c>
      <c r="K193">
        <v>1</v>
      </c>
      <c r="L193">
        <f t="shared" si="8"/>
        <v>2E-3</v>
      </c>
      <c r="M193">
        <f t="shared" si="11"/>
        <v>0.37800000000000028</v>
      </c>
      <c r="N193">
        <f t="shared" si="9"/>
        <v>0.38251408414962196</v>
      </c>
      <c r="O193">
        <f t="shared" si="10"/>
        <v>4.5140841496216777E-3</v>
      </c>
    </row>
    <row r="194" spans="2:15" x14ac:dyDescent="0.25">
      <c r="B194" s="7">
        <v>27.24</v>
      </c>
      <c r="J194" s="7">
        <v>23.84</v>
      </c>
      <c r="K194">
        <v>1</v>
      </c>
      <c r="L194">
        <f t="shared" si="8"/>
        <v>2E-3</v>
      </c>
      <c r="M194">
        <f t="shared" si="11"/>
        <v>0.38000000000000028</v>
      </c>
      <c r="N194">
        <f t="shared" si="9"/>
        <v>0.38412466798626271</v>
      </c>
      <c r="O194">
        <f t="shared" si="10"/>
        <v>4.1246679862624314E-3</v>
      </c>
    </row>
    <row r="195" spans="2:15" x14ac:dyDescent="0.25">
      <c r="B195" s="7">
        <v>26.47</v>
      </c>
      <c r="J195" s="7">
        <v>23.87</v>
      </c>
      <c r="K195">
        <v>1</v>
      </c>
      <c r="L195">
        <f t="shared" si="8"/>
        <v>2E-3</v>
      </c>
      <c r="M195">
        <f t="shared" si="11"/>
        <v>0.38200000000000028</v>
      </c>
      <c r="N195">
        <f t="shared" si="9"/>
        <v>0.38654688795276532</v>
      </c>
      <c r="O195">
        <f t="shared" si="10"/>
        <v>4.546887952765033E-3</v>
      </c>
    </row>
    <row r="196" spans="2:15" x14ac:dyDescent="0.25">
      <c r="B196" s="7">
        <v>25.19</v>
      </c>
      <c r="J196" s="7">
        <v>23.89</v>
      </c>
      <c r="K196">
        <v>1</v>
      </c>
      <c r="L196">
        <f t="shared" si="8"/>
        <v>2E-3</v>
      </c>
      <c r="M196">
        <f t="shared" si="11"/>
        <v>0.38400000000000029</v>
      </c>
      <c r="N196">
        <f t="shared" si="9"/>
        <v>0.38816593073812794</v>
      </c>
      <c r="O196">
        <f t="shared" si="10"/>
        <v>4.1659307381276545E-3</v>
      </c>
    </row>
    <row r="197" spans="2:15" x14ac:dyDescent="0.25">
      <c r="B197" s="7">
        <v>26.14</v>
      </c>
      <c r="J197" s="7">
        <v>23.91</v>
      </c>
      <c r="K197">
        <v>1</v>
      </c>
      <c r="L197">
        <f t="shared" si="8"/>
        <v>2E-3</v>
      </c>
      <c r="M197">
        <f t="shared" si="11"/>
        <v>0.38600000000000029</v>
      </c>
      <c r="N197">
        <f t="shared" si="9"/>
        <v>0.38978835710297932</v>
      </c>
      <c r="O197">
        <f t="shared" si="10"/>
        <v>3.7883571029790342E-3</v>
      </c>
    </row>
    <row r="198" spans="2:15" x14ac:dyDescent="0.25">
      <c r="B198" s="7">
        <v>26.84</v>
      </c>
      <c r="J198" s="7">
        <v>23.98</v>
      </c>
      <c r="K198">
        <v>1</v>
      </c>
      <c r="L198">
        <f t="shared" ref="L198:L261" si="12">K198/$E$20</f>
        <v>2E-3</v>
      </c>
      <c r="M198">
        <f t="shared" si="11"/>
        <v>0.38800000000000029</v>
      </c>
      <c r="N198">
        <f t="shared" ref="N198:N261" si="13">(J198-$H$7)^2/(($H$8-$H$7)*($H$9-$H$7))</f>
        <v>0.39549349506843295</v>
      </c>
      <c r="O198">
        <f t="shared" ref="O198:O261" si="14">ABS(M198-N198)</f>
        <v>7.4934950684326651E-3</v>
      </c>
    </row>
    <row r="199" spans="2:15" x14ac:dyDescent="0.25">
      <c r="B199" s="7">
        <v>25.38</v>
      </c>
      <c r="J199" s="7">
        <v>23.98</v>
      </c>
      <c r="K199">
        <v>1</v>
      </c>
      <c r="L199">
        <f t="shared" si="12"/>
        <v>2E-3</v>
      </c>
      <c r="M199">
        <f t="shared" ref="M199:M262" si="15">M198+L199</f>
        <v>0.39000000000000029</v>
      </c>
      <c r="N199">
        <f t="shared" si="13"/>
        <v>0.39549349506843295</v>
      </c>
      <c r="O199">
        <f t="shared" si="14"/>
        <v>5.4934950684326633E-3</v>
      </c>
    </row>
    <row r="200" spans="2:15" x14ac:dyDescent="0.25">
      <c r="B200" s="7">
        <v>21.54</v>
      </c>
      <c r="J200" s="7">
        <v>24</v>
      </c>
      <c r="K200">
        <v>1</v>
      </c>
      <c r="L200">
        <f t="shared" si="12"/>
        <v>2E-3</v>
      </c>
      <c r="M200">
        <f t="shared" si="15"/>
        <v>0.39200000000000029</v>
      </c>
      <c r="N200">
        <f t="shared" si="13"/>
        <v>0.39713114754098366</v>
      </c>
      <c r="O200">
        <f t="shared" si="14"/>
        <v>5.1311475409833718E-3</v>
      </c>
    </row>
    <row r="201" spans="2:15" x14ac:dyDescent="0.25">
      <c r="B201" s="7">
        <v>21.24</v>
      </c>
      <c r="J201" s="7">
        <v>24.02</v>
      </c>
      <c r="K201">
        <v>1</v>
      </c>
      <c r="L201">
        <f t="shared" si="12"/>
        <v>2E-3</v>
      </c>
      <c r="M201">
        <f t="shared" si="15"/>
        <v>0.39400000000000029</v>
      </c>
      <c r="N201">
        <f t="shared" si="13"/>
        <v>0.39877218359302308</v>
      </c>
      <c r="O201">
        <f t="shared" si="14"/>
        <v>4.7721835930227829E-3</v>
      </c>
    </row>
    <row r="202" spans="2:15" x14ac:dyDescent="0.25">
      <c r="B202" s="7">
        <v>21.57</v>
      </c>
      <c r="J202" s="7">
        <v>24.03</v>
      </c>
      <c r="K202">
        <v>1</v>
      </c>
      <c r="L202">
        <f t="shared" si="12"/>
        <v>2E-3</v>
      </c>
      <c r="M202">
        <f t="shared" si="15"/>
        <v>0.3960000000000003</v>
      </c>
      <c r="N202">
        <f t="shared" si="13"/>
        <v>0.3995939704613512</v>
      </c>
      <c r="O202">
        <f t="shared" si="14"/>
        <v>3.5939704613509038E-3</v>
      </c>
    </row>
    <row r="203" spans="2:15" x14ac:dyDescent="0.25">
      <c r="B203" s="7">
        <v>24.74</v>
      </c>
      <c r="J203" s="7">
        <v>24.06</v>
      </c>
      <c r="K203">
        <v>1</v>
      </c>
      <c r="L203">
        <f t="shared" si="12"/>
        <v>2E-3</v>
      </c>
      <c r="M203">
        <f t="shared" si="15"/>
        <v>0.3980000000000003</v>
      </c>
      <c r="N203">
        <f t="shared" si="13"/>
        <v>0.40206440643556818</v>
      </c>
      <c r="O203">
        <f t="shared" si="14"/>
        <v>4.0644064355678799E-3</v>
      </c>
    </row>
    <row r="204" spans="2:15" x14ac:dyDescent="0.25">
      <c r="B204" s="7">
        <v>28.33</v>
      </c>
      <c r="J204" s="7">
        <v>24.06</v>
      </c>
      <c r="K204">
        <v>1</v>
      </c>
      <c r="L204">
        <f t="shared" si="12"/>
        <v>2E-3</v>
      </c>
      <c r="M204">
        <f t="shared" si="15"/>
        <v>0.4000000000000003</v>
      </c>
      <c r="N204">
        <f t="shared" si="13"/>
        <v>0.40206440643556818</v>
      </c>
      <c r="O204">
        <f t="shared" si="14"/>
        <v>2.0644064355678782E-3</v>
      </c>
    </row>
    <row r="205" spans="2:15" x14ac:dyDescent="0.25">
      <c r="B205" s="7">
        <v>19.28</v>
      </c>
      <c r="J205" s="7">
        <v>24.09</v>
      </c>
      <c r="K205">
        <v>1</v>
      </c>
      <c r="L205">
        <f t="shared" si="12"/>
        <v>2E-3</v>
      </c>
      <c r="M205">
        <f t="shared" si="15"/>
        <v>0.4020000000000003</v>
      </c>
      <c r="N205">
        <f t="shared" si="13"/>
        <v>0.40454245546363499</v>
      </c>
      <c r="O205">
        <f t="shared" si="14"/>
        <v>2.5424554636346852E-3</v>
      </c>
    </row>
    <row r="206" spans="2:15" x14ac:dyDescent="0.25">
      <c r="B206" s="7">
        <v>21.14</v>
      </c>
      <c r="J206" s="7">
        <v>24.15</v>
      </c>
      <c r="K206">
        <v>1</v>
      </c>
      <c r="L206">
        <f t="shared" si="12"/>
        <v>2E-3</v>
      </c>
      <c r="M206">
        <f t="shared" si="15"/>
        <v>0.4040000000000003</v>
      </c>
      <c r="N206">
        <f t="shared" si="13"/>
        <v>0.40952139268131749</v>
      </c>
      <c r="O206">
        <f t="shared" si="14"/>
        <v>5.5213926813171832E-3</v>
      </c>
    </row>
    <row r="207" spans="2:15" x14ac:dyDescent="0.25">
      <c r="B207" s="7">
        <v>27.01</v>
      </c>
      <c r="J207" s="7">
        <v>24.16</v>
      </c>
      <c r="K207">
        <v>1</v>
      </c>
      <c r="L207">
        <f t="shared" si="12"/>
        <v>2E-3</v>
      </c>
      <c r="M207">
        <f t="shared" si="15"/>
        <v>0.40600000000000031</v>
      </c>
      <c r="N207">
        <f t="shared" si="13"/>
        <v>0.41035417618298403</v>
      </c>
      <c r="O207">
        <f t="shared" si="14"/>
        <v>4.3541761829837267E-3</v>
      </c>
    </row>
    <row r="208" spans="2:15" x14ac:dyDescent="0.25">
      <c r="B208" s="7">
        <v>21.4</v>
      </c>
      <c r="J208" s="7">
        <v>24.18</v>
      </c>
      <c r="K208">
        <v>1</v>
      </c>
      <c r="L208">
        <f t="shared" si="12"/>
        <v>2E-3</v>
      </c>
      <c r="M208">
        <f t="shared" si="15"/>
        <v>0.40800000000000031</v>
      </c>
      <c r="N208">
        <f t="shared" si="13"/>
        <v>0.4120222808709334</v>
      </c>
      <c r="O208">
        <f t="shared" si="14"/>
        <v>4.0222808709330926E-3</v>
      </c>
    </row>
    <row r="209" spans="2:15" x14ac:dyDescent="0.25">
      <c r="B209" s="7">
        <v>28.35</v>
      </c>
      <c r="J209" s="7">
        <v>24.2</v>
      </c>
      <c r="K209">
        <v>1</v>
      </c>
      <c r="L209">
        <f t="shared" si="12"/>
        <v>2E-3</v>
      </c>
      <c r="M209">
        <f t="shared" si="15"/>
        <v>0.41000000000000031</v>
      </c>
      <c r="N209">
        <f t="shared" si="13"/>
        <v>0.41369376913837147</v>
      </c>
      <c r="O209">
        <f t="shared" si="14"/>
        <v>3.6937691383711613E-3</v>
      </c>
    </row>
    <row r="210" spans="2:15" x14ac:dyDescent="0.25">
      <c r="B210" s="7">
        <v>22.15</v>
      </c>
      <c r="J210" s="7">
        <v>24.21</v>
      </c>
      <c r="K210">
        <v>1</v>
      </c>
      <c r="L210">
        <f t="shared" si="12"/>
        <v>2E-3</v>
      </c>
      <c r="M210">
        <f t="shared" si="15"/>
        <v>0.41200000000000031</v>
      </c>
      <c r="N210">
        <f t="shared" si="13"/>
        <v>0.41453078211439892</v>
      </c>
      <c r="O210">
        <f t="shared" si="14"/>
        <v>2.5307821143986109E-3</v>
      </c>
    </row>
    <row r="211" spans="2:15" x14ac:dyDescent="0.25">
      <c r="B211" s="7">
        <v>26.78</v>
      </c>
      <c r="J211" s="7">
        <v>24.23</v>
      </c>
      <c r="K211">
        <v>1</v>
      </c>
      <c r="L211">
        <f t="shared" si="12"/>
        <v>2E-3</v>
      </c>
      <c r="M211">
        <f t="shared" si="15"/>
        <v>0.41400000000000031</v>
      </c>
      <c r="N211">
        <f t="shared" si="13"/>
        <v>0.41620734575107016</v>
      </c>
      <c r="O211">
        <f t="shared" si="14"/>
        <v>2.2073457510698447E-3</v>
      </c>
    </row>
    <row r="212" spans="2:15" x14ac:dyDescent="0.25">
      <c r="B212" s="7">
        <v>26.85</v>
      </c>
      <c r="J212" s="7">
        <v>24.25</v>
      </c>
      <c r="K212">
        <v>1</v>
      </c>
      <c r="L212">
        <f t="shared" si="12"/>
        <v>2E-3</v>
      </c>
      <c r="M212">
        <f t="shared" si="15"/>
        <v>0.41600000000000031</v>
      </c>
      <c r="N212">
        <f t="shared" si="13"/>
        <v>0.4178872929672301</v>
      </c>
      <c r="O212">
        <f t="shared" si="14"/>
        <v>1.8872929672297811E-3</v>
      </c>
    </row>
    <row r="213" spans="2:15" x14ac:dyDescent="0.25">
      <c r="B213" s="7">
        <v>20.34</v>
      </c>
      <c r="J213" s="7">
        <v>24.26</v>
      </c>
      <c r="K213">
        <v>1</v>
      </c>
      <c r="L213">
        <f t="shared" si="12"/>
        <v>2E-3</v>
      </c>
      <c r="M213">
        <f t="shared" si="15"/>
        <v>0.41800000000000032</v>
      </c>
      <c r="N213">
        <f t="shared" si="13"/>
        <v>0.41872853541761851</v>
      </c>
      <c r="O213">
        <f t="shared" si="14"/>
        <v>7.285354176181924E-4</v>
      </c>
    </row>
    <row r="214" spans="2:15" x14ac:dyDescent="0.25">
      <c r="B214" s="7">
        <v>24.8</v>
      </c>
      <c r="J214" s="7">
        <v>24.27</v>
      </c>
      <c r="K214">
        <v>1</v>
      </c>
      <c r="L214">
        <f t="shared" si="12"/>
        <v>2E-3</v>
      </c>
      <c r="M214">
        <f t="shared" si="15"/>
        <v>0.42000000000000032</v>
      </c>
      <c r="N214">
        <f t="shared" si="13"/>
        <v>0.41957062376287879</v>
      </c>
      <c r="O214">
        <f t="shared" si="14"/>
        <v>4.2937623712152595E-4</v>
      </c>
    </row>
    <row r="215" spans="2:15" x14ac:dyDescent="0.25">
      <c r="B215" s="7">
        <v>22.2</v>
      </c>
      <c r="J215" s="7">
        <v>24.27</v>
      </c>
      <c r="K215">
        <v>1</v>
      </c>
      <c r="L215">
        <f t="shared" si="12"/>
        <v>2E-3</v>
      </c>
      <c r="M215">
        <f t="shared" si="15"/>
        <v>0.42200000000000032</v>
      </c>
      <c r="N215">
        <f t="shared" si="13"/>
        <v>0.41957062376287879</v>
      </c>
      <c r="O215">
        <f t="shared" si="14"/>
        <v>2.4293762371215277E-3</v>
      </c>
    </row>
    <row r="216" spans="2:15" x14ac:dyDescent="0.25">
      <c r="B216" s="7">
        <v>23.59</v>
      </c>
      <c r="J216" s="7">
        <v>24.31</v>
      </c>
      <c r="K216">
        <v>1</v>
      </c>
      <c r="L216">
        <f t="shared" si="12"/>
        <v>2E-3</v>
      </c>
      <c r="M216">
        <f t="shared" si="15"/>
        <v>0.42400000000000032</v>
      </c>
      <c r="N216">
        <f t="shared" si="13"/>
        <v>0.42294743609264235</v>
      </c>
      <c r="O216">
        <f t="shared" si="14"/>
        <v>1.0525639073579729E-3</v>
      </c>
    </row>
    <row r="217" spans="2:15" x14ac:dyDescent="0.25">
      <c r="B217" s="7">
        <v>24.35</v>
      </c>
      <c r="J217" s="7">
        <v>24.32</v>
      </c>
      <c r="K217">
        <v>1</v>
      </c>
      <c r="L217">
        <f t="shared" si="12"/>
        <v>2E-3</v>
      </c>
      <c r="M217">
        <f t="shared" si="15"/>
        <v>0.42600000000000032</v>
      </c>
      <c r="N217">
        <f t="shared" si="13"/>
        <v>0.42379375391226382</v>
      </c>
      <c r="O217">
        <f t="shared" si="14"/>
        <v>2.2062460877365075E-3</v>
      </c>
    </row>
    <row r="218" spans="2:15" x14ac:dyDescent="0.25">
      <c r="B218" s="7">
        <v>22.6</v>
      </c>
      <c r="J218" s="7">
        <v>24.33</v>
      </c>
      <c r="K218">
        <v>1</v>
      </c>
      <c r="L218">
        <f t="shared" si="12"/>
        <v>2E-3</v>
      </c>
      <c r="M218">
        <f t="shared" si="15"/>
        <v>0.42800000000000032</v>
      </c>
      <c r="N218">
        <f t="shared" si="13"/>
        <v>0.42464091762675726</v>
      </c>
      <c r="O218">
        <f t="shared" si="14"/>
        <v>3.3590823732430608E-3</v>
      </c>
    </row>
    <row r="219" spans="2:15" x14ac:dyDescent="0.25">
      <c r="B219" s="7">
        <v>20.77</v>
      </c>
      <c r="J219" s="7">
        <v>24.33</v>
      </c>
      <c r="K219">
        <v>1</v>
      </c>
      <c r="L219">
        <f t="shared" si="12"/>
        <v>2E-3</v>
      </c>
      <c r="M219">
        <f t="shared" si="15"/>
        <v>0.43000000000000033</v>
      </c>
      <c r="N219">
        <f t="shared" si="13"/>
        <v>0.42464091762675726</v>
      </c>
      <c r="O219">
        <f t="shared" si="14"/>
        <v>5.3590823732430626E-3</v>
      </c>
    </row>
    <row r="220" spans="2:15" x14ac:dyDescent="0.25">
      <c r="B220" s="7">
        <v>26.32</v>
      </c>
      <c r="J220" s="7">
        <v>24.35</v>
      </c>
      <c r="K220">
        <v>1</v>
      </c>
      <c r="L220">
        <f t="shared" si="12"/>
        <v>2E-3</v>
      </c>
      <c r="M220">
        <f t="shared" si="15"/>
        <v>0.43200000000000033</v>
      </c>
      <c r="N220">
        <f t="shared" si="13"/>
        <v>0.42633778274036122</v>
      </c>
      <c r="O220">
        <f t="shared" si="14"/>
        <v>5.6622172596391129E-3</v>
      </c>
    </row>
    <row r="221" spans="2:15" x14ac:dyDescent="0.25">
      <c r="B221" s="7">
        <v>28.99</v>
      </c>
      <c r="J221" s="7">
        <v>24.37</v>
      </c>
      <c r="K221">
        <v>1</v>
      </c>
      <c r="L221">
        <f t="shared" si="12"/>
        <v>2E-3</v>
      </c>
      <c r="M221">
        <f t="shared" si="15"/>
        <v>0.43400000000000033</v>
      </c>
      <c r="N221">
        <f t="shared" si="13"/>
        <v>0.42803803143345359</v>
      </c>
      <c r="O221">
        <f t="shared" si="14"/>
        <v>5.9619685665467381E-3</v>
      </c>
    </row>
    <row r="222" spans="2:15" x14ac:dyDescent="0.25">
      <c r="B222" s="7">
        <v>29.03</v>
      </c>
      <c r="J222" s="7">
        <v>24.37</v>
      </c>
      <c r="K222">
        <v>1</v>
      </c>
      <c r="L222">
        <f t="shared" si="12"/>
        <v>2E-3</v>
      </c>
      <c r="M222">
        <f t="shared" si="15"/>
        <v>0.43600000000000033</v>
      </c>
      <c r="N222">
        <f t="shared" si="13"/>
        <v>0.42803803143345359</v>
      </c>
      <c r="O222">
        <f t="shared" si="14"/>
        <v>7.9619685665467399E-3</v>
      </c>
    </row>
    <row r="223" spans="2:15" x14ac:dyDescent="0.25">
      <c r="B223" s="7">
        <v>16.43</v>
      </c>
      <c r="J223" s="7">
        <v>24.41</v>
      </c>
      <c r="K223">
        <v>1</v>
      </c>
      <c r="L223">
        <f t="shared" si="12"/>
        <v>2E-3</v>
      </c>
      <c r="M223">
        <f t="shared" si="15"/>
        <v>0.43800000000000033</v>
      </c>
      <c r="N223">
        <f t="shared" si="13"/>
        <v>0.43144867955810456</v>
      </c>
      <c r="O223">
        <f t="shared" si="14"/>
        <v>6.5513204418957693E-3</v>
      </c>
    </row>
    <row r="224" spans="2:15" x14ac:dyDescent="0.25">
      <c r="B224" s="7">
        <v>22.26</v>
      </c>
      <c r="J224" s="7">
        <v>24.45</v>
      </c>
      <c r="K224">
        <v>1</v>
      </c>
      <c r="L224">
        <f t="shared" si="12"/>
        <v>2E-3</v>
      </c>
      <c r="M224">
        <f t="shared" si="15"/>
        <v>0.44000000000000034</v>
      </c>
      <c r="N224">
        <f t="shared" si="13"/>
        <v>0.43487286200071057</v>
      </c>
      <c r="O224">
        <f t="shared" si="14"/>
        <v>5.1271379992897659E-3</v>
      </c>
    </row>
    <row r="225" spans="2:15" x14ac:dyDescent="0.25">
      <c r="B225" s="7">
        <v>25.36</v>
      </c>
      <c r="J225" s="7">
        <v>24.45</v>
      </c>
      <c r="K225">
        <v>1</v>
      </c>
      <c r="L225">
        <f t="shared" si="12"/>
        <v>2E-3</v>
      </c>
      <c r="M225">
        <f t="shared" si="15"/>
        <v>0.44200000000000034</v>
      </c>
      <c r="N225">
        <f t="shared" si="13"/>
        <v>0.43487286200071057</v>
      </c>
      <c r="O225">
        <f t="shared" si="14"/>
        <v>7.1271379992897677E-3</v>
      </c>
    </row>
    <row r="226" spans="2:15" x14ac:dyDescent="0.25">
      <c r="B226" s="7">
        <v>24.64</v>
      </c>
      <c r="J226" s="7">
        <v>24.47</v>
      </c>
      <c r="K226">
        <v>1</v>
      </c>
      <c r="L226">
        <f t="shared" si="12"/>
        <v>2E-3</v>
      </c>
      <c r="M226">
        <f t="shared" si="15"/>
        <v>0.44400000000000034</v>
      </c>
      <c r="N226">
        <f t="shared" si="13"/>
        <v>0.43659002859124663</v>
      </c>
      <c r="O226">
        <f t="shared" si="14"/>
        <v>7.4099714087537127E-3</v>
      </c>
    </row>
    <row r="227" spans="2:15" x14ac:dyDescent="0.25">
      <c r="B227" s="7">
        <v>20.88</v>
      </c>
      <c r="J227" s="7">
        <v>24.51</v>
      </c>
      <c r="K227">
        <v>1</v>
      </c>
      <c r="L227">
        <f t="shared" si="12"/>
        <v>2E-3</v>
      </c>
      <c r="M227">
        <f t="shared" si="15"/>
        <v>0.44600000000000034</v>
      </c>
      <c r="N227">
        <f t="shared" si="13"/>
        <v>0.44003451251078535</v>
      </c>
      <c r="O227">
        <f t="shared" si="14"/>
        <v>5.9654874892149934E-3</v>
      </c>
    </row>
    <row r="228" spans="2:15" x14ac:dyDescent="0.25">
      <c r="B228" s="7">
        <v>25.29</v>
      </c>
      <c r="J228" s="7">
        <v>24.51</v>
      </c>
      <c r="K228">
        <v>1</v>
      </c>
      <c r="L228">
        <f t="shared" si="12"/>
        <v>2E-3</v>
      </c>
      <c r="M228">
        <f t="shared" si="15"/>
        <v>0.44800000000000034</v>
      </c>
      <c r="N228">
        <f t="shared" si="13"/>
        <v>0.44003451251078535</v>
      </c>
      <c r="O228">
        <f t="shared" si="14"/>
        <v>7.9654874892149952E-3</v>
      </c>
    </row>
    <row r="229" spans="2:15" x14ac:dyDescent="0.25">
      <c r="B229" s="7">
        <v>24.57</v>
      </c>
      <c r="J229" s="7">
        <v>24.52</v>
      </c>
      <c r="K229">
        <v>1</v>
      </c>
      <c r="L229">
        <f t="shared" si="12"/>
        <v>2E-3</v>
      </c>
      <c r="M229">
        <f t="shared" si="15"/>
        <v>0.45000000000000034</v>
      </c>
      <c r="N229">
        <f t="shared" si="13"/>
        <v>0.44089774822785022</v>
      </c>
      <c r="O229">
        <f t="shared" si="14"/>
        <v>9.1022517721501273E-3</v>
      </c>
    </row>
    <row r="230" spans="2:15" x14ac:dyDescent="0.25">
      <c r="B230" s="7">
        <v>24.81</v>
      </c>
      <c r="J230" s="7">
        <v>24.54</v>
      </c>
      <c r="K230">
        <v>1</v>
      </c>
      <c r="L230">
        <f t="shared" si="12"/>
        <v>2E-3</v>
      </c>
      <c r="M230">
        <f t="shared" si="15"/>
        <v>0.45200000000000035</v>
      </c>
      <c r="N230">
        <f t="shared" si="13"/>
        <v>0.44262675734659696</v>
      </c>
      <c r="O230">
        <f t="shared" si="14"/>
        <v>9.3732426534033908E-3</v>
      </c>
    </row>
    <row r="231" spans="2:15" x14ac:dyDescent="0.25">
      <c r="B231" s="7">
        <v>17.52</v>
      </c>
      <c r="J231" s="7">
        <v>24.55</v>
      </c>
      <c r="K231">
        <v>1</v>
      </c>
      <c r="L231">
        <f t="shared" si="12"/>
        <v>2E-3</v>
      </c>
      <c r="M231">
        <f t="shared" si="15"/>
        <v>0.45400000000000035</v>
      </c>
      <c r="N231">
        <f t="shared" si="13"/>
        <v>0.44349253074827871</v>
      </c>
      <c r="O231">
        <f t="shared" si="14"/>
        <v>1.0507469251721635E-2</v>
      </c>
    </row>
    <row r="232" spans="2:15" x14ac:dyDescent="0.25">
      <c r="B232" s="7">
        <v>24.6</v>
      </c>
      <c r="J232" s="7">
        <v>24.57</v>
      </c>
      <c r="K232">
        <v>1</v>
      </c>
      <c r="L232">
        <f t="shared" si="12"/>
        <v>2E-3</v>
      </c>
      <c r="M232">
        <f t="shared" si="15"/>
        <v>0.45600000000000035</v>
      </c>
      <c r="N232">
        <f t="shared" si="13"/>
        <v>0.44522661523625856</v>
      </c>
      <c r="O232">
        <f t="shared" si="14"/>
        <v>1.0773384763741789E-2</v>
      </c>
    </row>
    <row r="233" spans="2:15" x14ac:dyDescent="0.25">
      <c r="B233" s="7">
        <v>27.23</v>
      </c>
      <c r="J233" s="7">
        <v>24.6</v>
      </c>
      <c r="K233">
        <v>1</v>
      </c>
      <c r="L233">
        <f t="shared" si="12"/>
        <v>2E-3</v>
      </c>
      <c r="M233">
        <f t="shared" si="15"/>
        <v>0.45800000000000035</v>
      </c>
      <c r="N233">
        <f t="shared" si="13"/>
        <v>0.44783408617976977</v>
      </c>
      <c r="O233">
        <f t="shared" si="14"/>
        <v>1.0165913820230577E-2</v>
      </c>
    </row>
    <row r="234" spans="2:15" x14ac:dyDescent="0.25">
      <c r="B234" s="7">
        <v>21.45</v>
      </c>
      <c r="J234" s="7">
        <v>24.6</v>
      </c>
      <c r="K234">
        <v>1</v>
      </c>
      <c r="L234">
        <f t="shared" si="12"/>
        <v>2E-3</v>
      </c>
      <c r="M234">
        <f t="shared" si="15"/>
        <v>0.46000000000000035</v>
      </c>
      <c r="N234">
        <f t="shared" si="13"/>
        <v>0.44783408617976977</v>
      </c>
      <c r="O234">
        <f t="shared" si="14"/>
        <v>1.2165913820230578E-2</v>
      </c>
    </row>
    <row r="235" spans="2:15" x14ac:dyDescent="0.25">
      <c r="B235" s="7">
        <v>28.08</v>
      </c>
      <c r="J235" s="7">
        <v>24.63</v>
      </c>
      <c r="K235">
        <v>1</v>
      </c>
      <c r="L235">
        <f t="shared" si="12"/>
        <v>2E-3</v>
      </c>
      <c r="M235">
        <f t="shared" si="15"/>
        <v>0.46200000000000035</v>
      </c>
      <c r="N235">
        <f t="shared" si="13"/>
        <v>0.45044917017713032</v>
      </c>
      <c r="O235">
        <f t="shared" si="14"/>
        <v>1.1550829822870035E-2</v>
      </c>
    </row>
    <row r="236" spans="2:15" x14ac:dyDescent="0.25">
      <c r="B236" s="7">
        <v>26.26</v>
      </c>
      <c r="J236" s="7">
        <v>24.64</v>
      </c>
      <c r="K236">
        <v>1</v>
      </c>
      <c r="L236">
        <f t="shared" si="12"/>
        <v>2E-3</v>
      </c>
      <c r="M236">
        <f t="shared" si="15"/>
        <v>0.46400000000000036</v>
      </c>
      <c r="N236">
        <f t="shared" si="13"/>
        <v>0.4513225566326618</v>
      </c>
      <c r="O236">
        <f t="shared" si="14"/>
        <v>1.2677443367338559E-2</v>
      </c>
    </row>
    <row r="237" spans="2:15" x14ac:dyDescent="0.25">
      <c r="B237" s="7">
        <v>27.12</v>
      </c>
      <c r="J237" s="7">
        <v>24.64</v>
      </c>
      <c r="K237">
        <v>1</v>
      </c>
      <c r="L237">
        <f t="shared" si="12"/>
        <v>2E-3</v>
      </c>
      <c r="M237">
        <f t="shared" si="15"/>
        <v>0.46600000000000036</v>
      </c>
      <c r="N237">
        <f t="shared" si="13"/>
        <v>0.4513225566326618</v>
      </c>
      <c r="O237">
        <f t="shared" si="14"/>
        <v>1.4677443367338561E-2</v>
      </c>
    </row>
    <row r="238" spans="2:15" x14ac:dyDescent="0.25">
      <c r="B238" s="7">
        <v>26.42</v>
      </c>
      <c r="J238" s="7">
        <v>24.66</v>
      </c>
      <c r="K238">
        <v>1</v>
      </c>
      <c r="L238">
        <f t="shared" si="12"/>
        <v>2E-3</v>
      </c>
      <c r="M238">
        <f t="shared" si="15"/>
        <v>0.46800000000000036</v>
      </c>
      <c r="N238">
        <f t="shared" si="13"/>
        <v>0.45307186722834092</v>
      </c>
      <c r="O238">
        <f t="shared" si="14"/>
        <v>1.4928132771659441E-2</v>
      </c>
    </row>
    <row r="239" spans="2:15" x14ac:dyDescent="0.25">
      <c r="B239" s="7">
        <v>22.95</v>
      </c>
      <c r="J239" s="7">
        <v>24.68</v>
      </c>
      <c r="K239">
        <v>1</v>
      </c>
      <c r="L239">
        <f t="shared" si="12"/>
        <v>2E-3</v>
      </c>
      <c r="M239">
        <f t="shared" si="15"/>
        <v>0.47000000000000036</v>
      </c>
      <c r="N239">
        <f t="shared" si="13"/>
        <v>0.4548245614035088</v>
      </c>
      <c r="O239">
        <f t="shared" si="14"/>
        <v>1.5175438596491564E-2</v>
      </c>
    </row>
    <row r="240" spans="2:15" x14ac:dyDescent="0.25">
      <c r="B240" s="7">
        <v>21.9</v>
      </c>
      <c r="J240" s="7">
        <v>24.69</v>
      </c>
      <c r="K240">
        <v>1</v>
      </c>
      <c r="L240">
        <f t="shared" si="12"/>
        <v>2E-3</v>
      </c>
      <c r="M240">
        <f t="shared" si="15"/>
        <v>0.47200000000000036</v>
      </c>
      <c r="N240">
        <f t="shared" si="13"/>
        <v>0.45570217733340118</v>
      </c>
      <c r="O240">
        <f t="shared" si="14"/>
        <v>1.6297822666599182E-2</v>
      </c>
    </row>
    <row r="241" spans="2:15" x14ac:dyDescent="0.25">
      <c r="B241" s="7">
        <v>24.02</v>
      </c>
      <c r="J241" s="7">
        <v>24.7</v>
      </c>
      <c r="K241">
        <v>1</v>
      </c>
      <c r="L241">
        <f t="shared" si="12"/>
        <v>2E-3</v>
      </c>
      <c r="M241">
        <f t="shared" si="15"/>
        <v>0.47400000000000037</v>
      </c>
      <c r="N241">
        <f t="shared" si="13"/>
        <v>0.45658063915816538</v>
      </c>
      <c r="O241">
        <f t="shared" si="14"/>
        <v>1.7419360841834985E-2</v>
      </c>
    </row>
    <row r="242" spans="2:15" x14ac:dyDescent="0.25">
      <c r="B242" s="7">
        <v>22.61</v>
      </c>
      <c r="J242" s="7">
        <v>24.73</v>
      </c>
      <c r="K242">
        <v>1</v>
      </c>
      <c r="L242">
        <f t="shared" si="12"/>
        <v>2E-3</v>
      </c>
      <c r="M242">
        <f t="shared" si="15"/>
        <v>0.47600000000000037</v>
      </c>
      <c r="N242">
        <f t="shared" si="13"/>
        <v>0.45922110000169186</v>
      </c>
      <c r="O242">
        <f t="shared" si="14"/>
        <v>1.6778899998308505E-2</v>
      </c>
    </row>
    <row r="243" spans="2:15" x14ac:dyDescent="0.25">
      <c r="B243" s="7">
        <v>27.18</v>
      </c>
      <c r="J243" s="7">
        <v>24.74</v>
      </c>
      <c r="K243">
        <v>1</v>
      </c>
      <c r="L243">
        <f t="shared" si="12"/>
        <v>2E-3</v>
      </c>
      <c r="M243">
        <f t="shared" si="15"/>
        <v>0.47800000000000037</v>
      </c>
      <c r="N243">
        <f t="shared" si="13"/>
        <v>0.46010294540594482</v>
      </c>
      <c r="O243">
        <f t="shared" si="14"/>
        <v>1.789705459405555E-2</v>
      </c>
    </row>
    <row r="244" spans="2:15" x14ac:dyDescent="0.25">
      <c r="B244" s="7">
        <v>25.89</v>
      </c>
      <c r="J244" s="7">
        <v>24.74</v>
      </c>
      <c r="K244">
        <v>1</v>
      </c>
      <c r="L244">
        <f t="shared" si="12"/>
        <v>2E-3</v>
      </c>
      <c r="M244">
        <f t="shared" si="15"/>
        <v>0.48000000000000037</v>
      </c>
      <c r="N244">
        <f t="shared" si="13"/>
        <v>0.46010294540594482</v>
      </c>
      <c r="O244">
        <f t="shared" si="14"/>
        <v>1.9897054594055552E-2</v>
      </c>
    </row>
    <row r="245" spans="2:15" x14ac:dyDescent="0.25">
      <c r="B245" s="7">
        <v>27.81</v>
      </c>
      <c r="J245" s="7">
        <v>24.75</v>
      </c>
      <c r="K245">
        <v>1</v>
      </c>
      <c r="L245">
        <f t="shared" si="12"/>
        <v>2E-3</v>
      </c>
      <c r="M245">
        <f t="shared" si="15"/>
        <v>0.48200000000000037</v>
      </c>
      <c r="N245">
        <f t="shared" si="13"/>
        <v>0.46098563670507031</v>
      </c>
      <c r="O245">
        <f t="shared" si="14"/>
        <v>2.1014363294930061E-2</v>
      </c>
    </row>
    <row r="246" spans="2:15" x14ac:dyDescent="0.25">
      <c r="B246" s="7">
        <v>25.43</v>
      </c>
      <c r="J246" s="7">
        <v>24.75</v>
      </c>
      <c r="K246">
        <v>1</v>
      </c>
      <c r="L246">
        <f t="shared" si="12"/>
        <v>2E-3</v>
      </c>
      <c r="M246">
        <f t="shared" si="15"/>
        <v>0.48400000000000037</v>
      </c>
      <c r="N246">
        <f t="shared" si="13"/>
        <v>0.46098563670507031</v>
      </c>
      <c r="O246">
        <f t="shared" si="14"/>
        <v>2.3014363294930062E-2</v>
      </c>
    </row>
    <row r="247" spans="2:15" x14ac:dyDescent="0.25">
      <c r="B247" s="7">
        <v>28.3</v>
      </c>
      <c r="J247" s="7">
        <v>24.76</v>
      </c>
      <c r="K247">
        <v>1</v>
      </c>
      <c r="L247">
        <f t="shared" si="12"/>
        <v>2E-3</v>
      </c>
      <c r="M247">
        <f t="shared" si="15"/>
        <v>0.48600000000000038</v>
      </c>
      <c r="N247">
        <f t="shared" si="13"/>
        <v>0.46186917389906806</v>
      </c>
      <c r="O247">
        <f t="shared" si="14"/>
        <v>2.4130826100932312E-2</v>
      </c>
    </row>
    <row r="248" spans="2:15" x14ac:dyDescent="0.25">
      <c r="B248" s="7">
        <v>22.49</v>
      </c>
      <c r="J248" s="7">
        <v>24.77</v>
      </c>
      <c r="K248">
        <v>1</v>
      </c>
      <c r="L248">
        <f t="shared" si="12"/>
        <v>2E-3</v>
      </c>
      <c r="M248">
        <f t="shared" si="15"/>
        <v>0.48800000000000038</v>
      </c>
      <c r="N248">
        <f t="shared" si="13"/>
        <v>0.46275355698793752</v>
      </c>
      <c r="O248">
        <f t="shared" si="14"/>
        <v>2.5246443012062858E-2</v>
      </c>
    </row>
    <row r="249" spans="2:15" x14ac:dyDescent="0.25">
      <c r="B249" s="7">
        <v>25.96</v>
      </c>
      <c r="J249" s="7">
        <v>24.8</v>
      </c>
      <c r="K249">
        <v>1</v>
      </c>
      <c r="L249">
        <f t="shared" si="12"/>
        <v>2E-3</v>
      </c>
      <c r="M249">
        <f t="shared" si="15"/>
        <v>0.49000000000000038</v>
      </c>
      <c r="N249">
        <f t="shared" si="13"/>
        <v>0.46541178162377994</v>
      </c>
      <c r="O249">
        <f t="shared" si="14"/>
        <v>2.4588218376220439E-2</v>
      </c>
    </row>
    <row r="250" spans="2:15" x14ac:dyDescent="0.25">
      <c r="B250" s="7">
        <v>28.81</v>
      </c>
      <c r="J250" s="7">
        <v>24.8</v>
      </c>
      <c r="K250">
        <v>1</v>
      </c>
      <c r="L250">
        <f t="shared" si="12"/>
        <v>2E-3</v>
      </c>
      <c r="M250">
        <f t="shared" si="15"/>
        <v>0.49200000000000038</v>
      </c>
      <c r="N250">
        <f t="shared" si="13"/>
        <v>0.46541178162377994</v>
      </c>
      <c r="O250">
        <f t="shared" si="14"/>
        <v>2.658821837622044E-2</v>
      </c>
    </row>
    <row r="251" spans="2:15" x14ac:dyDescent="0.25">
      <c r="B251" s="7">
        <v>24.18</v>
      </c>
      <c r="J251" s="7">
        <v>24.81</v>
      </c>
      <c r="K251">
        <v>1</v>
      </c>
      <c r="L251">
        <f t="shared" si="12"/>
        <v>2E-3</v>
      </c>
      <c r="M251">
        <f t="shared" si="15"/>
        <v>0.49400000000000038</v>
      </c>
      <c r="N251">
        <f t="shared" si="13"/>
        <v>0.46629954829213816</v>
      </c>
      <c r="O251">
        <f t="shared" si="14"/>
        <v>2.7700451707862228E-2</v>
      </c>
    </row>
    <row r="252" spans="2:15" x14ac:dyDescent="0.25">
      <c r="B252" s="7">
        <v>26.04</v>
      </c>
      <c r="J252" s="7">
        <v>24.81</v>
      </c>
      <c r="K252">
        <v>1</v>
      </c>
      <c r="L252">
        <f t="shared" si="12"/>
        <v>2E-3</v>
      </c>
      <c r="M252">
        <f t="shared" si="15"/>
        <v>0.49600000000000039</v>
      </c>
      <c r="N252">
        <f t="shared" si="13"/>
        <v>0.46629954829213816</v>
      </c>
      <c r="O252">
        <f t="shared" si="14"/>
        <v>2.970045170786223E-2</v>
      </c>
    </row>
    <row r="253" spans="2:15" x14ac:dyDescent="0.25">
      <c r="B253" s="7">
        <v>22.94</v>
      </c>
      <c r="J253" s="7">
        <v>24.83</v>
      </c>
      <c r="K253">
        <v>1</v>
      </c>
      <c r="L253">
        <f t="shared" si="12"/>
        <v>2E-3</v>
      </c>
      <c r="M253">
        <f t="shared" si="15"/>
        <v>0.49800000000000039</v>
      </c>
      <c r="N253">
        <f t="shared" si="13"/>
        <v>0.46807761931347164</v>
      </c>
      <c r="O253">
        <f t="shared" si="14"/>
        <v>2.9922380686528749E-2</v>
      </c>
    </row>
    <row r="254" spans="2:15" x14ac:dyDescent="0.25">
      <c r="B254" s="7">
        <v>23.7</v>
      </c>
      <c r="J254" s="7">
        <v>24.84</v>
      </c>
      <c r="K254">
        <v>1</v>
      </c>
      <c r="L254">
        <f t="shared" si="12"/>
        <v>2E-3</v>
      </c>
      <c r="M254">
        <f t="shared" si="15"/>
        <v>0.50000000000000033</v>
      </c>
      <c r="N254">
        <f t="shared" si="13"/>
        <v>0.46896792366644674</v>
      </c>
      <c r="O254">
        <f t="shared" si="14"/>
        <v>3.1032076333553593E-2</v>
      </c>
    </row>
    <row r="255" spans="2:15" x14ac:dyDescent="0.25">
      <c r="B255" s="7">
        <v>17.739999999999998</v>
      </c>
      <c r="J255" s="7">
        <v>24.84</v>
      </c>
      <c r="K255">
        <v>1</v>
      </c>
      <c r="L255">
        <f t="shared" si="12"/>
        <v>2E-3</v>
      </c>
      <c r="M255">
        <f t="shared" si="15"/>
        <v>0.50200000000000033</v>
      </c>
      <c r="N255">
        <f t="shared" si="13"/>
        <v>0.46896792366644674</v>
      </c>
      <c r="O255">
        <f t="shared" si="14"/>
        <v>3.3032076333553595E-2</v>
      </c>
    </row>
    <row r="256" spans="2:15" x14ac:dyDescent="0.25">
      <c r="B256" s="7">
        <v>25.83</v>
      </c>
      <c r="J256" s="7">
        <v>24.84</v>
      </c>
      <c r="K256">
        <v>1</v>
      </c>
      <c r="L256">
        <f t="shared" si="12"/>
        <v>2E-3</v>
      </c>
      <c r="M256">
        <f t="shared" si="15"/>
        <v>0.50400000000000034</v>
      </c>
      <c r="N256">
        <f t="shared" si="13"/>
        <v>0.46896792366644674</v>
      </c>
      <c r="O256">
        <f t="shared" si="14"/>
        <v>3.5032076333553597E-2</v>
      </c>
    </row>
    <row r="257" spans="2:15" x14ac:dyDescent="0.25">
      <c r="B257" s="7">
        <v>21.62</v>
      </c>
      <c r="J257" s="7">
        <v>24.89</v>
      </c>
      <c r="K257">
        <v>1</v>
      </c>
      <c r="L257">
        <f t="shared" si="12"/>
        <v>2E-3</v>
      </c>
      <c r="M257">
        <f t="shared" si="15"/>
        <v>0.50600000000000034</v>
      </c>
      <c r="N257">
        <f t="shared" si="13"/>
        <v>0.47343213385440469</v>
      </c>
      <c r="O257">
        <f t="shared" si="14"/>
        <v>3.2567866145595648E-2</v>
      </c>
    </row>
    <row r="258" spans="2:15" x14ac:dyDescent="0.25">
      <c r="B258" s="7">
        <v>24.96</v>
      </c>
      <c r="J258" s="7">
        <v>24.91</v>
      </c>
      <c r="K258">
        <v>1</v>
      </c>
      <c r="L258">
        <f t="shared" si="12"/>
        <v>2E-3</v>
      </c>
      <c r="M258">
        <f t="shared" si="15"/>
        <v>0.50800000000000034</v>
      </c>
      <c r="N258">
        <f t="shared" si="13"/>
        <v>0.4752237391936931</v>
      </c>
      <c r="O258">
        <f t="shared" si="14"/>
        <v>3.2776260806307245E-2</v>
      </c>
    </row>
    <row r="259" spans="2:15" x14ac:dyDescent="0.25">
      <c r="B259" s="7">
        <v>24.41</v>
      </c>
      <c r="J259" s="7">
        <v>24.94</v>
      </c>
      <c r="K259">
        <v>1</v>
      </c>
      <c r="L259">
        <f t="shared" si="12"/>
        <v>2E-3</v>
      </c>
      <c r="M259">
        <f t="shared" si="15"/>
        <v>0.51000000000000034</v>
      </c>
      <c r="N259">
        <f t="shared" si="13"/>
        <v>0.47791749141416717</v>
      </c>
      <c r="O259">
        <f t="shared" si="14"/>
        <v>3.2082508585833169E-2</v>
      </c>
    </row>
    <row r="260" spans="2:15" x14ac:dyDescent="0.25">
      <c r="B260" s="7">
        <v>26.2</v>
      </c>
      <c r="J260" s="7">
        <v>24.95</v>
      </c>
      <c r="K260">
        <v>1</v>
      </c>
      <c r="L260">
        <f t="shared" si="12"/>
        <v>2E-3</v>
      </c>
      <c r="M260">
        <f t="shared" si="15"/>
        <v>0.51200000000000034</v>
      </c>
      <c r="N260">
        <f t="shared" si="13"/>
        <v>0.47881710061073612</v>
      </c>
      <c r="O260">
        <f t="shared" si="14"/>
        <v>3.318289938926422E-2</v>
      </c>
    </row>
    <row r="261" spans="2:15" x14ac:dyDescent="0.25">
      <c r="B261" s="7">
        <v>22.03</v>
      </c>
      <c r="J261" s="7">
        <v>24.96</v>
      </c>
      <c r="K261">
        <v>1</v>
      </c>
      <c r="L261">
        <f t="shared" si="12"/>
        <v>2E-3</v>
      </c>
      <c r="M261">
        <f t="shared" si="15"/>
        <v>0.51400000000000035</v>
      </c>
      <c r="N261">
        <f t="shared" si="13"/>
        <v>0.4797175557021775</v>
      </c>
      <c r="O261">
        <f t="shared" si="14"/>
        <v>3.4282444297822845E-2</v>
      </c>
    </row>
    <row r="262" spans="2:15" x14ac:dyDescent="0.25">
      <c r="B262" s="7">
        <v>27.17</v>
      </c>
      <c r="J262" s="7">
        <v>24.97</v>
      </c>
      <c r="K262">
        <v>1</v>
      </c>
      <c r="L262">
        <f t="shared" ref="L262:L325" si="16">K262/$E$20</f>
        <v>2E-3</v>
      </c>
      <c r="M262">
        <f t="shared" si="15"/>
        <v>0.51600000000000035</v>
      </c>
      <c r="N262">
        <f t="shared" ref="N262:N325" si="17">(J262-$H$7)^2/(($H$8-$H$7)*($H$9-$H$7))</f>
        <v>0.48061885668849075</v>
      </c>
      <c r="O262">
        <f t="shared" ref="O262:O325" si="18">ABS(M262-N262)</f>
        <v>3.53811433115096E-2</v>
      </c>
    </row>
    <row r="263" spans="2:15" x14ac:dyDescent="0.25">
      <c r="B263" s="7">
        <v>28.6</v>
      </c>
      <c r="J263" s="7">
        <v>25</v>
      </c>
      <c r="K263">
        <v>1</v>
      </c>
      <c r="L263">
        <f t="shared" si="16"/>
        <v>2E-3</v>
      </c>
      <c r="M263">
        <f t="shared" ref="M263:M326" si="19">M262+L263</f>
        <v>0.51800000000000035</v>
      </c>
      <c r="N263">
        <f t="shared" si="17"/>
        <v>0.48332783501666415</v>
      </c>
      <c r="O263">
        <f t="shared" si="18"/>
        <v>3.4672164983336196E-2</v>
      </c>
    </row>
    <row r="264" spans="2:15" x14ac:dyDescent="0.25">
      <c r="B264" s="7">
        <v>23.7</v>
      </c>
      <c r="J264" s="7">
        <v>25</v>
      </c>
      <c r="K264">
        <v>1</v>
      </c>
      <c r="L264">
        <f t="shared" si="16"/>
        <v>2E-3</v>
      </c>
      <c r="M264">
        <f t="shared" si="19"/>
        <v>0.52000000000000035</v>
      </c>
      <c r="N264">
        <f t="shared" si="17"/>
        <v>0.48332783501666415</v>
      </c>
      <c r="O264">
        <f t="shared" si="18"/>
        <v>3.6672164983336197E-2</v>
      </c>
    </row>
    <row r="265" spans="2:15" x14ac:dyDescent="0.25">
      <c r="B265" s="7">
        <v>23.07</v>
      </c>
      <c r="J265" s="7">
        <v>25.03</v>
      </c>
      <c r="K265">
        <v>1</v>
      </c>
      <c r="L265">
        <f t="shared" si="16"/>
        <v>2E-3</v>
      </c>
      <c r="M265">
        <f t="shared" si="19"/>
        <v>0.52200000000000035</v>
      </c>
      <c r="N265">
        <f t="shared" si="17"/>
        <v>0.48604442639868733</v>
      </c>
      <c r="O265">
        <f t="shared" si="18"/>
        <v>3.5955573601313018E-2</v>
      </c>
    </row>
    <row r="266" spans="2:15" x14ac:dyDescent="0.25">
      <c r="B266" s="7">
        <v>21.38</v>
      </c>
      <c r="J266" s="7">
        <v>25.09</v>
      </c>
      <c r="K266">
        <v>1</v>
      </c>
      <c r="L266">
        <f t="shared" si="16"/>
        <v>2E-3</v>
      </c>
      <c r="M266">
        <f t="shared" si="19"/>
        <v>0.52400000000000035</v>
      </c>
      <c r="N266">
        <f t="shared" si="17"/>
        <v>0.4915004483242823</v>
      </c>
      <c r="O266">
        <f t="shared" si="18"/>
        <v>3.2499551675718052E-2</v>
      </c>
    </row>
    <row r="267" spans="2:15" x14ac:dyDescent="0.25">
      <c r="B267" s="7">
        <v>27.6</v>
      </c>
      <c r="J267" s="7">
        <v>25.11</v>
      </c>
      <c r="K267">
        <v>1</v>
      </c>
      <c r="L267">
        <f t="shared" si="16"/>
        <v>2E-3</v>
      </c>
      <c r="M267">
        <f t="shared" si="19"/>
        <v>0.52600000000000036</v>
      </c>
      <c r="N267">
        <f t="shared" si="17"/>
        <v>0.49332588945845807</v>
      </c>
      <c r="O267">
        <f t="shared" si="18"/>
        <v>3.2674110541542289E-2</v>
      </c>
    </row>
    <row r="268" spans="2:15" x14ac:dyDescent="0.25">
      <c r="B268" s="7">
        <v>30.45</v>
      </c>
      <c r="J268" s="7">
        <v>25.11</v>
      </c>
      <c r="K268">
        <v>1</v>
      </c>
      <c r="L268">
        <f t="shared" si="16"/>
        <v>2E-3</v>
      </c>
      <c r="M268">
        <f t="shared" si="19"/>
        <v>0.52800000000000036</v>
      </c>
      <c r="N268">
        <f t="shared" si="17"/>
        <v>0.49332588945845807</v>
      </c>
      <c r="O268">
        <f t="shared" si="18"/>
        <v>3.4674110541542291E-2</v>
      </c>
    </row>
    <row r="269" spans="2:15" x14ac:dyDescent="0.25">
      <c r="B269" s="7">
        <v>23.11</v>
      </c>
      <c r="J269" s="7">
        <v>25.13</v>
      </c>
      <c r="K269">
        <v>1</v>
      </c>
      <c r="L269">
        <f t="shared" si="16"/>
        <v>2E-3</v>
      </c>
      <c r="M269">
        <f t="shared" si="19"/>
        <v>0.53000000000000036</v>
      </c>
      <c r="N269">
        <f t="shared" si="17"/>
        <v>0.4951547141721227</v>
      </c>
      <c r="O269">
        <f t="shared" si="18"/>
        <v>3.4845285827877659E-2</v>
      </c>
    </row>
    <row r="270" spans="2:15" x14ac:dyDescent="0.25">
      <c r="B270" s="7">
        <v>20.64</v>
      </c>
      <c r="J270" s="7">
        <v>25.13</v>
      </c>
      <c r="K270">
        <v>1</v>
      </c>
      <c r="L270">
        <f t="shared" si="16"/>
        <v>2E-3</v>
      </c>
      <c r="M270">
        <f t="shared" si="19"/>
        <v>0.53200000000000036</v>
      </c>
      <c r="N270">
        <f t="shared" si="17"/>
        <v>0.4951547141721227</v>
      </c>
      <c r="O270">
        <f t="shared" si="18"/>
        <v>3.6845285827877661E-2</v>
      </c>
    </row>
    <row r="271" spans="2:15" x14ac:dyDescent="0.25">
      <c r="B271" s="7">
        <v>29.59</v>
      </c>
      <c r="J271" s="7">
        <v>25.19</v>
      </c>
      <c r="K271">
        <v>1</v>
      </c>
      <c r="L271">
        <f t="shared" si="16"/>
        <v>2E-3</v>
      </c>
      <c r="M271">
        <f t="shared" si="19"/>
        <v>0.53400000000000036</v>
      </c>
      <c r="N271">
        <f t="shared" si="17"/>
        <v>0.5006614897900491</v>
      </c>
      <c r="O271">
        <f t="shared" si="18"/>
        <v>3.3338510209951266E-2</v>
      </c>
    </row>
    <row r="272" spans="2:15" x14ac:dyDescent="0.25">
      <c r="B272" s="7">
        <v>27.05</v>
      </c>
      <c r="J272" s="7">
        <v>25.2</v>
      </c>
      <c r="K272">
        <v>1</v>
      </c>
      <c r="L272">
        <f t="shared" si="16"/>
        <v>2E-3</v>
      </c>
      <c r="M272">
        <f t="shared" si="19"/>
        <v>0.53600000000000037</v>
      </c>
      <c r="N272">
        <f t="shared" si="17"/>
        <v>0.50158224635842252</v>
      </c>
      <c r="O272">
        <f t="shared" si="18"/>
        <v>3.4417753641577842E-2</v>
      </c>
    </row>
    <row r="273" spans="2:15" x14ac:dyDescent="0.25">
      <c r="B273" s="7">
        <v>27.04</v>
      </c>
      <c r="J273" s="7">
        <v>25.21</v>
      </c>
      <c r="K273">
        <v>1</v>
      </c>
      <c r="L273">
        <f t="shared" si="16"/>
        <v>2E-3</v>
      </c>
      <c r="M273">
        <f t="shared" si="19"/>
        <v>0.53800000000000037</v>
      </c>
      <c r="N273">
        <f t="shared" si="17"/>
        <v>0.50250384882166854</v>
      </c>
      <c r="O273">
        <f t="shared" si="18"/>
        <v>3.5496151178331825E-2</v>
      </c>
    </row>
    <row r="274" spans="2:15" x14ac:dyDescent="0.25">
      <c r="B274" s="7">
        <v>29.04</v>
      </c>
      <c r="J274" s="7">
        <v>25.21</v>
      </c>
      <c r="K274">
        <v>1</v>
      </c>
      <c r="L274">
        <f t="shared" si="16"/>
        <v>2E-3</v>
      </c>
      <c r="M274">
        <f t="shared" si="19"/>
        <v>0.54000000000000037</v>
      </c>
      <c r="N274">
        <f t="shared" si="17"/>
        <v>0.50250384882166854</v>
      </c>
      <c r="O274">
        <f t="shared" si="18"/>
        <v>3.7496151178331827E-2</v>
      </c>
    </row>
    <row r="275" spans="2:15" x14ac:dyDescent="0.25">
      <c r="B275" s="7">
        <v>32.15</v>
      </c>
      <c r="J275" s="7">
        <v>25.22</v>
      </c>
      <c r="K275">
        <v>1</v>
      </c>
      <c r="L275">
        <f t="shared" si="16"/>
        <v>2E-3</v>
      </c>
      <c r="M275">
        <f t="shared" si="19"/>
        <v>0.54200000000000037</v>
      </c>
      <c r="N275">
        <f t="shared" si="17"/>
        <v>0.50342629717978649</v>
      </c>
      <c r="O275">
        <f t="shared" si="18"/>
        <v>3.8573702820213884E-2</v>
      </c>
    </row>
    <row r="276" spans="2:15" x14ac:dyDescent="0.25">
      <c r="B276" s="7">
        <v>25</v>
      </c>
      <c r="J276" s="7">
        <v>25.26</v>
      </c>
      <c r="K276">
        <v>1</v>
      </c>
      <c r="L276">
        <f t="shared" si="16"/>
        <v>2E-3</v>
      </c>
      <c r="M276">
        <f t="shared" si="19"/>
        <v>0.54400000000000037</v>
      </c>
      <c r="N276">
        <f t="shared" si="17"/>
        <v>0.50712454956098074</v>
      </c>
      <c r="O276">
        <f t="shared" si="18"/>
        <v>3.687545043901963E-2</v>
      </c>
    </row>
    <row r="277" spans="2:15" x14ac:dyDescent="0.25">
      <c r="B277" s="7">
        <v>29.92</v>
      </c>
      <c r="J277" s="7">
        <v>25.27</v>
      </c>
      <c r="K277">
        <v>1</v>
      </c>
      <c r="L277">
        <f t="shared" si="16"/>
        <v>2E-3</v>
      </c>
      <c r="M277">
        <f t="shared" si="19"/>
        <v>0.54600000000000037</v>
      </c>
      <c r="N277">
        <f t="shared" si="17"/>
        <v>0.50805122739345954</v>
      </c>
      <c r="O277">
        <f t="shared" si="18"/>
        <v>3.7948772606540837E-2</v>
      </c>
    </row>
    <row r="278" spans="2:15" x14ac:dyDescent="0.25">
      <c r="B278" s="7">
        <v>25.03</v>
      </c>
      <c r="J278" s="7">
        <v>25.28</v>
      </c>
      <c r="K278">
        <v>1</v>
      </c>
      <c r="L278">
        <f t="shared" si="16"/>
        <v>2E-3</v>
      </c>
      <c r="M278">
        <f t="shared" si="19"/>
        <v>0.54800000000000038</v>
      </c>
      <c r="N278">
        <f t="shared" si="17"/>
        <v>0.50897875112081092</v>
      </c>
      <c r="O278">
        <f t="shared" si="18"/>
        <v>3.9021248879189452E-2</v>
      </c>
    </row>
    <row r="279" spans="2:15" x14ac:dyDescent="0.25">
      <c r="B279" s="7">
        <v>21.79</v>
      </c>
      <c r="J279" s="7">
        <v>25.28</v>
      </c>
      <c r="K279">
        <v>1</v>
      </c>
      <c r="L279">
        <f t="shared" si="16"/>
        <v>2E-3</v>
      </c>
      <c r="M279">
        <f t="shared" si="19"/>
        <v>0.55000000000000038</v>
      </c>
      <c r="N279">
        <f t="shared" si="17"/>
        <v>0.50897875112081092</v>
      </c>
      <c r="O279">
        <f t="shared" si="18"/>
        <v>4.1021248879189454E-2</v>
      </c>
    </row>
    <row r="280" spans="2:15" x14ac:dyDescent="0.25">
      <c r="B280" s="7">
        <v>27.22</v>
      </c>
      <c r="J280" s="7">
        <v>25.28</v>
      </c>
      <c r="K280">
        <v>1</v>
      </c>
      <c r="L280">
        <f t="shared" si="16"/>
        <v>2E-3</v>
      </c>
      <c r="M280">
        <f t="shared" si="19"/>
        <v>0.55200000000000038</v>
      </c>
      <c r="N280">
        <f t="shared" si="17"/>
        <v>0.50897875112081092</v>
      </c>
      <c r="O280">
        <f t="shared" si="18"/>
        <v>4.3021248879189455E-2</v>
      </c>
    </row>
    <row r="281" spans="2:15" x14ac:dyDescent="0.25">
      <c r="B281" s="7">
        <v>24.31</v>
      </c>
      <c r="J281" s="7">
        <v>25.29</v>
      </c>
      <c r="K281">
        <v>1</v>
      </c>
      <c r="L281">
        <f t="shared" si="16"/>
        <v>2E-3</v>
      </c>
      <c r="M281">
        <f t="shared" si="19"/>
        <v>0.55400000000000038</v>
      </c>
      <c r="N281">
        <f t="shared" si="17"/>
        <v>0.50990712074303401</v>
      </c>
      <c r="O281">
        <f t="shared" si="18"/>
        <v>4.4092879256966366E-2</v>
      </c>
    </row>
    <row r="282" spans="2:15" x14ac:dyDescent="0.25">
      <c r="B282" s="7">
        <v>30.36</v>
      </c>
      <c r="J282" s="7">
        <v>25.34</v>
      </c>
      <c r="K282">
        <v>1</v>
      </c>
      <c r="L282">
        <f t="shared" si="16"/>
        <v>2E-3</v>
      </c>
      <c r="M282">
        <f t="shared" si="19"/>
        <v>0.55600000000000038</v>
      </c>
      <c r="N282">
        <f t="shared" si="17"/>
        <v>0.51456165727723358</v>
      </c>
      <c r="O282">
        <f t="shared" si="18"/>
        <v>4.1438342722766808E-2</v>
      </c>
    </row>
    <row r="283" spans="2:15" x14ac:dyDescent="0.25">
      <c r="B283" s="7">
        <v>23.24</v>
      </c>
      <c r="J283" s="7">
        <v>25.36</v>
      </c>
      <c r="K283">
        <v>1</v>
      </c>
      <c r="L283">
        <f t="shared" si="16"/>
        <v>2E-3</v>
      </c>
      <c r="M283">
        <f t="shared" si="19"/>
        <v>0.55800000000000038</v>
      </c>
      <c r="N283">
        <f t="shared" si="17"/>
        <v>0.51642939315501868</v>
      </c>
      <c r="O283">
        <f t="shared" si="18"/>
        <v>4.1570606844981706E-2</v>
      </c>
    </row>
    <row r="284" spans="2:15" x14ac:dyDescent="0.25">
      <c r="B284" s="7">
        <v>26.95</v>
      </c>
      <c r="J284" s="7">
        <v>25.38</v>
      </c>
      <c r="K284">
        <v>1</v>
      </c>
      <c r="L284">
        <f t="shared" si="16"/>
        <v>2E-3</v>
      </c>
      <c r="M284">
        <f t="shared" si="19"/>
        <v>0.56000000000000039</v>
      </c>
      <c r="N284">
        <f t="shared" si="17"/>
        <v>0.51830051261229249</v>
      </c>
      <c r="O284">
        <f t="shared" si="18"/>
        <v>4.1699487387707901E-2</v>
      </c>
    </row>
    <row r="285" spans="2:15" x14ac:dyDescent="0.25">
      <c r="B285" s="7">
        <v>25.58</v>
      </c>
      <c r="J285" s="7">
        <v>25.43</v>
      </c>
      <c r="K285">
        <v>1</v>
      </c>
      <c r="L285">
        <f t="shared" si="16"/>
        <v>2E-3</v>
      </c>
      <c r="M285">
        <f t="shared" si="19"/>
        <v>0.56200000000000039</v>
      </c>
      <c r="N285">
        <f t="shared" si="17"/>
        <v>0.52299311441574048</v>
      </c>
      <c r="O285">
        <f t="shared" si="18"/>
        <v>3.9006885584259909E-2</v>
      </c>
    </row>
    <row r="286" spans="2:15" x14ac:dyDescent="0.25">
      <c r="B286" s="7">
        <v>25.21</v>
      </c>
      <c r="J286" s="7">
        <v>25.44</v>
      </c>
      <c r="K286">
        <v>1</v>
      </c>
      <c r="L286">
        <f t="shared" si="16"/>
        <v>2E-3</v>
      </c>
      <c r="M286">
        <f t="shared" si="19"/>
        <v>0.56400000000000039</v>
      </c>
      <c r="N286">
        <f t="shared" si="17"/>
        <v>0.52393417246104679</v>
      </c>
      <c r="O286">
        <f t="shared" si="18"/>
        <v>4.0065827538953602E-2</v>
      </c>
    </row>
    <row r="287" spans="2:15" x14ac:dyDescent="0.25">
      <c r="B287" s="7">
        <v>24.54</v>
      </c>
      <c r="J287" s="7">
        <v>25.48</v>
      </c>
      <c r="K287">
        <v>1</v>
      </c>
      <c r="L287">
        <f t="shared" si="16"/>
        <v>2E-3</v>
      </c>
      <c r="M287">
        <f t="shared" si="19"/>
        <v>0.56600000000000039</v>
      </c>
      <c r="N287">
        <f t="shared" si="17"/>
        <v>0.52770686359099306</v>
      </c>
      <c r="O287">
        <f t="shared" si="18"/>
        <v>3.8293136409007333E-2</v>
      </c>
    </row>
    <row r="288" spans="2:15" x14ac:dyDescent="0.25">
      <c r="B288" s="7">
        <v>25.21</v>
      </c>
      <c r="J288" s="7">
        <v>25.5</v>
      </c>
      <c r="K288">
        <v>1</v>
      </c>
      <c r="L288">
        <f t="shared" si="16"/>
        <v>2E-3</v>
      </c>
      <c r="M288">
        <f t="shared" si="19"/>
        <v>0.56800000000000039</v>
      </c>
      <c r="N288">
        <f t="shared" si="17"/>
        <v>0.5295982845251993</v>
      </c>
      <c r="O288">
        <f t="shared" si="18"/>
        <v>3.840171547480109E-2</v>
      </c>
    </row>
    <row r="289" spans="2:15" x14ac:dyDescent="0.25">
      <c r="B289" s="7">
        <v>29.55</v>
      </c>
      <c r="J289" s="7">
        <v>25.5</v>
      </c>
      <c r="K289">
        <v>1</v>
      </c>
      <c r="L289">
        <f t="shared" si="16"/>
        <v>2E-3</v>
      </c>
      <c r="M289">
        <f t="shared" si="19"/>
        <v>0.5700000000000004</v>
      </c>
      <c r="N289">
        <f t="shared" si="17"/>
        <v>0.5295982845251993</v>
      </c>
      <c r="O289">
        <f t="shared" si="18"/>
        <v>4.0401715474801092E-2</v>
      </c>
    </row>
    <row r="290" spans="2:15" x14ac:dyDescent="0.25">
      <c r="B290" s="7">
        <v>27.26</v>
      </c>
      <c r="J290" s="7">
        <v>25.52</v>
      </c>
      <c r="K290">
        <v>1</v>
      </c>
      <c r="L290">
        <f t="shared" si="16"/>
        <v>2E-3</v>
      </c>
      <c r="M290">
        <f t="shared" si="19"/>
        <v>0.5720000000000004</v>
      </c>
      <c r="N290">
        <f t="shared" si="17"/>
        <v>0.53149308903889425</v>
      </c>
      <c r="O290">
        <f t="shared" si="18"/>
        <v>4.0506910961106146E-2</v>
      </c>
    </row>
    <row r="291" spans="2:15" x14ac:dyDescent="0.25">
      <c r="B291" s="7">
        <v>23.59</v>
      </c>
      <c r="J291" s="7">
        <v>25.52</v>
      </c>
      <c r="K291">
        <v>1</v>
      </c>
      <c r="L291">
        <f t="shared" si="16"/>
        <v>2E-3</v>
      </c>
      <c r="M291">
        <f t="shared" si="19"/>
        <v>0.5740000000000004</v>
      </c>
      <c r="N291">
        <f t="shared" si="17"/>
        <v>0.53149308903889425</v>
      </c>
      <c r="O291">
        <f t="shared" si="18"/>
        <v>4.2506910961106148E-2</v>
      </c>
    </row>
    <row r="292" spans="2:15" x14ac:dyDescent="0.25">
      <c r="B292" s="7">
        <v>23.14</v>
      </c>
      <c r="J292" s="7">
        <v>25.54</v>
      </c>
      <c r="K292">
        <v>1</v>
      </c>
      <c r="L292">
        <f t="shared" si="16"/>
        <v>2E-3</v>
      </c>
      <c r="M292">
        <f t="shared" si="19"/>
        <v>0.5760000000000004</v>
      </c>
      <c r="N292">
        <f t="shared" si="17"/>
        <v>0.53339127713207801</v>
      </c>
      <c r="O292">
        <f t="shared" si="18"/>
        <v>4.2608722867922388E-2</v>
      </c>
    </row>
    <row r="293" spans="2:15" x14ac:dyDescent="0.25">
      <c r="B293" s="7">
        <v>28.34</v>
      </c>
      <c r="J293" s="7">
        <v>25.57</v>
      </c>
      <c r="K293">
        <v>1</v>
      </c>
      <c r="L293">
        <f t="shared" si="16"/>
        <v>2E-3</v>
      </c>
      <c r="M293">
        <f t="shared" si="19"/>
        <v>0.5780000000000004</v>
      </c>
      <c r="N293">
        <f t="shared" si="17"/>
        <v>0.53624490348339515</v>
      </c>
      <c r="O293">
        <f t="shared" si="18"/>
        <v>4.175509651660525E-2</v>
      </c>
    </row>
    <row r="294" spans="2:15" x14ac:dyDescent="0.25">
      <c r="B294" s="7">
        <v>26.18</v>
      </c>
      <c r="J294" s="7">
        <v>25.58</v>
      </c>
      <c r="K294">
        <v>1</v>
      </c>
      <c r="L294">
        <f t="shared" si="16"/>
        <v>2E-3</v>
      </c>
      <c r="M294">
        <f t="shared" si="19"/>
        <v>0.5800000000000004</v>
      </c>
      <c r="N294">
        <f t="shared" si="17"/>
        <v>0.53719780405691164</v>
      </c>
      <c r="O294">
        <f t="shared" si="18"/>
        <v>4.2802195943088761E-2</v>
      </c>
    </row>
    <row r="295" spans="2:15" x14ac:dyDescent="0.25">
      <c r="B295" s="7">
        <v>23.22</v>
      </c>
      <c r="J295" s="7">
        <v>25.6</v>
      </c>
      <c r="K295">
        <v>1</v>
      </c>
      <c r="L295">
        <f t="shared" si="16"/>
        <v>2E-3</v>
      </c>
      <c r="M295">
        <f t="shared" si="19"/>
        <v>0.58200000000000041</v>
      </c>
      <c r="N295">
        <f t="shared" si="17"/>
        <v>0.53910614288856196</v>
      </c>
      <c r="O295">
        <f t="shared" si="18"/>
        <v>4.2893857111438449E-2</v>
      </c>
    </row>
    <row r="296" spans="2:15" x14ac:dyDescent="0.25">
      <c r="B296" s="7">
        <v>27.08</v>
      </c>
      <c r="J296" s="7">
        <v>25.6</v>
      </c>
      <c r="K296">
        <v>1</v>
      </c>
      <c r="L296">
        <f t="shared" si="16"/>
        <v>2E-3</v>
      </c>
      <c r="M296">
        <f t="shared" si="19"/>
        <v>0.58400000000000041</v>
      </c>
      <c r="N296">
        <f t="shared" si="17"/>
        <v>0.53910614288856196</v>
      </c>
      <c r="O296">
        <f t="shared" si="18"/>
        <v>4.4893857111438451E-2</v>
      </c>
    </row>
    <row r="297" spans="2:15" x14ac:dyDescent="0.25">
      <c r="B297" s="7">
        <v>28.68</v>
      </c>
      <c r="J297" s="7">
        <v>25.62</v>
      </c>
      <c r="K297">
        <v>1</v>
      </c>
      <c r="L297">
        <f t="shared" si="16"/>
        <v>2E-3</v>
      </c>
      <c r="M297">
        <f t="shared" si="19"/>
        <v>0.58600000000000041</v>
      </c>
      <c r="N297">
        <f t="shared" si="17"/>
        <v>0.54101786529970075</v>
      </c>
      <c r="O297">
        <f t="shared" si="18"/>
        <v>4.4982134700299659E-2</v>
      </c>
    </row>
    <row r="298" spans="2:15" x14ac:dyDescent="0.25">
      <c r="B298" s="7">
        <v>24.27</v>
      </c>
      <c r="J298" s="7">
        <v>25.62</v>
      </c>
      <c r="K298">
        <v>1</v>
      </c>
      <c r="L298">
        <f t="shared" si="16"/>
        <v>2E-3</v>
      </c>
      <c r="M298">
        <f t="shared" si="19"/>
        <v>0.58800000000000041</v>
      </c>
      <c r="N298">
        <f t="shared" si="17"/>
        <v>0.54101786529970075</v>
      </c>
      <c r="O298">
        <f t="shared" si="18"/>
        <v>4.698213470029966E-2</v>
      </c>
    </row>
    <row r="299" spans="2:15" x14ac:dyDescent="0.25">
      <c r="B299" s="7">
        <v>26.74</v>
      </c>
      <c r="J299" s="7">
        <v>25.68</v>
      </c>
      <c r="K299">
        <v>1</v>
      </c>
      <c r="L299">
        <f t="shared" si="16"/>
        <v>2E-3</v>
      </c>
      <c r="M299">
        <f t="shared" si="19"/>
        <v>0.59000000000000041</v>
      </c>
      <c r="N299">
        <f t="shared" si="17"/>
        <v>0.54677333401004924</v>
      </c>
      <c r="O299">
        <f t="shared" si="18"/>
        <v>4.3226665989951174E-2</v>
      </c>
    </row>
    <row r="300" spans="2:15" x14ac:dyDescent="0.25">
      <c r="B300" s="7">
        <v>28.77</v>
      </c>
      <c r="J300" s="7">
        <v>25.69</v>
      </c>
      <c r="K300">
        <v>1</v>
      </c>
      <c r="L300">
        <f t="shared" si="16"/>
        <v>2E-3</v>
      </c>
      <c r="M300">
        <f t="shared" si="19"/>
        <v>0.59200000000000041</v>
      </c>
      <c r="N300">
        <f t="shared" si="17"/>
        <v>0.54773553942716013</v>
      </c>
      <c r="O300">
        <f t="shared" si="18"/>
        <v>4.4264460572840281E-2</v>
      </c>
    </row>
    <row r="301" spans="2:15" x14ac:dyDescent="0.25">
      <c r="B301" s="7">
        <v>24.45</v>
      </c>
      <c r="J301" s="7">
        <v>25.7</v>
      </c>
      <c r="K301">
        <v>1</v>
      </c>
      <c r="L301">
        <f t="shared" si="16"/>
        <v>2E-3</v>
      </c>
      <c r="M301">
        <f t="shared" si="19"/>
        <v>0.59400000000000042</v>
      </c>
      <c r="N301">
        <f t="shared" si="17"/>
        <v>0.54869859073914296</v>
      </c>
      <c r="O301">
        <f t="shared" si="18"/>
        <v>4.5301409260857461E-2</v>
      </c>
    </row>
    <row r="302" spans="2:15" x14ac:dyDescent="0.25">
      <c r="B302" s="7">
        <v>28.31</v>
      </c>
      <c r="J302" s="7">
        <v>25.7</v>
      </c>
      <c r="K302">
        <v>1</v>
      </c>
      <c r="L302">
        <f t="shared" si="16"/>
        <v>2E-3</v>
      </c>
      <c r="M302">
        <f t="shared" si="19"/>
        <v>0.59600000000000042</v>
      </c>
      <c r="N302">
        <f t="shared" si="17"/>
        <v>0.54869859073914296</v>
      </c>
      <c r="O302">
        <f t="shared" si="18"/>
        <v>4.7301409260857463E-2</v>
      </c>
    </row>
    <row r="303" spans="2:15" x14ac:dyDescent="0.25">
      <c r="B303" s="7">
        <v>23.37</v>
      </c>
      <c r="J303" s="7">
        <v>25.71</v>
      </c>
      <c r="K303">
        <v>1</v>
      </c>
      <c r="L303">
        <f t="shared" si="16"/>
        <v>2E-3</v>
      </c>
      <c r="M303">
        <f t="shared" si="19"/>
        <v>0.59800000000000042</v>
      </c>
      <c r="N303">
        <f t="shared" si="17"/>
        <v>0.54966248794599826</v>
      </c>
      <c r="O303">
        <f t="shared" si="18"/>
        <v>4.8337512054002163E-2</v>
      </c>
    </row>
    <row r="304" spans="2:15" x14ac:dyDescent="0.25">
      <c r="B304" s="7">
        <v>27.01</v>
      </c>
      <c r="J304" s="7">
        <v>25.73</v>
      </c>
      <c r="K304">
        <v>1</v>
      </c>
      <c r="L304">
        <f t="shared" si="16"/>
        <v>2E-3</v>
      </c>
      <c r="M304">
        <f t="shared" si="19"/>
        <v>0.60000000000000042</v>
      </c>
      <c r="N304">
        <f t="shared" si="17"/>
        <v>0.55159282004432508</v>
      </c>
      <c r="O304">
        <f t="shared" si="18"/>
        <v>4.8407179955675339E-2</v>
      </c>
    </row>
    <row r="305" spans="2:15" x14ac:dyDescent="0.25">
      <c r="B305" s="7">
        <v>27.23</v>
      </c>
      <c r="J305" s="7">
        <v>25.73</v>
      </c>
      <c r="K305">
        <v>1</v>
      </c>
      <c r="L305">
        <f t="shared" si="16"/>
        <v>2E-3</v>
      </c>
      <c r="M305">
        <f t="shared" si="19"/>
        <v>0.60200000000000042</v>
      </c>
      <c r="N305">
        <f t="shared" si="17"/>
        <v>0.55159282004432508</v>
      </c>
      <c r="O305">
        <f t="shared" si="18"/>
        <v>5.0407179955675341E-2</v>
      </c>
    </row>
    <row r="306" spans="2:15" x14ac:dyDescent="0.25">
      <c r="B306" s="7">
        <v>22.68</v>
      </c>
      <c r="J306" s="7">
        <v>25.75</v>
      </c>
      <c r="K306">
        <v>1</v>
      </c>
      <c r="L306">
        <f t="shared" si="16"/>
        <v>2E-3</v>
      </c>
      <c r="M306">
        <f t="shared" si="19"/>
        <v>0.60400000000000043</v>
      </c>
      <c r="N306">
        <f t="shared" si="17"/>
        <v>0.5535265357221405</v>
      </c>
      <c r="O306">
        <f t="shared" si="18"/>
        <v>5.0473464277859925E-2</v>
      </c>
    </row>
    <row r="307" spans="2:15" x14ac:dyDescent="0.25">
      <c r="B307" s="7">
        <v>27.36</v>
      </c>
      <c r="J307" s="7">
        <v>25.76</v>
      </c>
      <c r="K307">
        <v>1</v>
      </c>
      <c r="L307">
        <f t="shared" si="16"/>
        <v>2E-3</v>
      </c>
      <c r="M307">
        <f t="shared" si="19"/>
        <v>0.60600000000000043</v>
      </c>
      <c r="N307">
        <f t="shared" si="17"/>
        <v>0.55449466240335676</v>
      </c>
      <c r="O307">
        <f t="shared" si="18"/>
        <v>5.1505337596643663E-2</v>
      </c>
    </row>
    <row r="308" spans="2:15" x14ac:dyDescent="0.25">
      <c r="B308" s="7">
        <v>24.84</v>
      </c>
      <c r="J308" s="7">
        <v>25.78</v>
      </c>
      <c r="K308">
        <v>1</v>
      </c>
      <c r="L308">
        <f t="shared" si="16"/>
        <v>2E-3</v>
      </c>
      <c r="M308">
        <f t="shared" si="19"/>
        <v>0.60800000000000043</v>
      </c>
      <c r="N308">
        <f t="shared" si="17"/>
        <v>0.55643345345040529</v>
      </c>
      <c r="O308">
        <f t="shared" si="18"/>
        <v>5.1566546549595138E-2</v>
      </c>
    </row>
    <row r="309" spans="2:15" x14ac:dyDescent="0.25">
      <c r="B309" s="7">
        <v>24.15</v>
      </c>
      <c r="J309" s="7">
        <v>25.8</v>
      </c>
      <c r="K309">
        <v>1</v>
      </c>
      <c r="L309">
        <f t="shared" si="16"/>
        <v>2E-3</v>
      </c>
      <c r="M309">
        <f t="shared" si="19"/>
        <v>0.61000000000000043</v>
      </c>
      <c r="N309">
        <f t="shared" si="17"/>
        <v>0.55837562807694274</v>
      </c>
      <c r="O309">
        <f t="shared" si="18"/>
        <v>5.1624371923057688E-2</v>
      </c>
    </row>
    <row r="310" spans="2:15" x14ac:dyDescent="0.25">
      <c r="B310" s="7">
        <v>26.55</v>
      </c>
      <c r="J310" s="7">
        <v>25.83</v>
      </c>
      <c r="K310">
        <v>1</v>
      </c>
      <c r="L310">
        <f t="shared" si="16"/>
        <v>2E-3</v>
      </c>
      <c r="M310">
        <f t="shared" si="19"/>
        <v>0.61200000000000043</v>
      </c>
      <c r="N310">
        <f t="shared" si="17"/>
        <v>0.56129523422828997</v>
      </c>
      <c r="O310">
        <f t="shared" si="18"/>
        <v>5.0704765771710458E-2</v>
      </c>
    </row>
    <row r="311" spans="2:15" x14ac:dyDescent="0.25">
      <c r="B311" s="7">
        <v>21.42</v>
      </c>
      <c r="J311" s="7">
        <v>25.83</v>
      </c>
      <c r="K311">
        <v>1</v>
      </c>
      <c r="L311">
        <f t="shared" si="16"/>
        <v>2E-3</v>
      </c>
      <c r="M311">
        <f t="shared" si="19"/>
        <v>0.61400000000000043</v>
      </c>
      <c r="N311">
        <f t="shared" si="17"/>
        <v>0.56129523422828997</v>
      </c>
      <c r="O311">
        <f t="shared" si="18"/>
        <v>5.270476577171046E-2</v>
      </c>
    </row>
    <row r="312" spans="2:15" x14ac:dyDescent="0.25">
      <c r="B312" s="7">
        <v>30.18</v>
      </c>
      <c r="J312" s="7">
        <v>25.84</v>
      </c>
      <c r="K312">
        <v>1</v>
      </c>
      <c r="L312">
        <f t="shared" si="16"/>
        <v>2E-3</v>
      </c>
      <c r="M312">
        <f t="shared" si="19"/>
        <v>0.61600000000000044</v>
      </c>
      <c r="N312">
        <f t="shared" si="17"/>
        <v>0.56227012806848375</v>
      </c>
      <c r="O312">
        <f t="shared" si="18"/>
        <v>5.3729871931516682E-2</v>
      </c>
    </row>
    <row r="313" spans="2:15" x14ac:dyDescent="0.25">
      <c r="B313" s="7">
        <v>22.73</v>
      </c>
      <c r="J313" s="7">
        <v>25.88</v>
      </c>
      <c r="K313">
        <v>1</v>
      </c>
      <c r="L313">
        <f t="shared" si="16"/>
        <v>2E-3</v>
      </c>
      <c r="M313">
        <f t="shared" si="19"/>
        <v>0.61800000000000044</v>
      </c>
      <c r="N313">
        <f t="shared" si="17"/>
        <v>0.56617816237797969</v>
      </c>
      <c r="O313">
        <f t="shared" si="18"/>
        <v>5.182183762202075E-2</v>
      </c>
    </row>
    <row r="314" spans="2:15" x14ac:dyDescent="0.25">
      <c r="B314" s="7">
        <v>23.23</v>
      </c>
      <c r="J314" s="7">
        <v>25.89</v>
      </c>
      <c r="K314">
        <v>1</v>
      </c>
      <c r="L314">
        <f t="shared" si="16"/>
        <v>2E-3</v>
      </c>
      <c r="M314">
        <f t="shared" si="19"/>
        <v>0.62000000000000044</v>
      </c>
      <c r="N314">
        <f t="shared" si="17"/>
        <v>0.56715728569253421</v>
      </c>
      <c r="O314">
        <f t="shared" si="18"/>
        <v>5.2842714307466232E-2</v>
      </c>
    </row>
    <row r="315" spans="2:15" x14ac:dyDescent="0.25">
      <c r="B315" s="7">
        <v>24.09</v>
      </c>
      <c r="J315" s="7">
        <v>25.9</v>
      </c>
      <c r="K315">
        <v>1</v>
      </c>
      <c r="L315">
        <f t="shared" si="16"/>
        <v>2E-3</v>
      </c>
      <c r="M315">
        <f t="shared" si="19"/>
        <v>0.62200000000000044</v>
      </c>
      <c r="N315">
        <f t="shared" si="17"/>
        <v>0.56813725490196065</v>
      </c>
      <c r="O315">
        <f t="shared" si="18"/>
        <v>5.3862745098039788E-2</v>
      </c>
    </row>
    <row r="316" spans="2:15" x14ac:dyDescent="0.25">
      <c r="B316" s="7">
        <v>23.55</v>
      </c>
      <c r="J316" s="7">
        <v>25.91</v>
      </c>
      <c r="K316">
        <v>1</v>
      </c>
      <c r="L316">
        <f t="shared" si="16"/>
        <v>2E-3</v>
      </c>
      <c r="M316">
        <f t="shared" si="19"/>
        <v>0.62400000000000044</v>
      </c>
      <c r="N316">
        <f t="shared" si="17"/>
        <v>0.5691180700062598</v>
      </c>
      <c r="O316">
        <f t="shared" si="18"/>
        <v>5.4881929993740641E-2</v>
      </c>
    </row>
    <row r="317" spans="2:15" x14ac:dyDescent="0.25">
      <c r="B317" s="7">
        <v>22.21</v>
      </c>
      <c r="J317" s="7">
        <v>25.92</v>
      </c>
      <c r="K317">
        <v>1</v>
      </c>
      <c r="L317">
        <f t="shared" si="16"/>
        <v>2E-3</v>
      </c>
      <c r="M317">
        <f t="shared" si="19"/>
        <v>0.62600000000000044</v>
      </c>
      <c r="N317">
        <f t="shared" si="17"/>
        <v>0.57009973100543088</v>
      </c>
      <c r="O317">
        <f t="shared" si="18"/>
        <v>5.5900268994569569E-2</v>
      </c>
    </row>
    <row r="318" spans="2:15" x14ac:dyDescent="0.25">
      <c r="B318" s="7">
        <v>29.15</v>
      </c>
      <c r="J318" s="7">
        <v>25.93</v>
      </c>
      <c r="K318">
        <v>1</v>
      </c>
      <c r="L318">
        <f t="shared" si="16"/>
        <v>2E-3</v>
      </c>
      <c r="M318">
        <f t="shared" si="19"/>
        <v>0.62800000000000045</v>
      </c>
      <c r="N318">
        <f t="shared" si="17"/>
        <v>0.57108223789947388</v>
      </c>
      <c r="O318">
        <f t="shared" si="18"/>
        <v>5.691776210052657E-2</v>
      </c>
    </row>
    <row r="319" spans="2:15" x14ac:dyDescent="0.25">
      <c r="B319" s="7">
        <v>23.29</v>
      </c>
      <c r="J319" s="7">
        <v>25.94</v>
      </c>
      <c r="K319">
        <v>1</v>
      </c>
      <c r="L319">
        <f t="shared" si="16"/>
        <v>2E-3</v>
      </c>
      <c r="M319">
        <f t="shared" si="19"/>
        <v>0.63000000000000045</v>
      </c>
      <c r="N319">
        <f t="shared" si="17"/>
        <v>0.57206559068838947</v>
      </c>
      <c r="O319">
        <f t="shared" si="18"/>
        <v>5.7934409311610979E-2</v>
      </c>
    </row>
    <row r="320" spans="2:15" x14ac:dyDescent="0.25">
      <c r="B320" s="7">
        <v>22.69</v>
      </c>
      <c r="J320" s="7">
        <v>25.95</v>
      </c>
      <c r="K320">
        <v>1</v>
      </c>
      <c r="L320">
        <f t="shared" si="16"/>
        <v>2E-3</v>
      </c>
      <c r="M320">
        <f t="shared" si="19"/>
        <v>0.63200000000000045</v>
      </c>
      <c r="N320">
        <f t="shared" si="17"/>
        <v>0.57304978937217677</v>
      </c>
      <c r="O320">
        <f t="shared" si="18"/>
        <v>5.8950210627823685E-2</v>
      </c>
    </row>
    <row r="321" spans="2:15" x14ac:dyDescent="0.25">
      <c r="B321" s="7">
        <v>24</v>
      </c>
      <c r="J321" s="7">
        <v>25.95</v>
      </c>
      <c r="K321">
        <v>1</v>
      </c>
      <c r="L321">
        <f t="shared" si="16"/>
        <v>2E-3</v>
      </c>
      <c r="M321">
        <f t="shared" si="19"/>
        <v>0.63400000000000045</v>
      </c>
      <c r="N321">
        <f t="shared" si="17"/>
        <v>0.57304978937217677</v>
      </c>
      <c r="O321">
        <f t="shared" si="18"/>
        <v>6.0950210627823687E-2</v>
      </c>
    </row>
    <row r="322" spans="2:15" x14ac:dyDescent="0.25">
      <c r="B322" s="7">
        <v>23.65</v>
      </c>
      <c r="J322" s="7">
        <v>25.96</v>
      </c>
      <c r="K322">
        <v>1</v>
      </c>
      <c r="L322">
        <f t="shared" si="16"/>
        <v>2E-3</v>
      </c>
      <c r="M322">
        <f t="shared" si="19"/>
        <v>0.63600000000000045</v>
      </c>
      <c r="N322">
        <f t="shared" si="17"/>
        <v>0.57403483395083665</v>
      </c>
      <c r="O322">
        <f t="shared" si="18"/>
        <v>6.19651660491638E-2</v>
      </c>
    </row>
    <row r="323" spans="2:15" x14ac:dyDescent="0.25">
      <c r="B323" s="7">
        <v>29.31</v>
      </c>
      <c r="J323" s="7">
        <v>25.96</v>
      </c>
      <c r="K323">
        <v>1</v>
      </c>
      <c r="L323">
        <f t="shared" si="16"/>
        <v>2E-3</v>
      </c>
      <c r="M323">
        <f t="shared" si="19"/>
        <v>0.63800000000000046</v>
      </c>
      <c r="N323">
        <f t="shared" si="17"/>
        <v>0.57403483395083665</v>
      </c>
      <c r="O323">
        <f t="shared" si="18"/>
        <v>6.3965166049163802E-2</v>
      </c>
    </row>
    <row r="324" spans="2:15" x14ac:dyDescent="0.25">
      <c r="B324" s="7">
        <v>22.23</v>
      </c>
      <c r="J324" s="7">
        <v>26.01</v>
      </c>
      <c r="K324">
        <v>1</v>
      </c>
      <c r="L324">
        <f t="shared" si="16"/>
        <v>2E-3</v>
      </c>
      <c r="M324">
        <f t="shared" si="19"/>
        <v>0.64000000000000046</v>
      </c>
      <c r="N324">
        <f t="shared" si="17"/>
        <v>0.57897274526721842</v>
      </c>
      <c r="O324">
        <f t="shared" si="18"/>
        <v>6.1027254732782032E-2</v>
      </c>
    </row>
    <row r="325" spans="2:15" x14ac:dyDescent="0.25">
      <c r="B325" s="7">
        <v>24.32</v>
      </c>
      <c r="J325" s="7">
        <v>26.03</v>
      </c>
      <c r="K325">
        <v>1</v>
      </c>
      <c r="L325">
        <f t="shared" si="16"/>
        <v>2E-3</v>
      </c>
      <c r="M325">
        <f t="shared" si="19"/>
        <v>0.64200000000000046</v>
      </c>
      <c r="N325">
        <f t="shared" si="17"/>
        <v>0.58095383105787635</v>
      </c>
      <c r="O325">
        <f t="shared" si="18"/>
        <v>6.1046168942124113E-2</v>
      </c>
    </row>
    <row r="326" spans="2:15" x14ac:dyDescent="0.25">
      <c r="B326" s="7">
        <v>28.08</v>
      </c>
      <c r="J326" s="7">
        <v>26.04</v>
      </c>
      <c r="K326">
        <v>1</v>
      </c>
      <c r="L326">
        <f t="shared" ref="L326:L389" si="20">K326/$E$20</f>
        <v>2E-3</v>
      </c>
      <c r="M326">
        <f t="shared" si="19"/>
        <v>0.64400000000000046</v>
      </c>
      <c r="N326">
        <f t="shared" ref="N326:N388" si="21">(J326-$H$7)^2/(($H$8-$H$7)*($H$9-$H$7))</f>
        <v>0.58194564279551331</v>
      </c>
      <c r="O326">
        <f t="shared" ref="O326:O389" si="22">ABS(M326-N326)</f>
        <v>6.2054357204487154E-2</v>
      </c>
    </row>
    <row r="327" spans="2:15" x14ac:dyDescent="0.25">
      <c r="B327" s="7">
        <v>23.47</v>
      </c>
      <c r="J327" s="7">
        <v>26.06</v>
      </c>
      <c r="K327">
        <v>1</v>
      </c>
      <c r="L327">
        <f t="shared" si="20"/>
        <v>2E-3</v>
      </c>
      <c r="M327">
        <f t="shared" ref="M327:M390" si="23">M326+L327</f>
        <v>0.64600000000000046</v>
      </c>
      <c r="N327">
        <f t="shared" si="21"/>
        <v>0.58393180395540445</v>
      </c>
      <c r="O327">
        <f t="shared" si="22"/>
        <v>6.2068196044596013E-2</v>
      </c>
    </row>
    <row r="328" spans="2:15" x14ac:dyDescent="0.25">
      <c r="B328" s="7">
        <v>25.78</v>
      </c>
      <c r="J328" s="7">
        <v>26.09</v>
      </c>
      <c r="K328">
        <v>1</v>
      </c>
      <c r="L328">
        <f t="shared" si="20"/>
        <v>2E-3</v>
      </c>
      <c r="M328">
        <f t="shared" si="23"/>
        <v>0.64800000000000046</v>
      </c>
      <c r="N328">
        <f t="shared" si="21"/>
        <v>0.58691738990678244</v>
      </c>
      <c r="O328">
        <f t="shared" si="22"/>
        <v>6.1082610093218026E-2</v>
      </c>
    </row>
    <row r="329" spans="2:15" x14ac:dyDescent="0.25">
      <c r="B329" s="7">
        <v>23.1</v>
      </c>
      <c r="J329" s="7">
        <v>26.1</v>
      </c>
      <c r="K329">
        <v>1</v>
      </c>
      <c r="L329">
        <f t="shared" si="20"/>
        <v>2E-3</v>
      </c>
      <c r="M329">
        <f t="shared" si="23"/>
        <v>0.65000000000000047</v>
      </c>
      <c r="N329">
        <f t="shared" si="21"/>
        <v>0.58791427701365295</v>
      </c>
      <c r="O329">
        <f t="shared" si="22"/>
        <v>6.2085722986347514E-2</v>
      </c>
    </row>
    <row r="330" spans="2:15" x14ac:dyDescent="0.25">
      <c r="B330" s="7">
        <v>24.52</v>
      </c>
      <c r="J330" s="7">
        <v>26.14</v>
      </c>
      <c r="K330">
        <v>1</v>
      </c>
      <c r="L330">
        <f t="shared" si="20"/>
        <v>2E-3</v>
      </c>
      <c r="M330">
        <f t="shared" si="23"/>
        <v>0.65200000000000047</v>
      </c>
      <c r="N330">
        <f t="shared" si="21"/>
        <v>0.59191028438985616</v>
      </c>
      <c r="O330">
        <f t="shared" si="22"/>
        <v>6.0089715610144312E-2</v>
      </c>
    </row>
    <row r="331" spans="2:15" x14ac:dyDescent="0.25">
      <c r="B331" s="7">
        <v>24.94</v>
      </c>
      <c r="J331" s="7">
        <v>26.18</v>
      </c>
      <c r="K331">
        <v>1</v>
      </c>
      <c r="L331">
        <f t="shared" si="20"/>
        <v>2E-3</v>
      </c>
      <c r="M331">
        <f t="shared" si="23"/>
        <v>0.65400000000000047</v>
      </c>
      <c r="N331">
        <f t="shared" si="21"/>
        <v>0.59591982608401439</v>
      </c>
      <c r="O331">
        <f t="shared" si="22"/>
        <v>5.8080173915986077E-2</v>
      </c>
    </row>
    <row r="332" spans="2:15" x14ac:dyDescent="0.25">
      <c r="B332" s="7">
        <v>31.18</v>
      </c>
      <c r="J332" s="7">
        <v>26.2</v>
      </c>
      <c r="K332">
        <v>1</v>
      </c>
      <c r="L332">
        <f t="shared" si="20"/>
        <v>2E-3</v>
      </c>
      <c r="M332">
        <f t="shared" si="23"/>
        <v>0.65600000000000047</v>
      </c>
      <c r="N332">
        <f t="shared" si="21"/>
        <v>0.59792967230032645</v>
      </c>
      <c r="O332">
        <f t="shared" si="22"/>
        <v>5.8070327699674018E-2</v>
      </c>
    </row>
    <row r="333" spans="2:15" x14ac:dyDescent="0.25">
      <c r="B333" s="7">
        <v>29.15</v>
      </c>
      <c r="J333" s="7">
        <v>26.2</v>
      </c>
      <c r="K333">
        <v>1</v>
      </c>
      <c r="L333">
        <f t="shared" si="20"/>
        <v>2E-3</v>
      </c>
      <c r="M333">
        <f t="shared" si="23"/>
        <v>0.65800000000000047</v>
      </c>
      <c r="N333">
        <f t="shared" si="21"/>
        <v>0.59792967230032645</v>
      </c>
      <c r="O333">
        <f t="shared" si="22"/>
        <v>6.007032769967402E-2</v>
      </c>
    </row>
    <row r="334" spans="2:15" x14ac:dyDescent="0.25">
      <c r="B334" s="7">
        <v>23.49</v>
      </c>
      <c r="J334" s="7">
        <v>26.24</v>
      </c>
      <c r="K334">
        <v>1</v>
      </c>
      <c r="L334">
        <f t="shared" si="20"/>
        <v>2E-3</v>
      </c>
      <c r="M334">
        <f t="shared" si="23"/>
        <v>0.66000000000000048</v>
      </c>
      <c r="N334">
        <f t="shared" si="21"/>
        <v>0.60195951547141713</v>
      </c>
      <c r="O334">
        <f t="shared" si="22"/>
        <v>5.8040484528583347E-2</v>
      </c>
    </row>
    <row r="335" spans="2:15" x14ac:dyDescent="0.25">
      <c r="B335" s="7">
        <v>27.77</v>
      </c>
      <c r="J335" s="7">
        <v>26.26</v>
      </c>
      <c r="K335">
        <v>1</v>
      </c>
      <c r="L335">
        <f t="shared" si="20"/>
        <v>2E-3</v>
      </c>
      <c r="M335">
        <f t="shared" si="23"/>
        <v>0.66200000000000048</v>
      </c>
      <c r="N335">
        <f t="shared" si="21"/>
        <v>0.60397951242619596</v>
      </c>
      <c r="O335">
        <f t="shared" si="22"/>
        <v>5.8020487573804513E-2</v>
      </c>
    </row>
    <row r="336" spans="2:15" x14ac:dyDescent="0.25">
      <c r="B336" s="7">
        <v>28.41</v>
      </c>
      <c r="J336" s="7">
        <v>26.28</v>
      </c>
      <c r="K336">
        <v>1</v>
      </c>
      <c r="L336">
        <f t="shared" si="20"/>
        <v>2E-3</v>
      </c>
      <c r="M336">
        <f t="shared" si="23"/>
        <v>0.66400000000000048</v>
      </c>
      <c r="N336">
        <f t="shared" si="21"/>
        <v>0.60600289296046306</v>
      </c>
      <c r="O336">
        <f t="shared" si="22"/>
        <v>5.7997107039537421E-2</v>
      </c>
    </row>
    <row r="337" spans="2:15" x14ac:dyDescent="0.25">
      <c r="B337" s="7">
        <v>24.84</v>
      </c>
      <c r="J337" s="7">
        <v>26.29</v>
      </c>
      <c r="K337">
        <v>1</v>
      </c>
      <c r="L337">
        <f t="shared" si="20"/>
        <v>2E-3</v>
      </c>
      <c r="M337">
        <f t="shared" si="23"/>
        <v>0.66600000000000048</v>
      </c>
      <c r="N337">
        <f t="shared" si="21"/>
        <v>0.60701585206990472</v>
      </c>
      <c r="O337">
        <f t="shared" si="22"/>
        <v>5.8984147930095765E-2</v>
      </c>
    </row>
    <row r="338" spans="2:15" x14ac:dyDescent="0.25">
      <c r="B338" s="7">
        <v>22.98</v>
      </c>
      <c r="J338" s="7">
        <v>26.32</v>
      </c>
      <c r="K338">
        <v>1</v>
      </c>
      <c r="L338">
        <f t="shared" si="20"/>
        <v>2E-3</v>
      </c>
      <c r="M338">
        <f t="shared" si="23"/>
        <v>0.66800000000000048</v>
      </c>
      <c r="N338">
        <f t="shared" si="21"/>
        <v>0.61005980476746358</v>
      </c>
      <c r="O338">
        <f t="shared" si="22"/>
        <v>5.7940195232536906E-2</v>
      </c>
    </row>
    <row r="339" spans="2:15" x14ac:dyDescent="0.25">
      <c r="B339" s="7">
        <v>20.34</v>
      </c>
      <c r="J339" s="7">
        <v>26.37</v>
      </c>
      <c r="K339">
        <v>1</v>
      </c>
      <c r="L339">
        <f t="shared" si="20"/>
        <v>2E-3</v>
      </c>
      <c r="M339">
        <f t="shared" si="23"/>
        <v>0.67000000000000048</v>
      </c>
      <c r="N339">
        <f t="shared" si="21"/>
        <v>0.61514997716083863</v>
      </c>
      <c r="O339">
        <f t="shared" si="22"/>
        <v>5.4850022839161849E-2</v>
      </c>
    </row>
    <row r="340" spans="2:15" x14ac:dyDescent="0.25">
      <c r="B340" s="7">
        <v>20.309999999999999</v>
      </c>
      <c r="J340" s="7">
        <v>26.42</v>
      </c>
      <c r="K340">
        <v>1</v>
      </c>
      <c r="L340">
        <f t="shared" si="20"/>
        <v>2E-3</v>
      </c>
      <c r="M340">
        <f t="shared" si="23"/>
        <v>0.67200000000000049</v>
      </c>
      <c r="N340">
        <f t="shared" si="21"/>
        <v>0.62026129692601828</v>
      </c>
      <c r="O340">
        <f t="shared" si="22"/>
        <v>5.1738703073982206E-2</v>
      </c>
    </row>
    <row r="341" spans="2:15" x14ac:dyDescent="0.25">
      <c r="B341" s="7">
        <v>28.51</v>
      </c>
      <c r="J341" s="7">
        <v>26.44</v>
      </c>
      <c r="K341">
        <v>1</v>
      </c>
      <c r="L341">
        <f t="shared" si="20"/>
        <v>2E-3</v>
      </c>
      <c r="M341">
        <f t="shared" si="23"/>
        <v>0.67400000000000049</v>
      </c>
      <c r="N341">
        <f t="shared" si="21"/>
        <v>0.62231174609619544</v>
      </c>
      <c r="O341">
        <f t="shared" si="22"/>
        <v>5.1688253903805048E-2</v>
      </c>
    </row>
    <row r="342" spans="2:15" x14ac:dyDescent="0.25">
      <c r="B342" s="7">
        <v>22.16</v>
      </c>
      <c r="J342" s="7">
        <v>26.44</v>
      </c>
      <c r="K342">
        <v>1</v>
      </c>
      <c r="L342">
        <f t="shared" si="20"/>
        <v>2E-3</v>
      </c>
      <c r="M342">
        <f t="shared" si="23"/>
        <v>0.67600000000000049</v>
      </c>
      <c r="N342">
        <f t="shared" si="21"/>
        <v>0.62231174609619544</v>
      </c>
      <c r="O342">
        <f t="shared" si="22"/>
        <v>5.368825390380505E-2</v>
      </c>
    </row>
    <row r="343" spans="2:15" x14ac:dyDescent="0.25">
      <c r="B343" s="7">
        <v>29.3</v>
      </c>
      <c r="J343" s="7">
        <v>26.44</v>
      </c>
      <c r="K343">
        <v>1</v>
      </c>
      <c r="L343">
        <f t="shared" si="20"/>
        <v>2E-3</v>
      </c>
      <c r="M343">
        <f t="shared" si="23"/>
        <v>0.67800000000000049</v>
      </c>
      <c r="N343">
        <f t="shared" si="21"/>
        <v>0.62231174609619544</v>
      </c>
      <c r="O343">
        <f t="shared" si="22"/>
        <v>5.5688253903805052E-2</v>
      </c>
    </row>
    <row r="344" spans="2:15" x14ac:dyDescent="0.25">
      <c r="B344" s="7">
        <v>25.75</v>
      </c>
      <c r="J344" s="7">
        <v>26.45</v>
      </c>
      <c r="K344">
        <v>1</v>
      </c>
      <c r="L344">
        <f t="shared" si="20"/>
        <v>2E-3</v>
      </c>
      <c r="M344">
        <f t="shared" si="23"/>
        <v>0.68000000000000049</v>
      </c>
      <c r="N344">
        <f t="shared" si="21"/>
        <v>0.62333823952359202</v>
      </c>
      <c r="O344">
        <f t="shared" si="22"/>
        <v>5.6661760476408474E-2</v>
      </c>
    </row>
    <row r="345" spans="2:15" x14ac:dyDescent="0.25">
      <c r="B345" s="7">
        <v>27.67</v>
      </c>
      <c r="J345" s="7">
        <v>26.46</v>
      </c>
      <c r="K345">
        <v>1</v>
      </c>
      <c r="L345">
        <f t="shared" si="20"/>
        <v>2E-3</v>
      </c>
      <c r="M345">
        <f t="shared" si="23"/>
        <v>0.68200000000000049</v>
      </c>
      <c r="N345">
        <f t="shared" si="21"/>
        <v>0.62436557884586119</v>
      </c>
      <c r="O345">
        <f t="shared" si="22"/>
        <v>5.7634421154139304E-2</v>
      </c>
    </row>
    <row r="346" spans="2:15" x14ac:dyDescent="0.25">
      <c r="B346" s="7">
        <v>28.34</v>
      </c>
      <c r="J346" s="7">
        <v>26.47</v>
      </c>
      <c r="K346">
        <v>1</v>
      </c>
      <c r="L346">
        <f t="shared" si="20"/>
        <v>2E-3</v>
      </c>
      <c r="M346">
        <f t="shared" si="23"/>
        <v>0.6840000000000005</v>
      </c>
      <c r="N346">
        <f t="shared" si="21"/>
        <v>0.62539376406300229</v>
      </c>
      <c r="O346">
        <f t="shared" si="22"/>
        <v>5.8606235936998208E-2</v>
      </c>
    </row>
    <row r="347" spans="2:15" x14ac:dyDescent="0.25">
      <c r="B347" s="7">
        <v>28.4</v>
      </c>
      <c r="J347" s="7">
        <v>26.55</v>
      </c>
      <c r="K347">
        <v>1</v>
      </c>
      <c r="L347">
        <f t="shared" si="20"/>
        <v>2E-3</v>
      </c>
      <c r="M347">
        <f t="shared" si="23"/>
        <v>0.6860000000000005</v>
      </c>
      <c r="N347">
        <f t="shared" si="21"/>
        <v>0.63364969801553073</v>
      </c>
      <c r="O347">
        <f t="shared" si="22"/>
        <v>5.2350301984469771E-2</v>
      </c>
    </row>
    <row r="348" spans="2:15" x14ac:dyDescent="0.25">
      <c r="B348" s="7">
        <v>20.85</v>
      </c>
      <c r="J348" s="7">
        <v>26.56</v>
      </c>
      <c r="K348">
        <v>1</v>
      </c>
      <c r="L348">
        <f t="shared" si="20"/>
        <v>2E-3</v>
      </c>
      <c r="M348">
        <f t="shared" si="23"/>
        <v>0.6880000000000005</v>
      </c>
      <c r="N348">
        <f t="shared" si="21"/>
        <v>0.63468549628652138</v>
      </c>
      <c r="O348">
        <f t="shared" si="22"/>
        <v>5.3314503713479122E-2</v>
      </c>
    </row>
    <row r="349" spans="2:15" x14ac:dyDescent="0.25">
      <c r="B349" s="7">
        <v>21.22</v>
      </c>
      <c r="J349" s="7">
        <v>26.59</v>
      </c>
      <c r="K349">
        <v>1</v>
      </c>
      <c r="L349">
        <f t="shared" si="20"/>
        <v>2E-3</v>
      </c>
      <c r="M349">
        <f t="shared" si="23"/>
        <v>0.6900000000000005</v>
      </c>
      <c r="N349">
        <f t="shared" si="21"/>
        <v>0.63779796646872733</v>
      </c>
      <c r="O349">
        <f t="shared" si="22"/>
        <v>5.2202033531273173E-2</v>
      </c>
    </row>
    <row r="350" spans="2:15" x14ac:dyDescent="0.25">
      <c r="B350" s="7">
        <v>25.57</v>
      </c>
      <c r="J350" s="7">
        <v>26.64</v>
      </c>
      <c r="K350">
        <v>1</v>
      </c>
      <c r="L350">
        <f t="shared" si="20"/>
        <v>2E-3</v>
      </c>
      <c r="M350">
        <f t="shared" si="23"/>
        <v>0.6920000000000005</v>
      </c>
      <c r="N350">
        <f t="shared" si="21"/>
        <v>0.64300233466984735</v>
      </c>
      <c r="O350">
        <f t="shared" si="22"/>
        <v>4.8997665330153151E-2</v>
      </c>
    </row>
    <row r="351" spans="2:15" x14ac:dyDescent="0.25">
      <c r="B351" s="7">
        <v>25.5</v>
      </c>
      <c r="J351" s="7">
        <v>26.65</v>
      </c>
      <c r="K351">
        <v>1</v>
      </c>
      <c r="L351">
        <f t="shared" si="20"/>
        <v>2E-3</v>
      </c>
      <c r="M351">
        <f t="shared" si="23"/>
        <v>0.69400000000000051</v>
      </c>
      <c r="N351">
        <f t="shared" si="21"/>
        <v>0.64404574599468767</v>
      </c>
      <c r="O351">
        <f t="shared" si="22"/>
        <v>4.9954254005312837E-2</v>
      </c>
    </row>
    <row r="352" spans="2:15" x14ac:dyDescent="0.25">
      <c r="B352" s="7">
        <v>28.43</v>
      </c>
      <c r="J352" s="7">
        <v>26.7</v>
      </c>
      <c r="K352">
        <v>1</v>
      </c>
      <c r="L352">
        <f t="shared" si="20"/>
        <v>2E-3</v>
      </c>
      <c r="M352">
        <f t="shared" si="23"/>
        <v>0.69600000000000051</v>
      </c>
      <c r="N352">
        <f t="shared" si="21"/>
        <v>0.64927549104197335</v>
      </c>
      <c r="O352">
        <f t="shared" si="22"/>
        <v>4.6724508958027156E-2</v>
      </c>
    </row>
    <row r="353" spans="2:15" x14ac:dyDescent="0.25">
      <c r="B353" s="7">
        <v>21.46</v>
      </c>
      <c r="J353" s="7">
        <v>26.73</v>
      </c>
      <c r="K353">
        <v>1</v>
      </c>
      <c r="L353">
        <f t="shared" si="20"/>
        <v>2E-3</v>
      </c>
      <c r="M353">
        <f t="shared" si="23"/>
        <v>0.69800000000000051</v>
      </c>
      <c r="N353">
        <f t="shared" si="21"/>
        <v>0.65242348880881096</v>
      </c>
      <c r="O353">
        <f t="shared" si="22"/>
        <v>4.557651119118955E-2</v>
      </c>
    </row>
    <row r="354" spans="2:15" x14ac:dyDescent="0.25">
      <c r="B354" s="7">
        <v>23.77</v>
      </c>
      <c r="J354" s="7">
        <v>26.74</v>
      </c>
      <c r="K354">
        <v>1</v>
      </c>
      <c r="L354">
        <f t="shared" si="20"/>
        <v>2E-3</v>
      </c>
      <c r="M354">
        <f t="shared" si="23"/>
        <v>0.70000000000000051</v>
      </c>
      <c r="N354">
        <f t="shared" si="21"/>
        <v>0.65347451318750094</v>
      </c>
      <c r="O354">
        <f t="shared" si="22"/>
        <v>4.6525486812499572E-2</v>
      </c>
    </row>
    <row r="355" spans="2:15" x14ac:dyDescent="0.25">
      <c r="B355" s="7">
        <v>29.21</v>
      </c>
      <c r="J355" s="7">
        <v>26.77</v>
      </c>
      <c r="K355">
        <v>1</v>
      </c>
      <c r="L355">
        <f t="shared" si="20"/>
        <v>2E-3</v>
      </c>
      <c r="M355">
        <f t="shared" si="23"/>
        <v>0.70200000000000051</v>
      </c>
      <c r="N355">
        <f t="shared" si="21"/>
        <v>0.65663266169280488</v>
      </c>
      <c r="O355">
        <f t="shared" si="22"/>
        <v>4.5367338307195637E-2</v>
      </c>
    </row>
    <row r="356" spans="2:15" x14ac:dyDescent="0.25">
      <c r="B356" s="7">
        <v>25.7</v>
      </c>
      <c r="J356" s="7">
        <v>26.78</v>
      </c>
      <c r="K356">
        <v>1</v>
      </c>
      <c r="L356">
        <f t="shared" si="20"/>
        <v>2E-3</v>
      </c>
      <c r="M356">
        <f t="shared" si="23"/>
        <v>0.70400000000000051</v>
      </c>
      <c r="N356">
        <f t="shared" si="21"/>
        <v>0.657687069650984</v>
      </c>
      <c r="O356">
        <f t="shared" si="22"/>
        <v>4.6312930349016512E-2</v>
      </c>
    </row>
    <row r="357" spans="2:15" x14ac:dyDescent="0.25">
      <c r="B357" s="7">
        <v>24.37</v>
      </c>
      <c r="J357" s="7">
        <v>26.84</v>
      </c>
      <c r="K357">
        <v>1</v>
      </c>
      <c r="L357">
        <f t="shared" si="20"/>
        <v>2E-3</v>
      </c>
      <c r="M357">
        <f t="shared" si="23"/>
        <v>0.70600000000000052</v>
      </c>
      <c r="N357">
        <f t="shared" si="21"/>
        <v>0.66403128119237342</v>
      </c>
      <c r="O357">
        <f t="shared" si="22"/>
        <v>4.1968718807627092E-2</v>
      </c>
    </row>
    <row r="358" spans="2:15" x14ac:dyDescent="0.25">
      <c r="B358" s="7">
        <v>26.7</v>
      </c>
      <c r="J358" s="7">
        <v>26.84</v>
      </c>
      <c r="K358">
        <v>1</v>
      </c>
      <c r="L358">
        <f t="shared" si="20"/>
        <v>2E-3</v>
      </c>
      <c r="M358">
        <f t="shared" si="23"/>
        <v>0.70800000000000052</v>
      </c>
      <c r="N358">
        <f t="shared" si="21"/>
        <v>0.66403128119237342</v>
      </c>
      <c r="O358">
        <f t="shared" si="22"/>
        <v>4.3968718807627094E-2</v>
      </c>
    </row>
    <row r="359" spans="2:15" x14ac:dyDescent="0.25">
      <c r="B359" s="7">
        <v>21.5</v>
      </c>
      <c r="J359" s="7">
        <v>26.85</v>
      </c>
      <c r="K359">
        <v>1</v>
      </c>
      <c r="L359">
        <f t="shared" si="20"/>
        <v>2E-3</v>
      </c>
      <c r="M359">
        <f t="shared" si="23"/>
        <v>0.71000000000000052</v>
      </c>
      <c r="N359">
        <f t="shared" si="21"/>
        <v>0.66509161041465792</v>
      </c>
      <c r="O359">
        <f t="shared" si="22"/>
        <v>4.4908389585342601E-2</v>
      </c>
    </row>
    <row r="360" spans="2:15" x14ac:dyDescent="0.25">
      <c r="B360" s="7">
        <v>26.24</v>
      </c>
      <c r="J360" s="7">
        <v>26.86</v>
      </c>
      <c r="K360">
        <v>1</v>
      </c>
      <c r="L360">
        <f t="shared" si="20"/>
        <v>2E-3</v>
      </c>
      <c r="M360">
        <f t="shared" si="23"/>
        <v>0.71200000000000052</v>
      </c>
      <c r="N360">
        <f t="shared" si="21"/>
        <v>0.66615278553181412</v>
      </c>
      <c r="O360">
        <f t="shared" si="22"/>
        <v>4.5847214468186404E-2</v>
      </c>
    </row>
    <row r="361" spans="2:15" x14ac:dyDescent="0.25">
      <c r="B361" s="7">
        <v>23.08</v>
      </c>
      <c r="J361" s="7">
        <v>26.87</v>
      </c>
      <c r="K361">
        <v>1</v>
      </c>
      <c r="L361">
        <f t="shared" si="20"/>
        <v>2E-3</v>
      </c>
      <c r="M361">
        <f t="shared" si="23"/>
        <v>0.71400000000000052</v>
      </c>
      <c r="N361">
        <f t="shared" si="21"/>
        <v>0.66721480654384291</v>
      </c>
      <c r="O361">
        <f t="shared" si="22"/>
        <v>4.6785193456157614E-2</v>
      </c>
    </row>
    <row r="362" spans="2:15" x14ac:dyDescent="0.25">
      <c r="B362" s="7">
        <v>27.69</v>
      </c>
      <c r="J362" s="7">
        <v>26.87</v>
      </c>
      <c r="K362">
        <v>1</v>
      </c>
      <c r="L362">
        <f t="shared" si="20"/>
        <v>2E-3</v>
      </c>
      <c r="M362">
        <f t="shared" si="23"/>
        <v>0.71600000000000052</v>
      </c>
      <c r="N362">
        <f t="shared" si="21"/>
        <v>0.66721480654384291</v>
      </c>
      <c r="O362">
        <f t="shared" si="22"/>
        <v>4.8785193456157616E-2</v>
      </c>
    </row>
    <row r="363" spans="2:15" x14ac:dyDescent="0.25">
      <c r="B363" s="7">
        <v>25.48</v>
      </c>
      <c r="J363" s="7">
        <v>26.88</v>
      </c>
      <c r="K363">
        <v>1</v>
      </c>
      <c r="L363">
        <f t="shared" si="20"/>
        <v>2E-3</v>
      </c>
      <c r="M363">
        <f t="shared" si="23"/>
        <v>0.71800000000000053</v>
      </c>
      <c r="N363">
        <f t="shared" si="21"/>
        <v>0.66827767345074351</v>
      </c>
      <c r="O363">
        <f t="shared" si="22"/>
        <v>4.9722326549257012E-2</v>
      </c>
    </row>
    <row r="364" spans="2:15" x14ac:dyDescent="0.25">
      <c r="B364" s="7">
        <v>21.94</v>
      </c>
      <c r="J364" s="7">
        <v>26.95</v>
      </c>
      <c r="K364">
        <v>1</v>
      </c>
      <c r="L364">
        <f t="shared" si="20"/>
        <v>2E-3</v>
      </c>
      <c r="M364">
        <f t="shared" si="23"/>
        <v>0.72000000000000053</v>
      </c>
      <c r="N364">
        <f t="shared" si="21"/>
        <v>0.67574142685547045</v>
      </c>
      <c r="O364">
        <f t="shared" si="22"/>
        <v>4.4258573144530078E-2</v>
      </c>
    </row>
    <row r="365" spans="2:15" x14ac:dyDescent="0.25">
      <c r="B365" s="7">
        <v>22.25</v>
      </c>
      <c r="J365" s="7">
        <v>26.99</v>
      </c>
      <c r="K365">
        <v>1</v>
      </c>
      <c r="L365">
        <f t="shared" si="20"/>
        <v>2E-3</v>
      </c>
      <c r="M365">
        <f t="shared" si="23"/>
        <v>0.72200000000000053</v>
      </c>
      <c r="N365">
        <f t="shared" si="21"/>
        <v>0.6800250384882166</v>
      </c>
      <c r="O365">
        <f t="shared" si="22"/>
        <v>4.1974961511783926E-2</v>
      </c>
    </row>
    <row r="366" spans="2:15" x14ac:dyDescent="0.25">
      <c r="B366" s="7">
        <v>23.44</v>
      </c>
      <c r="J366" s="7">
        <v>27.01</v>
      </c>
      <c r="K366">
        <v>1</v>
      </c>
      <c r="L366">
        <f t="shared" si="20"/>
        <v>2E-3</v>
      </c>
      <c r="M366">
        <f t="shared" si="23"/>
        <v>0.72400000000000053</v>
      </c>
      <c r="N366">
        <f t="shared" si="21"/>
        <v>0.68217191967382318</v>
      </c>
      <c r="O366">
        <f t="shared" si="22"/>
        <v>4.1828080326177353E-2</v>
      </c>
    </row>
    <row r="367" spans="2:15" x14ac:dyDescent="0.25">
      <c r="B367" s="7">
        <v>20.27</v>
      </c>
      <c r="J367" s="7">
        <v>27.01</v>
      </c>
      <c r="K367">
        <v>1</v>
      </c>
      <c r="L367">
        <f t="shared" si="20"/>
        <v>2E-3</v>
      </c>
      <c r="M367">
        <f t="shared" si="23"/>
        <v>0.72600000000000053</v>
      </c>
      <c r="N367">
        <f t="shared" si="21"/>
        <v>0.68217191967382318</v>
      </c>
      <c r="O367">
        <f t="shared" si="22"/>
        <v>4.3828080326177354E-2</v>
      </c>
    </row>
    <row r="368" spans="2:15" x14ac:dyDescent="0.25">
      <c r="B368" s="7">
        <v>27.17</v>
      </c>
      <c r="J368" s="7">
        <v>27.01</v>
      </c>
      <c r="K368">
        <v>1</v>
      </c>
      <c r="L368">
        <f t="shared" si="20"/>
        <v>2E-3</v>
      </c>
      <c r="M368">
        <f t="shared" si="23"/>
        <v>0.72800000000000054</v>
      </c>
      <c r="N368">
        <f t="shared" si="21"/>
        <v>0.68217191967382318</v>
      </c>
      <c r="O368">
        <f t="shared" si="22"/>
        <v>4.5828080326177356E-2</v>
      </c>
    </row>
    <row r="369" spans="2:15" x14ac:dyDescent="0.25">
      <c r="B369" s="7">
        <v>22.48</v>
      </c>
      <c r="J369" s="7">
        <v>27.04</v>
      </c>
      <c r="K369">
        <v>1</v>
      </c>
      <c r="L369">
        <f t="shared" si="20"/>
        <v>2E-3</v>
      </c>
      <c r="M369">
        <f t="shared" si="23"/>
        <v>0.73000000000000054</v>
      </c>
      <c r="N369">
        <f t="shared" si="21"/>
        <v>0.68539858566377365</v>
      </c>
      <c r="O369">
        <f t="shared" si="22"/>
        <v>4.4601414336226886E-2</v>
      </c>
    </row>
    <row r="370" spans="2:15" x14ac:dyDescent="0.25">
      <c r="B370" s="7">
        <v>23.18</v>
      </c>
      <c r="J370" s="7">
        <v>27.05</v>
      </c>
      <c r="K370">
        <v>1</v>
      </c>
      <c r="L370">
        <f t="shared" si="20"/>
        <v>2E-3</v>
      </c>
      <c r="M370">
        <f t="shared" si="23"/>
        <v>0.73200000000000054</v>
      </c>
      <c r="N370">
        <f t="shared" si="21"/>
        <v>0.68647583278350188</v>
      </c>
      <c r="O370">
        <f t="shared" si="22"/>
        <v>4.5524167216498657E-2</v>
      </c>
    </row>
    <row r="371" spans="2:15" x14ac:dyDescent="0.25">
      <c r="B371" s="7">
        <v>23.12</v>
      </c>
      <c r="J371" s="7">
        <v>27.06</v>
      </c>
      <c r="K371">
        <v>1</v>
      </c>
      <c r="L371">
        <f t="shared" si="20"/>
        <v>2E-3</v>
      </c>
      <c r="M371">
        <f t="shared" si="23"/>
        <v>0.73400000000000054</v>
      </c>
      <c r="N371">
        <f t="shared" si="21"/>
        <v>0.68755392579810171</v>
      </c>
      <c r="O371">
        <f t="shared" si="22"/>
        <v>4.6446074201898835E-2</v>
      </c>
    </row>
    <row r="372" spans="2:15" x14ac:dyDescent="0.25">
      <c r="B372" s="7">
        <v>21.89</v>
      </c>
      <c r="J372" s="7">
        <v>27.08</v>
      </c>
      <c r="K372">
        <v>1</v>
      </c>
      <c r="L372">
        <f t="shared" si="20"/>
        <v>2E-3</v>
      </c>
      <c r="M372">
        <f t="shared" si="23"/>
        <v>0.73600000000000054</v>
      </c>
      <c r="N372">
        <f t="shared" si="21"/>
        <v>0.68971264951191857</v>
      </c>
      <c r="O372">
        <f t="shared" si="22"/>
        <v>4.6287350488081969E-2</v>
      </c>
    </row>
    <row r="373" spans="2:15" x14ac:dyDescent="0.25">
      <c r="B373" s="7">
        <v>29.69</v>
      </c>
      <c r="J373" s="7">
        <v>27.09</v>
      </c>
      <c r="K373">
        <v>1</v>
      </c>
      <c r="L373">
        <f t="shared" si="20"/>
        <v>2E-3</v>
      </c>
      <c r="M373">
        <f t="shared" si="23"/>
        <v>0.73800000000000054</v>
      </c>
      <c r="N373">
        <f t="shared" si="21"/>
        <v>0.69079328021113551</v>
      </c>
      <c r="O373">
        <f t="shared" si="22"/>
        <v>4.7206719788865037E-2</v>
      </c>
    </row>
    <row r="374" spans="2:15" x14ac:dyDescent="0.25">
      <c r="B374" s="7">
        <v>25.95</v>
      </c>
      <c r="J374" s="7">
        <v>27.09</v>
      </c>
      <c r="K374">
        <v>1</v>
      </c>
      <c r="L374">
        <f t="shared" si="20"/>
        <v>2E-3</v>
      </c>
      <c r="M374">
        <f t="shared" si="23"/>
        <v>0.74000000000000055</v>
      </c>
      <c r="N374">
        <f t="shared" si="21"/>
        <v>0.69079328021113551</v>
      </c>
      <c r="O374">
        <f t="shared" si="22"/>
        <v>4.9206719788865039E-2</v>
      </c>
    </row>
    <row r="375" spans="2:15" x14ac:dyDescent="0.25">
      <c r="B375" s="7">
        <v>26.88</v>
      </c>
      <c r="J375" s="7">
        <v>27.09</v>
      </c>
      <c r="K375">
        <v>1</v>
      </c>
      <c r="L375">
        <f t="shared" si="20"/>
        <v>2E-3</v>
      </c>
      <c r="M375">
        <f t="shared" si="23"/>
        <v>0.74200000000000055</v>
      </c>
      <c r="N375">
        <f t="shared" si="21"/>
        <v>0.69079328021113551</v>
      </c>
      <c r="O375">
        <f t="shared" si="22"/>
        <v>5.120671978886504E-2</v>
      </c>
    </row>
    <row r="376" spans="2:15" x14ac:dyDescent="0.25">
      <c r="B376" s="7">
        <v>24.51</v>
      </c>
      <c r="J376" s="7">
        <v>27.12</v>
      </c>
      <c r="K376">
        <v>1</v>
      </c>
      <c r="L376">
        <f t="shared" si="20"/>
        <v>2E-3</v>
      </c>
      <c r="M376">
        <f t="shared" si="23"/>
        <v>0.74400000000000055</v>
      </c>
      <c r="N376">
        <f t="shared" si="21"/>
        <v>0.69404024767801875</v>
      </c>
      <c r="O376">
        <f t="shared" si="22"/>
        <v>4.9959752321981798E-2</v>
      </c>
    </row>
    <row r="377" spans="2:15" x14ac:dyDescent="0.25">
      <c r="B377" s="7">
        <v>22.46</v>
      </c>
      <c r="J377" s="7">
        <v>27.12</v>
      </c>
      <c r="K377">
        <v>1</v>
      </c>
      <c r="L377">
        <f t="shared" si="20"/>
        <v>2E-3</v>
      </c>
      <c r="M377">
        <f t="shared" si="23"/>
        <v>0.74600000000000055</v>
      </c>
      <c r="N377">
        <f t="shared" si="21"/>
        <v>0.69404024767801875</v>
      </c>
      <c r="O377">
        <f t="shared" si="22"/>
        <v>5.19597523219818E-2</v>
      </c>
    </row>
    <row r="378" spans="2:15" x14ac:dyDescent="0.25">
      <c r="B378" s="7">
        <v>29.08</v>
      </c>
      <c r="J378" s="7">
        <v>27.16</v>
      </c>
      <c r="K378">
        <v>1</v>
      </c>
      <c r="L378">
        <f t="shared" si="20"/>
        <v>2E-3</v>
      </c>
      <c r="M378">
        <f t="shared" si="23"/>
        <v>0.74800000000000055</v>
      </c>
      <c r="N378">
        <f t="shared" si="21"/>
        <v>0.69838138016207363</v>
      </c>
      <c r="O378">
        <f t="shared" si="22"/>
        <v>4.9618619837926925E-2</v>
      </c>
    </row>
    <row r="379" spans="2:15" x14ac:dyDescent="0.25">
      <c r="B379" s="7">
        <v>24.66</v>
      </c>
      <c r="J379" s="7">
        <v>27.17</v>
      </c>
      <c r="K379">
        <v>1</v>
      </c>
      <c r="L379">
        <f t="shared" si="20"/>
        <v>2E-3</v>
      </c>
      <c r="M379">
        <f t="shared" si="23"/>
        <v>0.75000000000000056</v>
      </c>
      <c r="N379">
        <f t="shared" si="21"/>
        <v>0.69946877802026797</v>
      </c>
      <c r="O379">
        <f t="shared" si="22"/>
        <v>5.0531221979732588E-2</v>
      </c>
    </row>
    <row r="380" spans="2:15" x14ac:dyDescent="0.25">
      <c r="B380" s="7">
        <v>22.31</v>
      </c>
      <c r="J380" s="7">
        <v>27.17</v>
      </c>
      <c r="K380">
        <v>1</v>
      </c>
      <c r="L380">
        <f t="shared" si="20"/>
        <v>2E-3</v>
      </c>
      <c r="M380">
        <f t="shared" si="23"/>
        <v>0.75200000000000056</v>
      </c>
      <c r="N380">
        <f t="shared" si="21"/>
        <v>0.69946877802026797</v>
      </c>
      <c r="O380">
        <f t="shared" si="22"/>
        <v>5.253122197973259E-2</v>
      </c>
    </row>
    <row r="381" spans="2:15" x14ac:dyDescent="0.25">
      <c r="B381" s="7">
        <v>22.45</v>
      </c>
      <c r="J381" s="7">
        <v>27.18</v>
      </c>
      <c r="K381">
        <v>1</v>
      </c>
      <c r="L381">
        <f t="shared" si="20"/>
        <v>2E-3</v>
      </c>
      <c r="M381">
        <f t="shared" si="23"/>
        <v>0.75400000000000056</v>
      </c>
      <c r="N381">
        <f t="shared" si="21"/>
        <v>0.70055702177333401</v>
      </c>
      <c r="O381">
        <f t="shared" si="22"/>
        <v>5.3442978226666549E-2</v>
      </c>
    </row>
    <row r="382" spans="2:15" x14ac:dyDescent="0.25">
      <c r="B382" s="7">
        <v>22.83</v>
      </c>
      <c r="J382" s="7">
        <v>27.21</v>
      </c>
      <c r="K382">
        <v>1</v>
      </c>
      <c r="L382">
        <f t="shared" si="20"/>
        <v>2E-3</v>
      </c>
      <c r="M382">
        <f t="shared" si="23"/>
        <v>0.75600000000000056</v>
      </c>
      <c r="N382">
        <f t="shared" si="21"/>
        <v>0.70382682840176636</v>
      </c>
      <c r="O382">
        <f t="shared" si="22"/>
        <v>5.2173171598234203E-2</v>
      </c>
    </row>
    <row r="383" spans="2:15" x14ac:dyDescent="0.25">
      <c r="B383" s="7">
        <v>23.73</v>
      </c>
      <c r="J383" s="7">
        <v>27.22</v>
      </c>
      <c r="K383">
        <v>1</v>
      </c>
      <c r="L383">
        <f t="shared" si="20"/>
        <v>2E-3</v>
      </c>
      <c r="M383">
        <f t="shared" si="23"/>
        <v>0.75800000000000056</v>
      </c>
      <c r="N383">
        <f t="shared" si="21"/>
        <v>0.70491845573432133</v>
      </c>
      <c r="O383">
        <f t="shared" si="22"/>
        <v>5.3081544265679237E-2</v>
      </c>
    </row>
    <row r="384" spans="2:15" x14ac:dyDescent="0.25">
      <c r="B384" s="7">
        <v>25.62</v>
      </c>
      <c r="J384" s="7">
        <v>27.22</v>
      </c>
      <c r="K384">
        <v>1</v>
      </c>
      <c r="L384">
        <f t="shared" si="20"/>
        <v>2E-3</v>
      </c>
      <c r="M384">
        <f t="shared" si="23"/>
        <v>0.76000000000000056</v>
      </c>
      <c r="N384">
        <f t="shared" si="21"/>
        <v>0.70491845573432133</v>
      </c>
      <c r="O384">
        <f t="shared" si="22"/>
        <v>5.5081544265679239E-2</v>
      </c>
    </row>
    <row r="385" spans="2:15" x14ac:dyDescent="0.25">
      <c r="B385" s="7">
        <v>21.92</v>
      </c>
      <c r="J385" s="7">
        <v>27.23</v>
      </c>
      <c r="K385">
        <v>1</v>
      </c>
      <c r="L385">
        <f t="shared" si="20"/>
        <v>2E-3</v>
      </c>
      <c r="M385">
        <f t="shared" si="23"/>
        <v>0.76200000000000057</v>
      </c>
      <c r="N385">
        <f t="shared" si="21"/>
        <v>0.70601092896174877</v>
      </c>
      <c r="O385">
        <f t="shared" si="22"/>
        <v>5.5989071038251792E-2</v>
      </c>
    </row>
    <row r="386" spans="2:15" x14ac:dyDescent="0.25">
      <c r="B386" s="7">
        <v>22.06</v>
      </c>
      <c r="J386" s="7">
        <v>27.23</v>
      </c>
      <c r="K386">
        <v>1</v>
      </c>
      <c r="L386">
        <f t="shared" si="20"/>
        <v>2E-3</v>
      </c>
      <c r="M386">
        <f t="shared" si="23"/>
        <v>0.76400000000000057</v>
      </c>
      <c r="N386">
        <f t="shared" si="21"/>
        <v>0.70601092896174877</v>
      </c>
      <c r="O386">
        <f t="shared" si="22"/>
        <v>5.7989071038251794E-2</v>
      </c>
    </row>
    <row r="387" spans="2:15" x14ac:dyDescent="0.25">
      <c r="B387" s="7">
        <v>25.13</v>
      </c>
      <c r="J387" s="7">
        <v>27.23</v>
      </c>
      <c r="K387">
        <v>1</v>
      </c>
      <c r="L387">
        <f t="shared" si="20"/>
        <v>2E-3</v>
      </c>
      <c r="M387">
        <f t="shared" si="23"/>
        <v>0.76600000000000057</v>
      </c>
      <c r="N387">
        <f t="shared" si="21"/>
        <v>0.70601092896174877</v>
      </c>
      <c r="O387">
        <f t="shared" si="22"/>
        <v>5.9989071038251796E-2</v>
      </c>
    </row>
    <row r="388" spans="2:15" s="20" customFormat="1" x14ac:dyDescent="0.25">
      <c r="B388" s="19">
        <v>21.56</v>
      </c>
      <c r="J388" s="19">
        <v>27.23</v>
      </c>
      <c r="K388" s="20">
        <v>1</v>
      </c>
      <c r="L388" s="20">
        <f t="shared" si="20"/>
        <v>2E-3</v>
      </c>
      <c r="M388" s="20">
        <f t="shared" si="23"/>
        <v>0.76800000000000057</v>
      </c>
      <c r="N388">
        <f t="shared" si="21"/>
        <v>0.70601092896174877</v>
      </c>
      <c r="O388" s="20">
        <f t="shared" si="22"/>
        <v>6.1989071038251797E-2</v>
      </c>
    </row>
    <row r="389" spans="2:15" x14ac:dyDescent="0.25">
      <c r="B389" s="7">
        <v>23.39</v>
      </c>
      <c r="J389" s="7">
        <v>27.24</v>
      </c>
      <c r="K389">
        <v>1</v>
      </c>
      <c r="L389">
        <f t="shared" si="20"/>
        <v>2E-3</v>
      </c>
      <c r="M389">
        <f t="shared" si="23"/>
        <v>0.77000000000000057</v>
      </c>
      <c r="N389">
        <f>1-(($H$8-J389)^2/(($H$8-$H$7)*($H$8-$H$9)))</f>
        <v>0.70710280943384707</v>
      </c>
      <c r="O389">
        <f t="shared" si="22"/>
        <v>6.2897190566153505E-2</v>
      </c>
    </row>
    <row r="390" spans="2:15" x14ac:dyDescent="0.25">
      <c r="B390" s="7">
        <v>23.22</v>
      </c>
      <c r="J390" s="7">
        <v>27.25</v>
      </c>
      <c r="K390">
        <v>1</v>
      </c>
      <c r="L390">
        <f t="shared" ref="L390:L453" si="24">K390/$E$20</f>
        <v>2E-3</v>
      </c>
      <c r="M390">
        <f t="shared" si="23"/>
        <v>0.77200000000000057</v>
      </c>
      <c r="N390">
        <f t="shared" ref="N390:N453" si="25">(J390-$H$7)/($H$8-$H$7)</f>
        <v>0.70710382513661207</v>
      </c>
      <c r="O390">
        <f t="shared" ref="O390:O453" si="26">ABS(M390-N390)</f>
        <v>6.48961748633885E-2</v>
      </c>
    </row>
    <row r="391" spans="2:15" x14ac:dyDescent="0.25">
      <c r="B391" s="7">
        <v>29.09</v>
      </c>
      <c r="J391" s="7">
        <v>27.26</v>
      </c>
      <c r="K391">
        <v>1</v>
      </c>
      <c r="L391">
        <f t="shared" si="24"/>
        <v>2E-3</v>
      </c>
      <c r="M391">
        <f t="shared" ref="M391:M454" si="27">M390+L391</f>
        <v>0.77400000000000058</v>
      </c>
      <c r="N391">
        <f t="shared" si="25"/>
        <v>0.70765027322404384</v>
      </c>
      <c r="O391">
        <f t="shared" si="26"/>
        <v>6.6349726775956741E-2</v>
      </c>
    </row>
    <row r="392" spans="2:15" x14ac:dyDescent="0.25">
      <c r="B392" s="7">
        <v>25.96</v>
      </c>
      <c r="J392" s="7">
        <v>27.26</v>
      </c>
      <c r="K392">
        <v>1</v>
      </c>
      <c r="L392">
        <f t="shared" si="24"/>
        <v>2E-3</v>
      </c>
      <c r="M392">
        <f t="shared" si="27"/>
        <v>0.77600000000000058</v>
      </c>
      <c r="N392">
        <f t="shared" si="25"/>
        <v>0.70765027322404384</v>
      </c>
      <c r="O392">
        <f t="shared" si="26"/>
        <v>6.8349726775956743E-2</v>
      </c>
    </row>
    <row r="393" spans="2:15" x14ac:dyDescent="0.25">
      <c r="B393" s="7">
        <v>19.989999999999998</v>
      </c>
      <c r="J393" s="7">
        <v>27.28</v>
      </c>
      <c r="K393">
        <v>1</v>
      </c>
      <c r="L393">
        <f t="shared" si="24"/>
        <v>2E-3</v>
      </c>
      <c r="M393">
        <f t="shared" si="27"/>
        <v>0.77800000000000058</v>
      </c>
      <c r="N393">
        <f t="shared" si="25"/>
        <v>0.70874316939890725</v>
      </c>
      <c r="O393">
        <f t="shared" si="26"/>
        <v>6.9256830601093333E-2</v>
      </c>
    </row>
    <row r="394" spans="2:15" x14ac:dyDescent="0.25">
      <c r="B394" s="7">
        <v>23.43</v>
      </c>
      <c r="J394" s="7">
        <v>27.36</v>
      </c>
      <c r="K394">
        <v>1</v>
      </c>
      <c r="L394">
        <f t="shared" si="24"/>
        <v>2E-3</v>
      </c>
      <c r="M394">
        <f t="shared" si="27"/>
        <v>0.78000000000000058</v>
      </c>
      <c r="N394">
        <f t="shared" si="25"/>
        <v>0.71311475409836067</v>
      </c>
      <c r="O394">
        <f t="shared" si="26"/>
        <v>6.6885245901639911E-2</v>
      </c>
    </row>
    <row r="395" spans="2:15" x14ac:dyDescent="0.25">
      <c r="B395" s="7">
        <v>28.92</v>
      </c>
      <c r="J395" s="7">
        <v>27.4</v>
      </c>
      <c r="K395">
        <v>1</v>
      </c>
      <c r="L395">
        <f t="shared" si="24"/>
        <v>2E-3</v>
      </c>
      <c r="M395">
        <f t="shared" si="27"/>
        <v>0.78200000000000058</v>
      </c>
      <c r="N395">
        <f t="shared" si="25"/>
        <v>0.71530054644808749</v>
      </c>
      <c r="O395">
        <f t="shared" si="26"/>
        <v>6.669945355191309E-2</v>
      </c>
    </row>
    <row r="396" spans="2:15" x14ac:dyDescent="0.25">
      <c r="B396" s="7">
        <v>27.09</v>
      </c>
      <c r="J396" s="7">
        <v>27.43</v>
      </c>
      <c r="K396">
        <v>1</v>
      </c>
      <c r="L396">
        <f t="shared" si="24"/>
        <v>2E-3</v>
      </c>
      <c r="M396">
        <f t="shared" si="27"/>
        <v>0.78400000000000059</v>
      </c>
      <c r="N396">
        <f t="shared" si="25"/>
        <v>0.71693989071038255</v>
      </c>
      <c r="O396">
        <f t="shared" si="26"/>
        <v>6.7060109289618031E-2</v>
      </c>
    </row>
    <row r="397" spans="2:15" x14ac:dyDescent="0.25">
      <c r="B397" s="7">
        <v>24.6</v>
      </c>
      <c r="J397" s="7">
        <v>27.5</v>
      </c>
      <c r="K397">
        <v>1</v>
      </c>
      <c r="L397">
        <f t="shared" si="24"/>
        <v>2E-3</v>
      </c>
      <c r="M397">
        <f t="shared" si="27"/>
        <v>0.78600000000000059</v>
      </c>
      <c r="N397">
        <f t="shared" si="25"/>
        <v>0.72076502732240444</v>
      </c>
      <c r="O397">
        <f t="shared" si="26"/>
        <v>6.5234972677596148E-2</v>
      </c>
    </row>
    <row r="398" spans="2:15" x14ac:dyDescent="0.25">
      <c r="B398" s="7">
        <v>24.33</v>
      </c>
      <c r="J398" s="7">
        <v>27.53</v>
      </c>
      <c r="K398">
        <v>1</v>
      </c>
      <c r="L398">
        <f t="shared" si="24"/>
        <v>2E-3</v>
      </c>
      <c r="M398">
        <f t="shared" si="27"/>
        <v>0.78800000000000059</v>
      </c>
      <c r="N398">
        <f t="shared" si="25"/>
        <v>0.72240437158469961</v>
      </c>
      <c r="O398">
        <f t="shared" si="26"/>
        <v>6.5595628415300977E-2</v>
      </c>
    </row>
    <row r="399" spans="2:15" x14ac:dyDescent="0.25">
      <c r="B399" s="7">
        <v>25.52</v>
      </c>
      <c r="J399" s="7">
        <v>27.6</v>
      </c>
      <c r="K399">
        <v>1</v>
      </c>
      <c r="L399">
        <f t="shared" si="24"/>
        <v>2E-3</v>
      </c>
      <c r="M399">
        <f t="shared" si="27"/>
        <v>0.79000000000000059</v>
      </c>
      <c r="N399">
        <f t="shared" si="25"/>
        <v>0.7262295081967215</v>
      </c>
      <c r="O399">
        <f t="shared" si="26"/>
        <v>6.3770491803279095E-2</v>
      </c>
    </row>
    <row r="400" spans="2:15" x14ac:dyDescent="0.25">
      <c r="B400" s="7">
        <v>30.9</v>
      </c>
      <c r="J400" s="7">
        <v>27.6</v>
      </c>
      <c r="K400">
        <v>1</v>
      </c>
      <c r="L400">
        <f t="shared" si="24"/>
        <v>2E-3</v>
      </c>
      <c r="M400">
        <f t="shared" si="27"/>
        <v>0.79200000000000059</v>
      </c>
      <c r="N400">
        <f t="shared" si="25"/>
        <v>0.7262295081967215</v>
      </c>
      <c r="O400">
        <f t="shared" si="26"/>
        <v>6.5770491803279096E-2</v>
      </c>
    </row>
    <row r="401" spans="2:15" x14ac:dyDescent="0.25">
      <c r="B401" s="7">
        <v>25.34</v>
      </c>
      <c r="J401" s="7">
        <v>27.62</v>
      </c>
      <c r="K401">
        <v>1</v>
      </c>
      <c r="L401">
        <f t="shared" si="24"/>
        <v>2E-3</v>
      </c>
      <c r="M401">
        <f t="shared" si="27"/>
        <v>0.79400000000000059</v>
      </c>
      <c r="N401">
        <f t="shared" si="25"/>
        <v>0.7273224043715848</v>
      </c>
      <c r="O401">
        <f t="shared" si="26"/>
        <v>6.6677595628415798E-2</v>
      </c>
    </row>
    <row r="402" spans="2:15" x14ac:dyDescent="0.25">
      <c r="B402" s="7">
        <v>26.64</v>
      </c>
      <c r="J402" s="7">
        <v>27.62</v>
      </c>
      <c r="K402">
        <v>1</v>
      </c>
      <c r="L402">
        <f t="shared" si="24"/>
        <v>2E-3</v>
      </c>
      <c r="M402">
        <f t="shared" si="27"/>
        <v>0.7960000000000006</v>
      </c>
      <c r="N402">
        <f t="shared" si="25"/>
        <v>0.7273224043715848</v>
      </c>
      <c r="O402">
        <f t="shared" si="26"/>
        <v>6.86775956284158E-2</v>
      </c>
    </row>
    <row r="403" spans="2:15" x14ac:dyDescent="0.25">
      <c r="B403" s="7">
        <v>24.06</v>
      </c>
      <c r="J403" s="7">
        <v>27.67</v>
      </c>
      <c r="K403">
        <v>1</v>
      </c>
      <c r="L403">
        <f t="shared" si="24"/>
        <v>2E-3</v>
      </c>
      <c r="M403">
        <f t="shared" si="27"/>
        <v>0.7980000000000006</v>
      </c>
      <c r="N403">
        <f t="shared" si="25"/>
        <v>0.73005464480874338</v>
      </c>
      <c r="O403">
        <f t="shared" si="26"/>
        <v>6.7945355191257217E-2</v>
      </c>
    </row>
    <row r="404" spans="2:15" x14ac:dyDescent="0.25">
      <c r="B404" s="7">
        <v>20.53</v>
      </c>
      <c r="J404" s="7">
        <v>27.68</v>
      </c>
      <c r="K404">
        <v>1</v>
      </c>
      <c r="L404">
        <f t="shared" si="24"/>
        <v>2E-3</v>
      </c>
      <c r="M404">
        <f t="shared" si="27"/>
        <v>0.8000000000000006</v>
      </c>
      <c r="N404">
        <f t="shared" si="25"/>
        <v>0.73060109289617492</v>
      </c>
      <c r="O404">
        <f t="shared" si="26"/>
        <v>6.939890710382568E-2</v>
      </c>
    </row>
    <row r="405" spans="2:15" x14ac:dyDescent="0.25">
      <c r="B405" s="7">
        <v>28.44</v>
      </c>
      <c r="J405" s="7">
        <v>27.69</v>
      </c>
      <c r="K405">
        <v>1</v>
      </c>
      <c r="L405">
        <f t="shared" si="24"/>
        <v>2E-3</v>
      </c>
      <c r="M405">
        <f t="shared" si="27"/>
        <v>0.8020000000000006</v>
      </c>
      <c r="N405">
        <f t="shared" si="25"/>
        <v>0.73114754098360668</v>
      </c>
      <c r="O405">
        <f t="shared" si="26"/>
        <v>7.0852459016393921E-2</v>
      </c>
    </row>
    <row r="406" spans="2:15" x14ac:dyDescent="0.25">
      <c r="B406" s="7">
        <v>24.25</v>
      </c>
      <c r="J406" s="7">
        <v>27.75</v>
      </c>
      <c r="K406">
        <v>1</v>
      </c>
      <c r="L406">
        <f t="shared" si="24"/>
        <v>2E-3</v>
      </c>
      <c r="M406">
        <f t="shared" si="27"/>
        <v>0.8040000000000006</v>
      </c>
      <c r="N406">
        <f t="shared" si="25"/>
        <v>0.7344262295081968</v>
      </c>
      <c r="O406">
        <f t="shared" si="26"/>
        <v>6.9573770491803799E-2</v>
      </c>
    </row>
    <row r="407" spans="2:15" x14ac:dyDescent="0.25">
      <c r="B407" s="7">
        <v>27.01</v>
      </c>
      <c r="J407" s="7">
        <v>27.77</v>
      </c>
      <c r="K407">
        <v>1</v>
      </c>
      <c r="L407">
        <f t="shared" si="24"/>
        <v>2E-3</v>
      </c>
      <c r="M407">
        <f t="shared" si="27"/>
        <v>0.8060000000000006</v>
      </c>
      <c r="N407">
        <f t="shared" si="25"/>
        <v>0.73551912568306022</v>
      </c>
      <c r="O407">
        <f t="shared" si="26"/>
        <v>7.048087431694039E-2</v>
      </c>
    </row>
    <row r="408" spans="2:15" x14ac:dyDescent="0.25">
      <c r="B408" s="7">
        <v>21.43</v>
      </c>
      <c r="J408" s="7">
        <v>27.79</v>
      </c>
      <c r="K408">
        <v>1</v>
      </c>
      <c r="L408">
        <f t="shared" si="24"/>
        <v>2E-3</v>
      </c>
      <c r="M408">
        <f t="shared" si="27"/>
        <v>0.80800000000000061</v>
      </c>
      <c r="N408">
        <f t="shared" si="25"/>
        <v>0.73661202185792352</v>
      </c>
      <c r="O408">
        <f t="shared" si="26"/>
        <v>7.1387978142077091E-2</v>
      </c>
    </row>
    <row r="409" spans="2:15" x14ac:dyDescent="0.25">
      <c r="B409" s="7">
        <v>26.44</v>
      </c>
      <c r="J409" s="7">
        <v>27.81</v>
      </c>
      <c r="K409">
        <v>1</v>
      </c>
      <c r="L409">
        <f t="shared" si="24"/>
        <v>2E-3</v>
      </c>
      <c r="M409">
        <f t="shared" si="27"/>
        <v>0.81000000000000061</v>
      </c>
      <c r="N409">
        <f t="shared" si="25"/>
        <v>0.73770491803278693</v>
      </c>
      <c r="O409">
        <f t="shared" si="26"/>
        <v>7.2295081967213681E-2</v>
      </c>
    </row>
    <row r="410" spans="2:15" x14ac:dyDescent="0.25">
      <c r="B410" s="7">
        <v>27.06</v>
      </c>
      <c r="J410" s="7">
        <v>27.82</v>
      </c>
      <c r="K410">
        <v>1</v>
      </c>
      <c r="L410">
        <f t="shared" si="24"/>
        <v>2E-3</v>
      </c>
      <c r="M410">
        <f t="shared" si="27"/>
        <v>0.81200000000000061</v>
      </c>
      <c r="N410">
        <f t="shared" si="25"/>
        <v>0.73825136612021869</v>
      </c>
      <c r="O410">
        <f t="shared" si="26"/>
        <v>7.3748633879781922E-2</v>
      </c>
    </row>
    <row r="411" spans="2:15" x14ac:dyDescent="0.25">
      <c r="B411" s="7">
        <v>23.98</v>
      </c>
      <c r="J411" s="7">
        <v>27.83</v>
      </c>
      <c r="K411">
        <v>1</v>
      </c>
      <c r="L411">
        <f t="shared" si="24"/>
        <v>2E-3</v>
      </c>
      <c r="M411">
        <f t="shared" si="27"/>
        <v>0.81400000000000061</v>
      </c>
      <c r="N411">
        <f t="shared" si="25"/>
        <v>0.73879781420765023</v>
      </c>
      <c r="O411">
        <f t="shared" si="26"/>
        <v>7.5202185792350384E-2</v>
      </c>
    </row>
    <row r="412" spans="2:15" x14ac:dyDescent="0.25">
      <c r="B412" s="7">
        <v>22.06</v>
      </c>
      <c r="J412" s="7">
        <v>27.85</v>
      </c>
      <c r="K412">
        <v>1</v>
      </c>
      <c r="L412">
        <f t="shared" si="24"/>
        <v>2E-3</v>
      </c>
      <c r="M412">
        <f t="shared" si="27"/>
        <v>0.81600000000000061</v>
      </c>
      <c r="N412">
        <f t="shared" si="25"/>
        <v>0.73989071038251386</v>
      </c>
      <c r="O412">
        <f t="shared" si="26"/>
        <v>7.6109289617486753E-2</v>
      </c>
    </row>
    <row r="413" spans="2:15" x14ac:dyDescent="0.25">
      <c r="B413" s="7">
        <v>20.77</v>
      </c>
      <c r="J413" s="7">
        <v>27.92</v>
      </c>
      <c r="K413">
        <v>1</v>
      </c>
      <c r="L413">
        <f t="shared" si="24"/>
        <v>2E-3</v>
      </c>
      <c r="M413">
        <f t="shared" si="27"/>
        <v>0.81800000000000062</v>
      </c>
      <c r="N413">
        <f t="shared" si="25"/>
        <v>0.74371584699453575</v>
      </c>
      <c r="O413">
        <f t="shared" si="26"/>
        <v>7.428415300546487E-2</v>
      </c>
    </row>
    <row r="414" spans="2:15" x14ac:dyDescent="0.25">
      <c r="B414" s="7">
        <v>23.31</v>
      </c>
      <c r="J414" s="7">
        <v>27.94</v>
      </c>
      <c r="K414">
        <v>1</v>
      </c>
      <c r="L414">
        <f t="shared" si="24"/>
        <v>2E-3</v>
      </c>
      <c r="M414">
        <f t="shared" si="27"/>
        <v>0.82000000000000062</v>
      </c>
      <c r="N414">
        <f t="shared" si="25"/>
        <v>0.74480874316939905</v>
      </c>
      <c r="O414">
        <f t="shared" si="26"/>
        <v>7.5191256830601572E-2</v>
      </c>
    </row>
    <row r="415" spans="2:15" x14ac:dyDescent="0.25">
      <c r="B415" s="7">
        <v>26.37</v>
      </c>
      <c r="J415" s="7">
        <v>27.95</v>
      </c>
      <c r="K415">
        <v>1</v>
      </c>
      <c r="L415">
        <f t="shared" si="24"/>
        <v>2E-3</v>
      </c>
      <c r="M415">
        <f t="shared" si="27"/>
        <v>0.82200000000000062</v>
      </c>
      <c r="N415">
        <f t="shared" si="25"/>
        <v>0.7453551912568307</v>
      </c>
      <c r="O415">
        <f t="shared" si="26"/>
        <v>7.6644808743169923E-2</v>
      </c>
    </row>
    <row r="416" spans="2:15" x14ac:dyDescent="0.25">
      <c r="B416" s="7">
        <v>23.8</v>
      </c>
      <c r="J416" s="7">
        <v>28</v>
      </c>
      <c r="K416">
        <v>1</v>
      </c>
      <c r="L416">
        <f t="shared" si="24"/>
        <v>2E-3</v>
      </c>
      <c r="M416">
        <f t="shared" si="27"/>
        <v>0.82400000000000062</v>
      </c>
      <c r="N416">
        <f t="shared" si="25"/>
        <v>0.74808743169398917</v>
      </c>
      <c r="O416">
        <f t="shared" si="26"/>
        <v>7.5912568306011452E-2</v>
      </c>
    </row>
    <row r="417" spans="2:15" x14ac:dyDescent="0.25">
      <c r="B417" s="7">
        <v>26.73</v>
      </c>
      <c r="J417" s="7">
        <v>28.01</v>
      </c>
      <c r="K417">
        <v>1</v>
      </c>
      <c r="L417">
        <f t="shared" si="24"/>
        <v>2E-3</v>
      </c>
      <c r="M417">
        <f t="shared" si="27"/>
        <v>0.82600000000000062</v>
      </c>
      <c r="N417">
        <f t="shared" si="25"/>
        <v>0.74863387978142093</v>
      </c>
      <c r="O417">
        <f t="shared" si="26"/>
        <v>7.7366120218579693E-2</v>
      </c>
    </row>
    <row r="418" spans="2:15" x14ac:dyDescent="0.25">
      <c r="B418" s="7">
        <v>23.39</v>
      </c>
      <c r="J418" s="7">
        <v>28.03</v>
      </c>
      <c r="K418">
        <v>1</v>
      </c>
      <c r="L418">
        <f t="shared" si="24"/>
        <v>2E-3</v>
      </c>
      <c r="M418">
        <f t="shared" si="27"/>
        <v>0.82800000000000062</v>
      </c>
      <c r="N418">
        <f t="shared" si="25"/>
        <v>0.74972677595628434</v>
      </c>
      <c r="O418">
        <f t="shared" si="26"/>
        <v>7.8273224043716283E-2</v>
      </c>
    </row>
    <row r="419" spans="2:15" x14ac:dyDescent="0.25">
      <c r="B419" s="7">
        <v>24.69</v>
      </c>
      <c r="J419" s="7">
        <v>28.08</v>
      </c>
      <c r="K419">
        <v>1</v>
      </c>
      <c r="L419">
        <f t="shared" si="24"/>
        <v>2E-3</v>
      </c>
      <c r="M419">
        <f t="shared" si="27"/>
        <v>0.83000000000000063</v>
      </c>
      <c r="N419">
        <f t="shared" si="25"/>
        <v>0.75245901639344259</v>
      </c>
      <c r="O419">
        <f t="shared" si="26"/>
        <v>7.7540983606558034E-2</v>
      </c>
    </row>
    <row r="420" spans="2:15" x14ac:dyDescent="0.25">
      <c r="B420" s="7">
        <v>27.5</v>
      </c>
      <c r="J420" s="7">
        <v>28.08</v>
      </c>
      <c r="K420">
        <v>1</v>
      </c>
      <c r="L420">
        <f t="shared" si="24"/>
        <v>2E-3</v>
      </c>
      <c r="M420">
        <f t="shared" si="27"/>
        <v>0.83200000000000063</v>
      </c>
      <c r="N420">
        <f t="shared" si="25"/>
        <v>0.75245901639344259</v>
      </c>
      <c r="O420">
        <f t="shared" si="26"/>
        <v>7.9540983606558036E-2</v>
      </c>
    </row>
    <row r="421" spans="2:15" x14ac:dyDescent="0.25">
      <c r="B421" s="7">
        <v>22.88</v>
      </c>
      <c r="J421" s="7">
        <v>28.09</v>
      </c>
      <c r="K421">
        <v>1</v>
      </c>
      <c r="L421">
        <f t="shared" si="24"/>
        <v>2E-3</v>
      </c>
      <c r="M421">
        <f t="shared" si="27"/>
        <v>0.83400000000000063</v>
      </c>
      <c r="N421">
        <f t="shared" si="25"/>
        <v>0.75300546448087435</v>
      </c>
      <c r="O421">
        <f t="shared" si="26"/>
        <v>8.0994535519126276E-2</v>
      </c>
    </row>
    <row r="422" spans="2:15" x14ac:dyDescent="0.25">
      <c r="B422" s="7">
        <v>22.57</v>
      </c>
      <c r="J422" s="7">
        <v>28.12</v>
      </c>
      <c r="K422">
        <v>1</v>
      </c>
      <c r="L422">
        <f t="shared" si="24"/>
        <v>2E-3</v>
      </c>
      <c r="M422">
        <f t="shared" si="27"/>
        <v>0.83600000000000063</v>
      </c>
      <c r="N422">
        <f t="shared" si="25"/>
        <v>0.75464480874316953</v>
      </c>
      <c r="O422">
        <f t="shared" si="26"/>
        <v>8.1355191256831105E-2</v>
      </c>
    </row>
    <row r="423" spans="2:15" x14ac:dyDescent="0.25">
      <c r="B423" s="7">
        <v>28.77</v>
      </c>
      <c r="J423" s="7">
        <v>28.14</v>
      </c>
      <c r="K423">
        <v>1</v>
      </c>
      <c r="L423">
        <f t="shared" si="24"/>
        <v>2E-3</v>
      </c>
      <c r="M423">
        <f t="shared" si="27"/>
        <v>0.83800000000000063</v>
      </c>
      <c r="N423">
        <f t="shared" si="25"/>
        <v>0.75573770491803294</v>
      </c>
      <c r="O423">
        <f t="shared" si="26"/>
        <v>8.2262295081967696E-2</v>
      </c>
    </row>
    <row r="424" spans="2:15" x14ac:dyDescent="0.25">
      <c r="B424" s="7">
        <v>21.16</v>
      </c>
      <c r="J424" s="7">
        <v>28.16</v>
      </c>
      <c r="K424">
        <v>1</v>
      </c>
      <c r="L424">
        <f t="shared" si="24"/>
        <v>2E-3</v>
      </c>
      <c r="M424">
        <f t="shared" si="27"/>
        <v>0.84000000000000064</v>
      </c>
      <c r="N424">
        <f t="shared" si="25"/>
        <v>0.75683060109289624</v>
      </c>
      <c r="O424">
        <f t="shared" si="26"/>
        <v>8.3169398907104397E-2</v>
      </c>
    </row>
    <row r="425" spans="2:15" x14ac:dyDescent="0.25">
      <c r="B425" s="7">
        <v>20.49</v>
      </c>
      <c r="J425" s="7">
        <v>28.18</v>
      </c>
      <c r="K425">
        <v>1</v>
      </c>
      <c r="L425">
        <f t="shared" si="24"/>
        <v>2E-3</v>
      </c>
      <c r="M425">
        <f t="shared" si="27"/>
        <v>0.84200000000000064</v>
      </c>
      <c r="N425">
        <f t="shared" si="25"/>
        <v>0.75792349726775965</v>
      </c>
      <c r="O425">
        <f t="shared" si="26"/>
        <v>8.4076502732240987E-2</v>
      </c>
    </row>
    <row r="426" spans="2:15" x14ac:dyDescent="0.25">
      <c r="B426" s="7">
        <v>27.62</v>
      </c>
      <c r="J426" s="7">
        <v>28.24</v>
      </c>
      <c r="K426">
        <v>1</v>
      </c>
      <c r="L426">
        <f t="shared" si="24"/>
        <v>2E-3</v>
      </c>
      <c r="M426">
        <f t="shared" si="27"/>
        <v>0.84400000000000064</v>
      </c>
      <c r="N426">
        <f t="shared" si="25"/>
        <v>0.76120218579234977</v>
      </c>
      <c r="O426">
        <f t="shared" si="26"/>
        <v>8.2797814207650866E-2</v>
      </c>
    </row>
    <row r="427" spans="2:15" x14ac:dyDescent="0.25">
      <c r="B427" s="7">
        <v>18.55</v>
      </c>
      <c r="J427" s="7">
        <v>28.25</v>
      </c>
      <c r="K427">
        <v>1</v>
      </c>
      <c r="L427">
        <f t="shared" si="24"/>
        <v>2E-3</v>
      </c>
      <c r="M427">
        <f t="shared" si="27"/>
        <v>0.84600000000000064</v>
      </c>
      <c r="N427">
        <f t="shared" si="25"/>
        <v>0.76174863387978153</v>
      </c>
      <c r="O427">
        <f t="shared" si="26"/>
        <v>8.4251366120219107E-2</v>
      </c>
    </row>
    <row r="428" spans="2:15" x14ac:dyDescent="0.25">
      <c r="B428" s="7">
        <v>25.27</v>
      </c>
      <c r="J428" s="7">
        <v>28.3</v>
      </c>
      <c r="K428">
        <v>1</v>
      </c>
      <c r="L428">
        <f t="shared" si="24"/>
        <v>2E-3</v>
      </c>
      <c r="M428">
        <f t="shared" si="27"/>
        <v>0.84800000000000064</v>
      </c>
      <c r="N428">
        <f t="shared" si="25"/>
        <v>0.76448087431694001</v>
      </c>
      <c r="O428">
        <f t="shared" si="26"/>
        <v>8.3519125683060635E-2</v>
      </c>
    </row>
    <row r="429" spans="2:15" x14ac:dyDescent="0.25">
      <c r="B429" s="7">
        <v>26.84</v>
      </c>
      <c r="J429" s="7">
        <v>28.31</v>
      </c>
      <c r="K429">
        <v>1</v>
      </c>
      <c r="L429">
        <f t="shared" si="24"/>
        <v>2E-3</v>
      </c>
      <c r="M429">
        <f t="shared" si="27"/>
        <v>0.85000000000000064</v>
      </c>
      <c r="N429">
        <f t="shared" si="25"/>
        <v>0.76502732240437166</v>
      </c>
      <c r="O429">
        <f t="shared" si="26"/>
        <v>8.4972677595628987E-2</v>
      </c>
    </row>
    <row r="430" spans="2:15" x14ac:dyDescent="0.25">
      <c r="B430" s="7">
        <v>28.16</v>
      </c>
      <c r="J430" s="7">
        <v>28.33</v>
      </c>
      <c r="K430">
        <v>1</v>
      </c>
      <c r="L430">
        <f t="shared" si="24"/>
        <v>2E-3</v>
      </c>
      <c r="M430">
        <f t="shared" si="27"/>
        <v>0.85200000000000065</v>
      </c>
      <c r="N430">
        <f t="shared" si="25"/>
        <v>0.76612021857923496</v>
      </c>
      <c r="O430">
        <f t="shared" si="26"/>
        <v>8.5879781420765688E-2</v>
      </c>
    </row>
    <row r="431" spans="2:15" x14ac:dyDescent="0.25">
      <c r="B431" s="7">
        <v>30.05</v>
      </c>
      <c r="J431" s="7">
        <v>28.33</v>
      </c>
      <c r="K431">
        <v>1</v>
      </c>
      <c r="L431">
        <f t="shared" si="24"/>
        <v>2E-3</v>
      </c>
      <c r="M431">
        <f t="shared" si="27"/>
        <v>0.85400000000000065</v>
      </c>
      <c r="N431">
        <f t="shared" si="25"/>
        <v>0.76612021857923496</v>
      </c>
      <c r="O431">
        <f t="shared" si="26"/>
        <v>8.787978142076569E-2</v>
      </c>
    </row>
    <row r="432" spans="2:15" x14ac:dyDescent="0.25">
      <c r="B432" s="7">
        <v>30.08</v>
      </c>
      <c r="J432" s="7">
        <v>28.34</v>
      </c>
      <c r="K432">
        <v>1</v>
      </c>
      <c r="L432">
        <f t="shared" si="24"/>
        <v>2E-3</v>
      </c>
      <c r="M432">
        <f t="shared" si="27"/>
        <v>0.85600000000000065</v>
      </c>
      <c r="N432">
        <f t="shared" si="25"/>
        <v>0.76666666666666672</v>
      </c>
      <c r="O432">
        <f t="shared" si="26"/>
        <v>8.9333333333333931E-2</v>
      </c>
    </row>
    <row r="433" spans="2:15" x14ac:dyDescent="0.25">
      <c r="B433" s="7">
        <v>24.26</v>
      </c>
      <c r="J433" s="7">
        <v>28.34</v>
      </c>
      <c r="K433">
        <v>1</v>
      </c>
      <c r="L433">
        <f t="shared" si="24"/>
        <v>2E-3</v>
      </c>
      <c r="M433">
        <f t="shared" si="27"/>
        <v>0.85800000000000065</v>
      </c>
      <c r="N433">
        <f t="shared" si="25"/>
        <v>0.76666666666666672</v>
      </c>
      <c r="O433">
        <f t="shared" si="26"/>
        <v>9.1333333333333933E-2</v>
      </c>
    </row>
    <row r="434" spans="2:15" x14ac:dyDescent="0.25">
      <c r="B434" s="7">
        <v>21.74</v>
      </c>
      <c r="J434" s="7">
        <v>28.35</v>
      </c>
      <c r="K434">
        <v>1</v>
      </c>
      <c r="L434">
        <f t="shared" si="24"/>
        <v>2E-3</v>
      </c>
      <c r="M434">
        <f t="shared" si="27"/>
        <v>0.86000000000000065</v>
      </c>
      <c r="N434">
        <f t="shared" si="25"/>
        <v>0.76721311475409848</v>
      </c>
      <c r="O434">
        <f t="shared" si="26"/>
        <v>9.2786885245902173E-2</v>
      </c>
    </row>
    <row r="435" spans="2:15" x14ac:dyDescent="0.25">
      <c r="B435" s="7">
        <v>28.95</v>
      </c>
      <c r="J435" s="7">
        <v>28.35</v>
      </c>
      <c r="K435">
        <v>1</v>
      </c>
      <c r="L435">
        <f t="shared" si="24"/>
        <v>2E-3</v>
      </c>
      <c r="M435">
        <f t="shared" si="27"/>
        <v>0.86200000000000065</v>
      </c>
      <c r="N435">
        <f t="shared" si="25"/>
        <v>0.76721311475409848</v>
      </c>
      <c r="O435">
        <f t="shared" si="26"/>
        <v>9.4786885245902175E-2</v>
      </c>
    </row>
    <row r="436" spans="2:15" x14ac:dyDescent="0.25">
      <c r="B436" s="7">
        <v>25.28</v>
      </c>
      <c r="J436" s="7">
        <v>28.4</v>
      </c>
      <c r="K436">
        <v>1</v>
      </c>
      <c r="L436">
        <f t="shared" si="24"/>
        <v>2E-3</v>
      </c>
      <c r="M436">
        <f t="shared" si="27"/>
        <v>0.86400000000000066</v>
      </c>
      <c r="N436">
        <f t="shared" si="25"/>
        <v>0.76994535519125684</v>
      </c>
      <c r="O436">
        <f t="shared" si="26"/>
        <v>9.4054644808743815E-2</v>
      </c>
    </row>
    <row r="437" spans="2:15" x14ac:dyDescent="0.25">
      <c r="B437" s="7">
        <v>27.12</v>
      </c>
      <c r="J437" s="7">
        <v>28.41</v>
      </c>
      <c r="K437">
        <v>1</v>
      </c>
      <c r="L437">
        <f t="shared" si="24"/>
        <v>2E-3</v>
      </c>
      <c r="M437">
        <f t="shared" si="27"/>
        <v>0.86600000000000066</v>
      </c>
      <c r="N437">
        <f t="shared" si="25"/>
        <v>0.7704918032786886</v>
      </c>
      <c r="O437">
        <f t="shared" si="26"/>
        <v>9.5508196721312055E-2</v>
      </c>
    </row>
    <row r="438" spans="2:15" x14ac:dyDescent="0.25">
      <c r="B438" s="7">
        <v>25.09</v>
      </c>
      <c r="J438" s="7">
        <v>28.43</v>
      </c>
      <c r="K438">
        <v>1</v>
      </c>
      <c r="L438">
        <f t="shared" si="24"/>
        <v>2E-3</v>
      </c>
      <c r="M438">
        <f t="shared" si="27"/>
        <v>0.86800000000000066</v>
      </c>
      <c r="N438">
        <f t="shared" si="25"/>
        <v>0.77158469945355201</v>
      </c>
      <c r="O438">
        <f t="shared" si="26"/>
        <v>9.6415300546448646E-2</v>
      </c>
    </row>
    <row r="439" spans="2:15" x14ac:dyDescent="0.25">
      <c r="B439" s="7">
        <v>22.45</v>
      </c>
      <c r="J439" s="7">
        <v>28.44</v>
      </c>
      <c r="K439">
        <v>1</v>
      </c>
      <c r="L439">
        <f t="shared" si="24"/>
        <v>2E-3</v>
      </c>
      <c r="M439">
        <f t="shared" si="27"/>
        <v>0.87000000000000066</v>
      </c>
      <c r="N439">
        <f t="shared" si="25"/>
        <v>0.77213114754098378</v>
      </c>
      <c r="O439">
        <f t="shared" si="26"/>
        <v>9.7868852459016886E-2</v>
      </c>
    </row>
    <row r="440" spans="2:15" x14ac:dyDescent="0.25">
      <c r="B440" s="7">
        <v>22.46</v>
      </c>
      <c r="J440" s="7">
        <v>28.47</v>
      </c>
      <c r="K440">
        <v>1</v>
      </c>
      <c r="L440">
        <f t="shared" si="24"/>
        <v>2E-3</v>
      </c>
      <c r="M440">
        <f t="shared" si="27"/>
        <v>0.87200000000000066</v>
      </c>
      <c r="N440">
        <f t="shared" si="25"/>
        <v>0.77377049180327873</v>
      </c>
      <c r="O440">
        <f t="shared" si="26"/>
        <v>9.8229508196721937E-2</v>
      </c>
    </row>
    <row r="441" spans="2:15" x14ac:dyDescent="0.25">
      <c r="B441" s="7">
        <v>28.18</v>
      </c>
      <c r="J441" s="7">
        <v>28.51</v>
      </c>
      <c r="K441">
        <v>1</v>
      </c>
      <c r="L441">
        <f t="shared" si="24"/>
        <v>2E-3</v>
      </c>
      <c r="M441">
        <f t="shared" si="27"/>
        <v>0.87400000000000067</v>
      </c>
      <c r="N441">
        <f t="shared" si="25"/>
        <v>0.77595628415300566</v>
      </c>
      <c r="O441">
        <f t="shared" si="26"/>
        <v>9.8043715846995005E-2</v>
      </c>
    </row>
    <row r="442" spans="2:15" x14ac:dyDescent="0.25">
      <c r="B442" s="7">
        <v>28.59</v>
      </c>
      <c r="J442" s="7">
        <v>28.51</v>
      </c>
      <c r="K442">
        <v>1</v>
      </c>
      <c r="L442">
        <f t="shared" si="24"/>
        <v>2E-3</v>
      </c>
      <c r="M442">
        <f t="shared" si="27"/>
        <v>0.87600000000000067</v>
      </c>
      <c r="N442">
        <f t="shared" si="25"/>
        <v>0.77595628415300566</v>
      </c>
      <c r="O442">
        <f t="shared" si="26"/>
        <v>0.10004371584699501</v>
      </c>
    </row>
    <row r="443" spans="2:15" x14ac:dyDescent="0.25">
      <c r="B443" s="7">
        <v>24.03</v>
      </c>
      <c r="J443" s="7">
        <v>28.54</v>
      </c>
      <c r="K443">
        <v>1</v>
      </c>
      <c r="L443">
        <f t="shared" si="24"/>
        <v>2E-3</v>
      </c>
      <c r="M443">
        <f t="shared" si="27"/>
        <v>0.87800000000000067</v>
      </c>
      <c r="N443">
        <f t="shared" si="25"/>
        <v>0.77759562841530061</v>
      </c>
      <c r="O443">
        <f t="shared" si="26"/>
        <v>0.10040437158470006</v>
      </c>
    </row>
    <row r="444" spans="2:15" x14ac:dyDescent="0.25">
      <c r="B444" s="7">
        <v>30.52</v>
      </c>
      <c r="J444" s="7">
        <v>28.59</v>
      </c>
      <c r="K444">
        <v>1</v>
      </c>
      <c r="L444">
        <f t="shared" si="24"/>
        <v>2E-3</v>
      </c>
      <c r="M444">
        <f t="shared" si="27"/>
        <v>0.88000000000000067</v>
      </c>
      <c r="N444">
        <f t="shared" si="25"/>
        <v>0.78032786885245908</v>
      </c>
      <c r="O444">
        <f t="shared" si="26"/>
        <v>9.9672131147541587E-2</v>
      </c>
    </row>
    <row r="445" spans="2:15" x14ac:dyDescent="0.25">
      <c r="B445" s="7">
        <v>21.88</v>
      </c>
      <c r="J445" s="7">
        <v>28.6</v>
      </c>
      <c r="K445">
        <v>1</v>
      </c>
      <c r="L445">
        <f t="shared" si="24"/>
        <v>2E-3</v>
      </c>
      <c r="M445">
        <f t="shared" si="27"/>
        <v>0.88200000000000067</v>
      </c>
      <c r="N445">
        <f t="shared" si="25"/>
        <v>0.78087431693989084</v>
      </c>
      <c r="O445">
        <f t="shared" si="26"/>
        <v>0.10112568306010983</v>
      </c>
    </row>
    <row r="446" spans="2:15" x14ac:dyDescent="0.25">
      <c r="B446" s="7">
        <v>27.26</v>
      </c>
      <c r="J446" s="7">
        <v>28.68</v>
      </c>
      <c r="K446">
        <v>1</v>
      </c>
      <c r="L446">
        <f t="shared" si="24"/>
        <v>2E-3</v>
      </c>
      <c r="M446">
        <f t="shared" si="27"/>
        <v>0.88400000000000067</v>
      </c>
      <c r="N446">
        <f t="shared" si="25"/>
        <v>0.78524590163934438</v>
      </c>
      <c r="O446">
        <f t="shared" si="26"/>
        <v>9.8754098360656295E-2</v>
      </c>
    </row>
    <row r="447" spans="2:15" x14ac:dyDescent="0.25">
      <c r="B447" s="7">
        <v>26.59</v>
      </c>
      <c r="J447" s="7">
        <v>28.69</v>
      </c>
      <c r="K447">
        <v>1</v>
      </c>
      <c r="L447">
        <f t="shared" si="24"/>
        <v>2E-3</v>
      </c>
      <c r="M447">
        <f t="shared" si="27"/>
        <v>0.88600000000000068</v>
      </c>
      <c r="N447">
        <f t="shared" si="25"/>
        <v>0.78579234972677614</v>
      </c>
      <c r="O447">
        <f t="shared" si="26"/>
        <v>0.10020765027322454</v>
      </c>
    </row>
    <row r="448" spans="2:15" x14ac:dyDescent="0.25">
      <c r="B448" s="7">
        <v>20.53</v>
      </c>
      <c r="J448" s="7">
        <v>28.75</v>
      </c>
      <c r="K448">
        <v>1</v>
      </c>
      <c r="L448">
        <f t="shared" si="24"/>
        <v>2E-3</v>
      </c>
      <c r="M448">
        <f t="shared" si="27"/>
        <v>0.88800000000000068</v>
      </c>
      <c r="N448">
        <f t="shared" si="25"/>
        <v>0.78907103825136626</v>
      </c>
      <c r="O448">
        <f t="shared" si="26"/>
        <v>9.8928961748634414E-2</v>
      </c>
    </row>
    <row r="449" spans="2:15" x14ac:dyDescent="0.25">
      <c r="B449" s="7">
        <v>23.82</v>
      </c>
      <c r="J449" s="7">
        <v>28.77</v>
      </c>
      <c r="K449">
        <v>1</v>
      </c>
      <c r="L449">
        <f t="shared" si="24"/>
        <v>2E-3</v>
      </c>
      <c r="M449">
        <f t="shared" si="27"/>
        <v>0.89000000000000068</v>
      </c>
      <c r="N449">
        <f t="shared" si="25"/>
        <v>0.79016393442622956</v>
      </c>
      <c r="O449">
        <f t="shared" si="26"/>
        <v>9.9836065573771116E-2</v>
      </c>
    </row>
    <row r="450" spans="2:15" x14ac:dyDescent="0.25">
      <c r="B450" s="7">
        <v>24.21</v>
      </c>
      <c r="J450" s="7">
        <v>28.77</v>
      </c>
      <c r="K450">
        <v>1</v>
      </c>
      <c r="L450">
        <f t="shared" si="24"/>
        <v>2E-3</v>
      </c>
      <c r="M450">
        <f t="shared" si="27"/>
        <v>0.89200000000000068</v>
      </c>
      <c r="N450">
        <f t="shared" si="25"/>
        <v>0.79016393442622956</v>
      </c>
      <c r="O450">
        <f t="shared" si="26"/>
        <v>0.10183606557377112</v>
      </c>
    </row>
    <row r="451" spans="2:15" x14ac:dyDescent="0.25">
      <c r="B451" s="7">
        <v>18.920000000000002</v>
      </c>
      <c r="J451" s="7">
        <v>28.81</v>
      </c>
      <c r="K451">
        <v>1</v>
      </c>
      <c r="L451">
        <f t="shared" si="24"/>
        <v>2E-3</v>
      </c>
      <c r="M451">
        <f t="shared" si="27"/>
        <v>0.89400000000000068</v>
      </c>
      <c r="N451">
        <f t="shared" si="25"/>
        <v>0.79234972677595628</v>
      </c>
      <c r="O451">
        <f t="shared" si="26"/>
        <v>0.10165027322404441</v>
      </c>
    </row>
    <row r="452" spans="2:15" x14ac:dyDescent="0.25">
      <c r="B452" s="7">
        <v>19.489999999999998</v>
      </c>
      <c r="J452" s="7">
        <v>28.82</v>
      </c>
      <c r="K452">
        <v>1</v>
      </c>
      <c r="L452">
        <f t="shared" si="24"/>
        <v>2E-3</v>
      </c>
      <c r="M452">
        <f t="shared" si="27"/>
        <v>0.89600000000000068</v>
      </c>
      <c r="N452">
        <f t="shared" si="25"/>
        <v>0.79289617486338804</v>
      </c>
      <c r="O452">
        <f t="shared" si="26"/>
        <v>0.10310382513661265</v>
      </c>
    </row>
    <row r="453" spans="2:15" x14ac:dyDescent="0.25">
      <c r="B453" s="7">
        <v>22.69</v>
      </c>
      <c r="J453" s="7">
        <v>28.83</v>
      </c>
      <c r="K453">
        <v>1</v>
      </c>
      <c r="L453">
        <f t="shared" si="24"/>
        <v>2E-3</v>
      </c>
      <c r="M453">
        <f t="shared" si="27"/>
        <v>0.89800000000000069</v>
      </c>
      <c r="N453">
        <f t="shared" si="25"/>
        <v>0.79344262295081969</v>
      </c>
      <c r="O453">
        <f t="shared" si="26"/>
        <v>0.104557377049181</v>
      </c>
    </row>
    <row r="454" spans="2:15" x14ac:dyDescent="0.25">
      <c r="B454" s="7">
        <v>28.09</v>
      </c>
      <c r="J454" s="7">
        <v>28.91</v>
      </c>
      <c r="K454">
        <v>1</v>
      </c>
      <c r="L454">
        <f t="shared" ref="L454:L504" si="28">K454/$E$20</f>
        <v>2E-3</v>
      </c>
      <c r="M454">
        <f t="shared" si="27"/>
        <v>0.90000000000000069</v>
      </c>
      <c r="N454">
        <f t="shared" ref="N454:N504" si="29">(J454-$H$7)/($H$8-$H$7)</f>
        <v>0.79781420765027333</v>
      </c>
      <c r="O454">
        <f t="shared" ref="O454:O504" si="30">ABS(M454-N454)</f>
        <v>0.10218579234972736</v>
      </c>
    </row>
    <row r="455" spans="2:15" x14ac:dyDescent="0.25">
      <c r="B455" s="7">
        <v>23.56</v>
      </c>
      <c r="J455" s="7">
        <v>28.92</v>
      </c>
      <c r="K455">
        <v>1</v>
      </c>
      <c r="L455">
        <f t="shared" si="28"/>
        <v>2E-3</v>
      </c>
      <c r="M455">
        <f t="shared" ref="M455:M504" si="31">M454+L455</f>
        <v>0.90200000000000069</v>
      </c>
      <c r="N455">
        <f t="shared" si="29"/>
        <v>0.79836065573770509</v>
      </c>
      <c r="O455">
        <f t="shared" si="30"/>
        <v>0.1036393442622956</v>
      </c>
    </row>
    <row r="456" spans="2:15" x14ac:dyDescent="0.25">
      <c r="B456" s="7">
        <v>25.7</v>
      </c>
      <c r="J456" s="7">
        <v>28.95</v>
      </c>
      <c r="K456">
        <v>1</v>
      </c>
      <c r="L456">
        <f t="shared" si="28"/>
        <v>2E-3</v>
      </c>
      <c r="M456">
        <f t="shared" si="31"/>
        <v>0.90400000000000069</v>
      </c>
      <c r="N456">
        <f t="shared" si="29"/>
        <v>0.8</v>
      </c>
      <c r="O456">
        <f t="shared" si="30"/>
        <v>0.10400000000000065</v>
      </c>
    </row>
    <row r="457" spans="2:15" x14ac:dyDescent="0.25">
      <c r="B457" s="7">
        <v>19.88</v>
      </c>
      <c r="J457" s="7">
        <v>28.99</v>
      </c>
      <c r="K457">
        <v>1</v>
      </c>
      <c r="L457">
        <f t="shared" si="28"/>
        <v>2E-3</v>
      </c>
      <c r="M457">
        <f t="shared" si="31"/>
        <v>0.90600000000000069</v>
      </c>
      <c r="N457">
        <f t="shared" si="29"/>
        <v>0.80218579234972676</v>
      </c>
      <c r="O457">
        <f t="shared" si="30"/>
        <v>0.10381420765027394</v>
      </c>
    </row>
    <row r="458" spans="2:15" x14ac:dyDescent="0.25">
      <c r="B458" s="7">
        <v>24.33</v>
      </c>
      <c r="J458" s="7">
        <v>29.02</v>
      </c>
      <c r="K458">
        <v>1</v>
      </c>
      <c r="L458">
        <f t="shared" si="28"/>
        <v>2E-3</v>
      </c>
      <c r="M458">
        <f t="shared" si="31"/>
        <v>0.9080000000000007</v>
      </c>
      <c r="N458">
        <f t="shared" si="29"/>
        <v>0.80382513661202193</v>
      </c>
      <c r="O458">
        <f t="shared" si="30"/>
        <v>0.10417486338797877</v>
      </c>
    </row>
    <row r="459" spans="2:15" x14ac:dyDescent="0.25">
      <c r="B459" s="7">
        <v>29.42</v>
      </c>
      <c r="J459" s="7">
        <v>29.03</v>
      </c>
      <c r="K459">
        <v>1</v>
      </c>
      <c r="L459">
        <f t="shared" si="28"/>
        <v>2E-3</v>
      </c>
      <c r="M459">
        <f t="shared" si="31"/>
        <v>0.9100000000000007</v>
      </c>
      <c r="N459">
        <f t="shared" si="29"/>
        <v>0.80437158469945369</v>
      </c>
      <c r="O459">
        <f t="shared" si="30"/>
        <v>0.10562841530054701</v>
      </c>
    </row>
    <row r="460" spans="2:15" x14ac:dyDescent="0.25">
      <c r="B460" s="7">
        <v>26.09</v>
      </c>
      <c r="J460" s="7">
        <v>29.04</v>
      </c>
      <c r="K460">
        <v>1</v>
      </c>
      <c r="L460">
        <f t="shared" si="28"/>
        <v>2E-3</v>
      </c>
      <c r="M460">
        <f t="shared" si="31"/>
        <v>0.9120000000000007</v>
      </c>
      <c r="N460">
        <f t="shared" si="29"/>
        <v>0.80491803278688534</v>
      </c>
      <c r="O460">
        <f t="shared" si="30"/>
        <v>0.10708196721311536</v>
      </c>
    </row>
    <row r="461" spans="2:15" x14ac:dyDescent="0.25">
      <c r="B461" s="7">
        <v>27.75</v>
      </c>
      <c r="J461" s="7">
        <v>29.08</v>
      </c>
      <c r="K461">
        <v>1</v>
      </c>
      <c r="L461">
        <f t="shared" si="28"/>
        <v>2E-3</v>
      </c>
      <c r="M461">
        <f t="shared" si="31"/>
        <v>0.9140000000000007</v>
      </c>
      <c r="N461">
        <f t="shared" si="29"/>
        <v>0.80710382513661205</v>
      </c>
      <c r="O461">
        <f t="shared" si="30"/>
        <v>0.10689617486338865</v>
      </c>
    </row>
    <row r="462" spans="2:15" x14ac:dyDescent="0.25">
      <c r="B462" s="7">
        <v>25</v>
      </c>
      <c r="J462" s="7">
        <v>29.09</v>
      </c>
      <c r="K462">
        <v>1</v>
      </c>
      <c r="L462">
        <f t="shared" si="28"/>
        <v>2E-3</v>
      </c>
      <c r="M462">
        <f t="shared" si="31"/>
        <v>0.9160000000000007</v>
      </c>
      <c r="N462">
        <f t="shared" si="29"/>
        <v>0.80765027322404381</v>
      </c>
      <c r="O462">
        <f t="shared" si="30"/>
        <v>0.10834972677595689</v>
      </c>
    </row>
    <row r="463" spans="2:15" x14ac:dyDescent="0.25">
      <c r="B463" s="7">
        <v>28.03</v>
      </c>
      <c r="J463" s="7">
        <v>29.1</v>
      </c>
      <c r="K463">
        <v>1</v>
      </c>
      <c r="L463">
        <f t="shared" si="28"/>
        <v>2E-3</v>
      </c>
      <c r="M463">
        <f t="shared" si="31"/>
        <v>0.9180000000000007</v>
      </c>
      <c r="N463">
        <f t="shared" si="29"/>
        <v>0.80819672131147557</v>
      </c>
      <c r="O463">
        <f t="shared" si="30"/>
        <v>0.10980327868852513</v>
      </c>
    </row>
    <row r="464" spans="2:15" x14ac:dyDescent="0.25">
      <c r="B464" s="7">
        <v>20.43</v>
      </c>
      <c r="J464" s="7">
        <v>29.15</v>
      </c>
      <c r="K464">
        <v>1</v>
      </c>
      <c r="L464">
        <f t="shared" si="28"/>
        <v>2E-3</v>
      </c>
      <c r="M464">
        <f t="shared" si="31"/>
        <v>0.92000000000000071</v>
      </c>
      <c r="N464">
        <f t="shared" si="29"/>
        <v>0.81092896174863394</v>
      </c>
      <c r="O464">
        <f t="shared" si="30"/>
        <v>0.10907103825136677</v>
      </c>
    </row>
    <row r="465" spans="2:15" x14ac:dyDescent="0.25">
      <c r="B465" s="7">
        <v>29.75</v>
      </c>
      <c r="J465" s="7">
        <v>29.15</v>
      </c>
      <c r="K465">
        <v>1</v>
      </c>
      <c r="L465">
        <f t="shared" si="28"/>
        <v>2E-3</v>
      </c>
      <c r="M465">
        <f t="shared" si="31"/>
        <v>0.92200000000000071</v>
      </c>
      <c r="N465">
        <f t="shared" si="29"/>
        <v>0.81092896174863394</v>
      </c>
      <c r="O465">
        <f t="shared" si="30"/>
        <v>0.11107103825136677</v>
      </c>
    </row>
    <row r="466" spans="2:15" x14ac:dyDescent="0.25">
      <c r="B466" s="7">
        <v>23.43</v>
      </c>
      <c r="J466" s="7">
        <v>29.16</v>
      </c>
      <c r="K466">
        <v>1</v>
      </c>
      <c r="L466">
        <f t="shared" si="28"/>
        <v>2E-3</v>
      </c>
      <c r="M466">
        <f t="shared" si="31"/>
        <v>0.92400000000000071</v>
      </c>
      <c r="N466">
        <f t="shared" si="29"/>
        <v>0.8114754098360657</v>
      </c>
      <c r="O466">
        <f t="shared" si="30"/>
        <v>0.11252459016393501</v>
      </c>
    </row>
    <row r="467" spans="2:15" x14ac:dyDescent="0.25">
      <c r="B467" s="7">
        <v>28.69</v>
      </c>
      <c r="J467" s="7">
        <v>29.21</v>
      </c>
      <c r="K467">
        <v>1</v>
      </c>
      <c r="L467">
        <f t="shared" si="28"/>
        <v>2E-3</v>
      </c>
      <c r="M467">
        <f t="shared" si="31"/>
        <v>0.92600000000000071</v>
      </c>
      <c r="N467">
        <f t="shared" si="29"/>
        <v>0.81420765027322417</v>
      </c>
      <c r="O467">
        <f t="shared" si="30"/>
        <v>0.11179234972677654</v>
      </c>
    </row>
    <row r="468" spans="2:15" x14ac:dyDescent="0.25">
      <c r="B468" s="7">
        <v>26.44</v>
      </c>
      <c r="J468" s="7">
        <v>29.24</v>
      </c>
      <c r="K468">
        <v>1</v>
      </c>
      <c r="L468">
        <f t="shared" si="28"/>
        <v>2E-3</v>
      </c>
      <c r="M468">
        <f t="shared" si="31"/>
        <v>0.92800000000000071</v>
      </c>
      <c r="N468">
        <f t="shared" si="29"/>
        <v>0.81584699453551912</v>
      </c>
      <c r="O468">
        <f t="shared" si="30"/>
        <v>0.11215300546448159</v>
      </c>
    </row>
    <row r="469" spans="2:15" x14ac:dyDescent="0.25">
      <c r="B469" s="7">
        <v>24.7</v>
      </c>
      <c r="J469" s="7">
        <v>29.25</v>
      </c>
      <c r="K469">
        <v>1</v>
      </c>
      <c r="L469">
        <f t="shared" si="28"/>
        <v>2E-3</v>
      </c>
      <c r="M469">
        <f t="shared" si="31"/>
        <v>0.93000000000000071</v>
      </c>
      <c r="N469">
        <f t="shared" si="29"/>
        <v>0.81639344262295088</v>
      </c>
      <c r="O469">
        <f t="shared" si="30"/>
        <v>0.11360655737704983</v>
      </c>
    </row>
    <row r="470" spans="2:15" x14ac:dyDescent="0.25">
      <c r="B470" s="7">
        <v>25.88</v>
      </c>
      <c r="J470" s="7">
        <v>29.3</v>
      </c>
      <c r="K470">
        <v>1</v>
      </c>
      <c r="L470">
        <f t="shared" si="28"/>
        <v>2E-3</v>
      </c>
      <c r="M470">
        <f t="shared" si="31"/>
        <v>0.93200000000000072</v>
      </c>
      <c r="N470">
        <f t="shared" si="29"/>
        <v>0.81912568306010947</v>
      </c>
      <c r="O470">
        <f t="shared" si="30"/>
        <v>0.11287431693989125</v>
      </c>
    </row>
    <row r="471" spans="2:15" x14ac:dyDescent="0.25">
      <c r="B471" s="7">
        <v>23.81</v>
      </c>
      <c r="J471" s="7">
        <v>29.31</v>
      </c>
      <c r="K471">
        <v>1</v>
      </c>
      <c r="L471">
        <f t="shared" si="28"/>
        <v>2E-3</v>
      </c>
      <c r="M471">
        <f t="shared" si="31"/>
        <v>0.93400000000000072</v>
      </c>
      <c r="N471">
        <f t="shared" si="29"/>
        <v>0.81967213114754101</v>
      </c>
      <c r="O471">
        <f t="shared" si="30"/>
        <v>0.11432786885245971</v>
      </c>
    </row>
    <row r="472" spans="2:15" x14ac:dyDescent="0.25">
      <c r="B472" s="7">
        <v>21.78</v>
      </c>
      <c r="J472" s="7">
        <v>29.33</v>
      </c>
      <c r="K472">
        <v>1</v>
      </c>
      <c r="L472">
        <f t="shared" si="28"/>
        <v>2E-3</v>
      </c>
      <c r="M472">
        <f t="shared" si="31"/>
        <v>0.93600000000000072</v>
      </c>
      <c r="N472">
        <f t="shared" si="29"/>
        <v>0.82076502732240442</v>
      </c>
      <c r="O472">
        <f t="shared" si="30"/>
        <v>0.1152349726775963</v>
      </c>
    </row>
    <row r="473" spans="2:15" x14ac:dyDescent="0.25">
      <c r="B473" s="7">
        <v>25.6</v>
      </c>
      <c r="J473" s="7">
        <v>29.35</v>
      </c>
      <c r="K473">
        <v>1</v>
      </c>
      <c r="L473">
        <f t="shared" si="28"/>
        <v>2E-3</v>
      </c>
      <c r="M473">
        <f t="shared" si="31"/>
        <v>0.93800000000000072</v>
      </c>
      <c r="N473">
        <f t="shared" si="29"/>
        <v>0.82185792349726794</v>
      </c>
      <c r="O473">
        <f t="shared" si="30"/>
        <v>0.11614207650273278</v>
      </c>
    </row>
    <row r="474" spans="2:15" x14ac:dyDescent="0.25">
      <c r="B474" s="7">
        <v>30.06</v>
      </c>
      <c r="J474" s="7">
        <v>29.39</v>
      </c>
      <c r="K474">
        <v>1</v>
      </c>
      <c r="L474">
        <f t="shared" si="28"/>
        <v>2E-3</v>
      </c>
      <c r="M474">
        <f t="shared" si="31"/>
        <v>0.94000000000000072</v>
      </c>
      <c r="N474">
        <f t="shared" si="29"/>
        <v>0.82404371584699465</v>
      </c>
      <c r="O474">
        <f t="shared" si="30"/>
        <v>0.11595628415300607</v>
      </c>
    </row>
    <row r="475" spans="2:15" x14ac:dyDescent="0.25">
      <c r="B475" s="7">
        <v>27.25</v>
      </c>
      <c r="J475" s="7">
        <v>29.42</v>
      </c>
      <c r="K475">
        <v>1</v>
      </c>
      <c r="L475">
        <f t="shared" si="28"/>
        <v>2E-3</v>
      </c>
      <c r="M475">
        <f t="shared" si="31"/>
        <v>0.94200000000000073</v>
      </c>
      <c r="N475">
        <f t="shared" si="29"/>
        <v>0.82568306010928982</v>
      </c>
      <c r="O475">
        <f t="shared" si="30"/>
        <v>0.1163169398907109</v>
      </c>
    </row>
    <row r="476" spans="2:15" x14ac:dyDescent="0.25">
      <c r="B476" s="7">
        <v>30.01</v>
      </c>
      <c r="J476" s="7">
        <v>29.55</v>
      </c>
      <c r="K476">
        <v>1</v>
      </c>
      <c r="L476">
        <f t="shared" si="28"/>
        <v>2E-3</v>
      </c>
      <c r="M476">
        <f t="shared" si="31"/>
        <v>0.94400000000000073</v>
      </c>
      <c r="N476">
        <f t="shared" si="29"/>
        <v>0.83278688524590183</v>
      </c>
      <c r="O476">
        <f t="shared" si="30"/>
        <v>0.1112131147540989</v>
      </c>
    </row>
    <row r="477" spans="2:15" x14ac:dyDescent="0.25">
      <c r="B477" s="7">
        <v>25.68</v>
      </c>
      <c r="J477" s="7">
        <v>29.59</v>
      </c>
      <c r="K477">
        <v>1</v>
      </c>
      <c r="L477">
        <f t="shared" si="28"/>
        <v>2E-3</v>
      </c>
      <c r="M477">
        <f t="shared" si="31"/>
        <v>0.94600000000000073</v>
      </c>
      <c r="N477">
        <f t="shared" si="29"/>
        <v>0.83497267759562854</v>
      </c>
      <c r="O477">
        <f t="shared" si="30"/>
        <v>0.11102732240437219</v>
      </c>
    </row>
    <row r="478" spans="2:15" x14ac:dyDescent="0.25">
      <c r="B478" s="7">
        <v>24.23</v>
      </c>
      <c r="J478" s="7">
        <v>29.69</v>
      </c>
      <c r="K478">
        <v>1</v>
      </c>
      <c r="L478">
        <f t="shared" si="28"/>
        <v>2E-3</v>
      </c>
      <c r="M478">
        <f t="shared" si="31"/>
        <v>0.94800000000000073</v>
      </c>
      <c r="N478">
        <f t="shared" si="29"/>
        <v>0.84043715846994549</v>
      </c>
      <c r="O478">
        <f t="shared" si="30"/>
        <v>0.10756284153005524</v>
      </c>
    </row>
    <row r="479" spans="2:15" x14ac:dyDescent="0.25">
      <c r="B479" s="7">
        <v>25.44</v>
      </c>
      <c r="J479" s="7">
        <v>29.73</v>
      </c>
      <c r="K479">
        <v>1</v>
      </c>
      <c r="L479">
        <f t="shared" si="28"/>
        <v>2E-3</v>
      </c>
      <c r="M479">
        <f t="shared" si="31"/>
        <v>0.95000000000000073</v>
      </c>
      <c r="N479">
        <f t="shared" si="29"/>
        <v>0.84262295081967231</v>
      </c>
      <c r="O479">
        <f t="shared" si="30"/>
        <v>0.10737704918032842</v>
      </c>
    </row>
    <row r="480" spans="2:15" x14ac:dyDescent="0.25">
      <c r="B480" s="7">
        <v>25.5</v>
      </c>
      <c r="J480" s="7">
        <v>29.75</v>
      </c>
      <c r="K480">
        <v>1</v>
      </c>
      <c r="L480">
        <f t="shared" si="28"/>
        <v>2E-3</v>
      </c>
      <c r="M480">
        <f t="shared" si="31"/>
        <v>0.95200000000000073</v>
      </c>
      <c r="N480">
        <f t="shared" si="29"/>
        <v>0.84371584699453561</v>
      </c>
      <c r="O480">
        <f t="shared" si="30"/>
        <v>0.10828415300546512</v>
      </c>
    </row>
    <row r="481" spans="2:15" x14ac:dyDescent="0.25">
      <c r="B481" s="7">
        <v>28.12</v>
      </c>
      <c r="J481" s="7">
        <v>29.8</v>
      </c>
      <c r="K481">
        <v>1</v>
      </c>
      <c r="L481">
        <f t="shared" si="28"/>
        <v>2E-3</v>
      </c>
      <c r="M481">
        <f t="shared" si="31"/>
        <v>0.95400000000000074</v>
      </c>
      <c r="N481">
        <f t="shared" si="29"/>
        <v>0.84644808743169409</v>
      </c>
      <c r="O481">
        <f t="shared" si="30"/>
        <v>0.10755191256830665</v>
      </c>
    </row>
    <row r="482" spans="2:15" x14ac:dyDescent="0.25">
      <c r="B482" s="7">
        <v>23.26</v>
      </c>
      <c r="J482" s="7">
        <v>29.92</v>
      </c>
      <c r="K482">
        <v>1</v>
      </c>
      <c r="L482">
        <f t="shared" si="28"/>
        <v>2E-3</v>
      </c>
      <c r="M482">
        <f t="shared" si="31"/>
        <v>0.95600000000000074</v>
      </c>
      <c r="N482">
        <f t="shared" si="29"/>
        <v>0.85300546448087455</v>
      </c>
      <c r="O482">
        <f t="shared" si="30"/>
        <v>0.10299453551912618</v>
      </c>
    </row>
    <row r="483" spans="2:15" x14ac:dyDescent="0.25">
      <c r="B483" s="7">
        <v>17.93</v>
      </c>
      <c r="J483" s="7">
        <v>30.01</v>
      </c>
      <c r="K483">
        <v>1</v>
      </c>
      <c r="L483">
        <f t="shared" si="28"/>
        <v>2E-3</v>
      </c>
      <c r="M483">
        <f t="shared" si="31"/>
        <v>0.95800000000000074</v>
      </c>
      <c r="N483">
        <f t="shared" si="29"/>
        <v>0.85792349726775974</v>
      </c>
      <c r="O483">
        <f t="shared" si="30"/>
        <v>0.100076502732241</v>
      </c>
    </row>
    <row r="484" spans="2:15" x14ac:dyDescent="0.25">
      <c r="B484" s="7">
        <v>26.28</v>
      </c>
      <c r="J484" s="7">
        <v>30.05</v>
      </c>
      <c r="K484">
        <v>1</v>
      </c>
      <c r="L484">
        <f t="shared" si="28"/>
        <v>2E-3</v>
      </c>
      <c r="M484">
        <f t="shared" si="31"/>
        <v>0.96000000000000074</v>
      </c>
      <c r="N484">
        <f t="shared" si="29"/>
        <v>0.86010928961748645</v>
      </c>
      <c r="O484">
        <f t="shared" si="30"/>
        <v>9.9890710382514292E-2</v>
      </c>
    </row>
    <row r="485" spans="2:15" x14ac:dyDescent="0.25">
      <c r="B485" s="7">
        <v>31.96</v>
      </c>
      <c r="J485" s="7">
        <v>30.06</v>
      </c>
      <c r="K485">
        <v>1</v>
      </c>
      <c r="L485">
        <f t="shared" si="28"/>
        <v>2E-3</v>
      </c>
      <c r="M485">
        <f t="shared" si="31"/>
        <v>0.96200000000000074</v>
      </c>
      <c r="N485">
        <f t="shared" si="29"/>
        <v>0.8606557377049181</v>
      </c>
      <c r="O485">
        <f t="shared" si="30"/>
        <v>0.10134426229508264</v>
      </c>
    </row>
    <row r="486" spans="2:15" x14ac:dyDescent="0.25">
      <c r="B486" s="7">
        <v>22.31</v>
      </c>
      <c r="J486" s="7">
        <v>30.08</v>
      </c>
      <c r="K486">
        <v>1</v>
      </c>
      <c r="L486">
        <f t="shared" si="28"/>
        <v>2E-3</v>
      </c>
      <c r="M486">
        <f t="shared" si="31"/>
        <v>0.96400000000000075</v>
      </c>
      <c r="N486">
        <f t="shared" si="29"/>
        <v>0.8617486338797814</v>
      </c>
      <c r="O486">
        <f t="shared" si="30"/>
        <v>0.10225136612021934</v>
      </c>
    </row>
    <row r="487" spans="2:15" x14ac:dyDescent="0.25">
      <c r="B487" s="7">
        <v>24.63</v>
      </c>
      <c r="J487" s="7">
        <v>30.13</v>
      </c>
      <c r="K487">
        <v>1</v>
      </c>
      <c r="L487">
        <f t="shared" si="28"/>
        <v>2E-3</v>
      </c>
      <c r="M487">
        <f t="shared" si="31"/>
        <v>0.96600000000000075</v>
      </c>
      <c r="N487">
        <f t="shared" si="29"/>
        <v>0.86448087431693998</v>
      </c>
      <c r="O487">
        <f t="shared" si="30"/>
        <v>0.10151912568306076</v>
      </c>
    </row>
    <row r="488" spans="2:15" x14ac:dyDescent="0.25">
      <c r="B488" s="7">
        <v>25.11</v>
      </c>
      <c r="J488" s="7">
        <v>30.18</v>
      </c>
      <c r="K488">
        <v>1</v>
      </c>
      <c r="L488">
        <f t="shared" si="28"/>
        <v>2E-3</v>
      </c>
      <c r="M488">
        <f t="shared" si="31"/>
        <v>0.96800000000000075</v>
      </c>
      <c r="N488">
        <f t="shared" si="29"/>
        <v>0.86721311475409846</v>
      </c>
      <c r="O488">
        <f t="shared" si="30"/>
        <v>0.10078688524590229</v>
      </c>
    </row>
    <row r="489" spans="2:15" x14ac:dyDescent="0.25">
      <c r="B489" s="7">
        <v>31.69</v>
      </c>
      <c r="J489" s="7">
        <v>30.36</v>
      </c>
      <c r="K489">
        <v>1</v>
      </c>
      <c r="L489">
        <f t="shared" si="28"/>
        <v>2E-3</v>
      </c>
      <c r="M489">
        <f t="shared" si="31"/>
        <v>0.97000000000000075</v>
      </c>
      <c r="N489">
        <f t="shared" si="29"/>
        <v>0.87704918032786883</v>
      </c>
      <c r="O489">
        <f t="shared" si="30"/>
        <v>9.2950819672131924E-2</v>
      </c>
    </row>
    <row r="490" spans="2:15" x14ac:dyDescent="0.25">
      <c r="B490" s="7">
        <v>23.74</v>
      </c>
      <c r="J490" s="7">
        <v>30.42</v>
      </c>
      <c r="K490">
        <v>1</v>
      </c>
      <c r="L490">
        <f t="shared" si="28"/>
        <v>2E-3</v>
      </c>
      <c r="M490">
        <f t="shared" si="31"/>
        <v>0.97200000000000075</v>
      </c>
      <c r="N490">
        <f t="shared" si="29"/>
        <v>0.88032786885245917</v>
      </c>
      <c r="O490">
        <f t="shared" si="30"/>
        <v>9.167213114754158E-2</v>
      </c>
    </row>
    <row r="491" spans="2:15" x14ac:dyDescent="0.25">
      <c r="B491" s="7">
        <v>22.59</v>
      </c>
      <c r="J491" s="7">
        <v>30.45</v>
      </c>
      <c r="K491">
        <v>1</v>
      </c>
      <c r="L491">
        <f t="shared" si="28"/>
        <v>2E-3</v>
      </c>
      <c r="M491">
        <f t="shared" si="31"/>
        <v>0.97400000000000075</v>
      </c>
      <c r="N491">
        <f t="shared" si="29"/>
        <v>0.88196721311475423</v>
      </c>
      <c r="O491">
        <f t="shared" si="30"/>
        <v>9.203278688524652E-2</v>
      </c>
    </row>
    <row r="492" spans="2:15" x14ac:dyDescent="0.25">
      <c r="B492" s="7">
        <v>26.03</v>
      </c>
      <c r="J492" s="7">
        <v>30.52</v>
      </c>
      <c r="K492">
        <v>1</v>
      </c>
      <c r="L492">
        <f t="shared" si="28"/>
        <v>2E-3</v>
      </c>
      <c r="M492">
        <f t="shared" si="31"/>
        <v>0.97600000000000076</v>
      </c>
      <c r="N492">
        <f t="shared" si="29"/>
        <v>0.88579234972677612</v>
      </c>
      <c r="O492">
        <f t="shared" si="30"/>
        <v>9.0207650273224638E-2</v>
      </c>
    </row>
    <row r="493" spans="2:15" x14ac:dyDescent="0.25">
      <c r="B493" s="7">
        <v>23.35</v>
      </c>
      <c r="J493" s="7">
        <v>30.56</v>
      </c>
      <c r="K493">
        <v>1</v>
      </c>
      <c r="L493">
        <f t="shared" si="28"/>
        <v>2E-3</v>
      </c>
      <c r="M493">
        <f t="shared" si="31"/>
        <v>0.97800000000000076</v>
      </c>
      <c r="N493">
        <f t="shared" si="29"/>
        <v>0.88797814207650283</v>
      </c>
      <c r="O493">
        <f t="shared" si="30"/>
        <v>9.0021857923497928E-2</v>
      </c>
    </row>
    <row r="494" spans="2:15" x14ac:dyDescent="0.25">
      <c r="B494" s="7">
        <v>28.54</v>
      </c>
      <c r="J494" s="7">
        <v>30.9</v>
      </c>
      <c r="K494">
        <v>1</v>
      </c>
      <c r="L494">
        <f t="shared" si="28"/>
        <v>2E-3</v>
      </c>
      <c r="M494">
        <f t="shared" si="31"/>
        <v>0.98000000000000076</v>
      </c>
      <c r="N494">
        <f t="shared" si="29"/>
        <v>0.90655737704918027</v>
      </c>
      <c r="O494">
        <f t="shared" si="30"/>
        <v>7.3442622950820491E-2</v>
      </c>
    </row>
    <row r="495" spans="2:15" x14ac:dyDescent="0.25">
      <c r="B495" s="7">
        <v>28.83</v>
      </c>
      <c r="J495" s="7">
        <v>31.18</v>
      </c>
      <c r="K495">
        <v>1</v>
      </c>
      <c r="L495">
        <f t="shared" si="28"/>
        <v>2E-3</v>
      </c>
      <c r="M495">
        <f t="shared" si="31"/>
        <v>0.98200000000000076</v>
      </c>
      <c r="N495">
        <f t="shared" si="29"/>
        <v>0.92185792349726781</v>
      </c>
      <c r="O495">
        <f t="shared" si="30"/>
        <v>6.0142076502732955E-2</v>
      </c>
    </row>
    <row r="496" spans="2:15" x14ac:dyDescent="0.25">
      <c r="B496" s="7">
        <v>25.52</v>
      </c>
      <c r="J496" s="7">
        <v>31.45</v>
      </c>
      <c r="K496">
        <v>1</v>
      </c>
      <c r="L496">
        <f t="shared" si="28"/>
        <v>2E-3</v>
      </c>
      <c r="M496">
        <f t="shared" si="31"/>
        <v>0.98400000000000076</v>
      </c>
      <c r="N496">
        <f t="shared" si="29"/>
        <v>0.93661202185792369</v>
      </c>
      <c r="O496">
        <f t="shared" si="30"/>
        <v>4.738797814207707E-2</v>
      </c>
    </row>
    <row r="497" spans="2:15" x14ac:dyDescent="0.25">
      <c r="B497" s="7">
        <v>25.92</v>
      </c>
      <c r="J497" s="7">
        <v>31.45</v>
      </c>
      <c r="K497">
        <v>1</v>
      </c>
      <c r="L497">
        <f t="shared" si="28"/>
        <v>2E-3</v>
      </c>
      <c r="M497">
        <f t="shared" si="31"/>
        <v>0.98600000000000076</v>
      </c>
      <c r="N497">
        <f t="shared" si="29"/>
        <v>0.93661202185792369</v>
      </c>
      <c r="O497">
        <f t="shared" si="30"/>
        <v>4.9387978142077071E-2</v>
      </c>
    </row>
    <row r="498" spans="2:15" x14ac:dyDescent="0.25">
      <c r="B498" s="7">
        <v>20.92</v>
      </c>
      <c r="J498" s="7">
        <v>31.54</v>
      </c>
      <c r="K498">
        <v>1</v>
      </c>
      <c r="L498">
        <f t="shared" si="28"/>
        <v>2E-3</v>
      </c>
      <c r="M498">
        <f t="shared" si="31"/>
        <v>0.98800000000000077</v>
      </c>
      <c r="N498">
        <f t="shared" si="29"/>
        <v>0.94153005464480877</v>
      </c>
      <c r="O498">
        <f t="shared" si="30"/>
        <v>4.6469945355191999E-2</v>
      </c>
    </row>
    <row r="499" spans="2:15" x14ac:dyDescent="0.25">
      <c r="B499" s="7">
        <v>28.91</v>
      </c>
      <c r="J499" s="7">
        <v>31.68</v>
      </c>
      <c r="K499">
        <v>1</v>
      </c>
      <c r="L499">
        <f t="shared" si="28"/>
        <v>2E-3</v>
      </c>
      <c r="M499">
        <f t="shared" si="31"/>
        <v>0.99000000000000077</v>
      </c>
      <c r="N499">
        <f t="shared" si="29"/>
        <v>0.94918032786885242</v>
      </c>
      <c r="O499">
        <f t="shared" si="30"/>
        <v>4.0819672131148343E-2</v>
      </c>
    </row>
    <row r="500" spans="2:15" x14ac:dyDescent="0.25">
      <c r="B500" s="7">
        <v>20</v>
      </c>
      <c r="J500" s="7">
        <v>31.69</v>
      </c>
      <c r="K500">
        <v>1</v>
      </c>
      <c r="L500">
        <f t="shared" si="28"/>
        <v>2E-3</v>
      </c>
      <c r="M500">
        <f t="shared" si="31"/>
        <v>0.99200000000000077</v>
      </c>
      <c r="N500">
        <f t="shared" si="29"/>
        <v>0.94972677595628441</v>
      </c>
      <c r="O500">
        <f t="shared" si="30"/>
        <v>4.2273224043716362E-2</v>
      </c>
    </row>
    <row r="501" spans="2:15" x14ac:dyDescent="0.25">
      <c r="B501" s="7">
        <v>25.91</v>
      </c>
      <c r="J501" s="7">
        <v>31.96</v>
      </c>
      <c r="K501">
        <v>1</v>
      </c>
      <c r="L501">
        <f t="shared" si="28"/>
        <v>2E-3</v>
      </c>
      <c r="M501">
        <f t="shared" si="31"/>
        <v>0.99400000000000077</v>
      </c>
      <c r="N501">
        <f t="shared" si="29"/>
        <v>0.96448087431693996</v>
      </c>
      <c r="O501">
        <f t="shared" si="30"/>
        <v>2.951912568306081E-2</v>
      </c>
    </row>
    <row r="502" spans="2:15" x14ac:dyDescent="0.25">
      <c r="B502" s="7">
        <v>19.5</v>
      </c>
      <c r="J502" s="7">
        <v>32.090000000000003</v>
      </c>
      <c r="K502">
        <v>1</v>
      </c>
      <c r="L502">
        <f t="shared" si="28"/>
        <v>2E-3</v>
      </c>
      <c r="M502">
        <f t="shared" si="31"/>
        <v>0.99600000000000077</v>
      </c>
      <c r="N502">
        <f t="shared" si="29"/>
        <v>0.97158469945355208</v>
      </c>
      <c r="O502">
        <f t="shared" si="30"/>
        <v>2.4415300546448693E-2</v>
      </c>
    </row>
    <row r="503" spans="2:15" x14ac:dyDescent="0.25">
      <c r="B503" s="7">
        <v>24.89</v>
      </c>
      <c r="J503" s="7">
        <v>32.15</v>
      </c>
      <c r="K503">
        <v>1</v>
      </c>
      <c r="L503">
        <f t="shared" si="28"/>
        <v>2E-3</v>
      </c>
      <c r="M503">
        <f t="shared" si="31"/>
        <v>0.99800000000000078</v>
      </c>
      <c r="N503">
        <f t="shared" si="29"/>
        <v>0.97486338797814198</v>
      </c>
      <c r="O503">
        <f t="shared" si="30"/>
        <v>2.3136612021858793E-2</v>
      </c>
    </row>
    <row r="504" spans="2:15" x14ac:dyDescent="0.25">
      <c r="B504" s="7">
        <v>23.53</v>
      </c>
      <c r="J504" s="7">
        <v>32.61</v>
      </c>
      <c r="K504">
        <v>1</v>
      </c>
      <c r="L504">
        <f t="shared" si="28"/>
        <v>2E-3</v>
      </c>
      <c r="M504">
        <f t="shared" si="31"/>
        <v>1.0000000000000007</v>
      </c>
      <c r="N504">
        <f t="shared" si="29"/>
        <v>1</v>
      </c>
      <c r="O504">
        <f t="shared" si="30"/>
        <v>6.6613381477509392E-16</v>
      </c>
    </row>
    <row r="505" spans="2:15" x14ac:dyDescent="0.25">
      <c r="N505" s="14" t="s">
        <v>52</v>
      </c>
      <c r="O505" s="14">
        <f>MAX(O5:O504)</f>
        <v>0.1163169398907109</v>
      </c>
    </row>
    <row r="506" spans="2:15" x14ac:dyDescent="0.25">
      <c r="M506" s="16" t="s">
        <v>51</v>
      </c>
      <c r="N506" s="16">
        <f>1.358/SQRT($E$20)</f>
        <v>6.0731606268894289E-2</v>
      </c>
    </row>
    <row r="508" spans="2:15" x14ac:dyDescent="0.25">
      <c r="M508" t="s">
        <v>56</v>
      </c>
    </row>
  </sheetData>
  <mergeCells count="1">
    <mergeCell ref="J2:N2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P508"/>
  <sheetViews>
    <sheetView workbookViewId="0">
      <selection activeCell="J2" sqref="J2:P508"/>
    </sheetView>
  </sheetViews>
  <sheetFormatPr baseColWidth="10" defaultRowHeight="15" x14ac:dyDescent="0.25"/>
  <cols>
    <col min="8" max="8" width="11.85546875" bestFit="1" customWidth="1"/>
    <col min="13" max="13" width="13.5703125" bestFit="1" customWidth="1"/>
    <col min="14" max="14" width="14.42578125" bestFit="1" customWidth="1"/>
    <col min="15" max="15" width="12.7109375" bestFit="1" customWidth="1"/>
  </cols>
  <sheetData>
    <row r="2" spans="2:16" x14ac:dyDescent="0.25">
      <c r="E2" t="s">
        <v>48</v>
      </c>
      <c r="J2" s="17" t="s">
        <v>36</v>
      </c>
      <c r="K2" s="17"/>
      <c r="L2" s="17"/>
      <c r="M2" s="17"/>
      <c r="N2" s="17"/>
    </row>
    <row r="3" spans="2:16" x14ac:dyDescent="0.25">
      <c r="K3" t="s">
        <v>42</v>
      </c>
      <c r="L3" t="s">
        <v>39</v>
      </c>
      <c r="M3" t="s">
        <v>40</v>
      </c>
      <c r="N3" t="s">
        <v>44</v>
      </c>
      <c r="O3" t="s">
        <v>10</v>
      </c>
    </row>
    <row r="4" spans="2:16" ht="21" x14ac:dyDescent="0.35">
      <c r="B4" s="6" t="s">
        <v>18</v>
      </c>
      <c r="J4" s="15" t="s">
        <v>3</v>
      </c>
      <c r="K4" s="15" t="s">
        <v>41</v>
      </c>
      <c r="L4" s="15" t="s">
        <v>37</v>
      </c>
      <c r="M4" s="15" t="s">
        <v>38</v>
      </c>
      <c r="N4" s="15" t="s">
        <v>43</v>
      </c>
      <c r="O4" s="15" t="s">
        <v>50</v>
      </c>
      <c r="P4" s="15" t="s">
        <v>49</v>
      </c>
    </row>
    <row r="5" spans="2:16" ht="15.75" thickBot="1" x14ac:dyDescent="0.3">
      <c r="B5" s="7">
        <v>19.350000000000001</v>
      </c>
      <c r="J5" s="7">
        <v>14.31</v>
      </c>
      <c r="K5">
        <v>1</v>
      </c>
      <c r="L5">
        <f>K5/$E$20</f>
        <v>2E-3</v>
      </c>
      <c r="M5">
        <f>L5</f>
        <v>2E-3</v>
      </c>
      <c r="N5">
        <f>(J5-$H$7)/($H$8-$H$7)</f>
        <v>0</v>
      </c>
      <c r="O5">
        <f>ABS(M5-N5)</f>
        <v>2E-3</v>
      </c>
    </row>
    <row r="6" spans="2:16" x14ac:dyDescent="0.25">
      <c r="B6" s="7">
        <v>24.37</v>
      </c>
      <c r="D6" s="11" t="s">
        <v>19</v>
      </c>
      <c r="E6" s="11"/>
      <c r="G6" s="12" t="s">
        <v>45</v>
      </c>
      <c r="J6" s="7">
        <v>15.16</v>
      </c>
      <c r="K6">
        <v>1</v>
      </c>
      <c r="L6">
        <f t="shared" ref="L6:L69" si="0">K6/$E$20</f>
        <v>2E-3</v>
      </c>
      <c r="M6">
        <f>M5+L6</f>
        <v>4.0000000000000001E-3</v>
      </c>
      <c r="N6">
        <f t="shared" ref="N6:N69" si="1">(J6-$H$7)/($H$8-$H$7)</f>
        <v>4.6448087431693978E-2</v>
      </c>
      <c r="O6">
        <f t="shared" ref="O6:O69" si="2">ABS(M6-N6)</f>
        <v>4.2448087431693982E-2</v>
      </c>
    </row>
    <row r="7" spans="2:16" x14ac:dyDescent="0.25">
      <c r="B7" s="7">
        <v>25.2</v>
      </c>
      <c r="D7" s="8"/>
      <c r="E7" s="8"/>
      <c r="F7" s="13" t="s">
        <v>46</v>
      </c>
      <c r="G7" t="s">
        <v>9</v>
      </c>
      <c r="H7">
        <f>MIN(J5:J504)</f>
        <v>14.31</v>
      </c>
      <c r="J7" s="7">
        <v>16.43</v>
      </c>
      <c r="K7">
        <v>1</v>
      </c>
      <c r="L7">
        <f t="shared" si="0"/>
        <v>2E-3</v>
      </c>
      <c r="M7">
        <f t="shared" ref="M7:M70" si="3">M6+L7</f>
        <v>6.0000000000000001E-3</v>
      </c>
      <c r="N7">
        <f t="shared" si="1"/>
        <v>0.1158469945355191</v>
      </c>
      <c r="O7">
        <f t="shared" si="2"/>
        <v>0.10984699453551909</v>
      </c>
    </row>
    <row r="8" spans="2:16" x14ac:dyDescent="0.25">
      <c r="B8" s="7">
        <v>24.91</v>
      </c>
      <c r="D8" s="8" t="s">
        <v>20</v>
      </c>
      <c r="E8" s="8">
        <v>24.928520000000013</v>
      </c>
      <c r="F8" s="13" t="s">
        <v>47</v>
      </c>
      <c r="G8" t="s">
        <v>10</v>
      </c>
      <c r="H8">
        <f>MAX(J5:J504)</f>
        <v>32.61</v>
      </c>
      <c r="J8" s="7">
        <v>17</v>
      </c>
      <c r="K8">
        <v>1</v>
      </c>
      <c r="L8">
        <f t="shared" si="0"/>
        <v>2E-3</v>
      </c>
      <c r="M8">
        <f t="shared" si="3"/>
        <v>8.0000000000000002E-3</v>
      </c>
      <c r="N8">
        <f t="shared" si="1"/>
        <v>0.14699453551912567</v>
      </c>
      <c r="O8">
        <f t="shared" si="2"/>
        <v>0.13899453551912566</v>
      </c>
    </row>
    <row r="9" spans="2:16" x14ac:dyDescent="0.25">
      <c r="B9" s="7">
        <v>29.16</v>
      </c>
      <c r="D9" s="8" t="s">
        <v>21</v>
      </c>
      <c r="E9" s="8">
        <v>0.13643978616846866</v>
      </c>
      <c r="J9" s="7">
        <v>17.52</v>
      </c>
      <c r="K9">
        <v>1</v>
      </c>
      <c r="L9">
        <f t="shared" si="0"/>
        <v>2E-3</v>
      </c>
      <c r="M9">
        <f t="shared" si="3"/>
        <v>0.01</v>
      </c>
      <c r="N9">
        <f t="shared" si="1"/>
        <v>0.17540983606557375</v>
      </c>
      <c r="O9">
        <f t="shared" si="2"/>
        <v>0.16540983606557375</v>
      </c>
    </row>
    <row r="10" spans="2:16" x14ac:dyDescent="0.25">
      <c r="B10" s="7">
        <v>26.01</v>
      </c>
      <c r="D10" s="8" t="s">
        <v>22</v>
      </c>
      <c r="E10" s="8">
        <v>24.84</v>
      </c>
      <c r="J10" s="7">
        <v>17.739999999999998</v>
      </c>
      <c r="K10">
        <v>1</v>
      </c>
      <c r="L10">
        <f t="shared" si="0"/>
        <v>2E-3</v>
      </c>
      <c r="M10">
        <f t="shared" si="3"/>
        <v>1.2E-2</v>
      </c>
      <c r="N10">
        <f t="shared" si="1"/>
        <v>0.18743169398907095</v>
      </c>
      <c r="O10">
        <f t="shared" si="2"/>
        <v>0.17543169398907094</v>
      </c>
    </row>
    <row r="11" spans="2:16" x14ac:dyDescent="0.25">
      <c r="B11" s="7">
        <v>21.89</v>
      </c>
      <c r="D11" s="8" t="s">
        <v>23</v>
      </c>
      <c r="E11" s="8">
        <v>27.23</v>
      </c>
      <c r="J11" s="7">
        <v>17.93</v>
      </c>
      <c r="K11">
        <v>1</v>
      </c>
      <c r="L11">
        <f t="shared" si="0"/>
        <v>2E-3</v>
      </c>
      <c r="M11">
        <f t="shared" si="3"/>
        <v>1.4E-2</v>
      </c>
      <c r="N11">
        <f t="shared" si="1"/>
        <v>0.19781420765027322</v>
      </c>
      <c r="O11">
        <f t="shared" si="2"/>
        <v>0.1838142076502732</v>
      </c>
    </row>
    <row r="12" spans="2:16" x14ac:dyDescent="0.25">
      <c r="B12" s="7">
        <v>21.3</v>
      </c>
      <c r="D12" s="8" t="s">
        <v>24</v>
      </c>
      <c r="E12" s="8">
        <v>3.0508863670823154</v>
      </c>
      <c r="J12" s="7">
        <v>18.27</v>
      </c>
      <c r="K12">
        <v>1</v>
      </c>
      <c r="L12">
        <f t="shared" si="0"/>
        <v>2E-3</v>
      </c>
      <c r="M12">
        <f t="shared" si="3"/>
        <v>1.6E-2</v>
      </c>
      <c r="N12">
        <f t="shared" si="1"/>
        <v>0.21639344262295079</v>
      </c>
      <c r="O12">
        <f t="shared" si="2"/>
        <v>0.20039344262295078</v>
      </c>
    </row>
    <row r="13" spans="2:16" x14ac:dyDescent="0.25">
      <c r="B13" s="7">
        <v>26.46</v>
      </c>
      <c r="D13" s="8" t="s">
        <v>25</v>
      </c>
      <c r="E13" s="8">
        <v>9.3079076248487294</v>
      </c>
      <c r="J13" s="7">
        <v>18.28</v>
      </c>
      <c r="K13">
        <v>1</v>
      </c>
      <c r="L13">
        <f t="shared" si="0"/>
        <v>2E-3</v>
      </c>
      <c r="M13">
        <f t="shared" si="3"/>
        <v>1.8000000000000002E-2</v>
      </c>
      <c r="N13">
        <f t="shared" si="1"/>
        <v>0.21693989071038258</v>
      </c>
      <c r="O13">
        <f t="shared" si="2"/>
        <v>0.19893989071038259</v>
      </c>
    </row>
    <row r="14" spans="2:16" x14ac:dyDescent="0.25">
      <c r="B14" s="7">
        <v>21.56</v>
      </c>
      <c r="D14" s="8" t="s">
        <v>26</v>
      </c>
      <c r="E14" s="8">
        <v>-7.5958871966522956E-2</v>
      </c>
      <c r="J14" s="7">
        <v>18.28</v>
      </c>
      <c r="K14">
        <v>1</v>
      </c>
      <c r="L14">
        <f t="shared" si="0"/>
        <v>2E-3</v>
      </c>
      <c r="M14">
        <f t="shared" si="3"/>
        <v>2.0000000000000004E-2</v>
      </c>
      <c r="N14">
        <f t="shared" si="1"/>
        <v>0.21693989071038258</v>
      </c>
      <c r="O14">
        <f t="shared" si="2"/>
        <v>0.19693989071038259</v>
      </c>
    </row>
    <row r="15" spans="2:16" x14ac:dyDescent="0.25">
      <c r="B15" s="7">
        <v>22.49</v>
      </c>
      <c r="D15" s="8" t="s">
        <v>27</v>
      </c>
      <c r="E15" s="8">
        <v>-0.12956245557651511</v>
      </c>
      <c r="J15" s="7">
        <v>18.38</v>
      </c>
      <c r="K15">
        <v>1</v>
      </c>
      <c r="L15">
        <f t="shared" si="0"/>
        <v>2E-3</v>
      </c>
      <c r="M15">
        <f t="shared" si="3"/>
        <v>2.2000000000000006E-2</v>
      </c>
      <c r="N15">
        <f t="shared" si="1"/>
        <v>0.22240437158469942</v>
      </c>
      <c r="O15">
        <f t="shared" si="2"/>
        <v>0.20040437158469943</v>
      </c>
    </row>
    <row r="16" spans="2:16" x14ac:dyDescent="0.25">
      <c r="B16" s="7">
        <v>25.54</v>
      </c>
      <c r="D16" s="8" t="s">
        <v>28</v>
      </c>
      <c r="E16" s="8">
        <v>18.299999999999997</v>
      </c>
      <c r="J16" s="7">
        <v>18.55</v>
      </c>
      <c r="K16">
        <v>1</v>
      </c>
      <c r="L16">
        <f t="shared" si="0"/>
        <v>2E-3</v>
      </c>
      <c r="M16">
        <f t="shared" si="3"/>
        <v>2.4000000000000007E-2</v>
      </c>
      <c r="N16">
        <f t="shared" si="1"/>
        <v>0.2316939890710383</v>
      </c>
      <c r="O16">
        <f t="shared" si="2"/>
        <v>0.20769398907103831</v>
      </c>
    </row>
    <row r="17" spans="2:15" x14ac:dyDescent="0.25">
      <c r="B17" s="7">
        <v>28.01</v>
      </c>
      <c r="D17" s="8" t="s">
        <v>29</v>
      </c>
      <c r="E17" s="8">
        <v>14.31</v>
      </c>
      <c r="J17" s="7">
        <v>18.920000000000002</v>
      </c>
      <c r="K17">
        <v>1</v>
      </c>
      <c r="L17">
        <f t="shared" si="0"/>
        <v>2E-3</v>
      </c>
      <c r="M17">
        <f t="shared" si="3"/>
        <v>2.6000000000000009E-2</v>
      </c>
      <c r="N17">
        <f t="shared" si="1"/>
        <v>0.25191256830601105</v>
      </c>
      <c r="O17">
        <f t="shared" si="2"/>
        <v>0.22591256830601103</v>
      </c>
    </row>
    <row r="18" spans="2:15" x14ac:dyDescent="0.25">
      <c r="B18" s="7">
        <v>28.47</v>
      </c>
      <c r="D18" s="8" t="s">
        <v>30</v>
      </c>
      <c r="E18" s="8">
        <v>32.61</v>
      </c>
      <c r="J18" s="7">
        <v>18.93</v>
      </c>
      <c r="K18">
        <v>1</v>
      </c>
      <c r="L18">
        <f t="shared" si="0"/>
        <v>2E-3</v>
      </c>
      <c r="M18">
        <f t="shared" si="3"/>
        <v>2.8000000000000011E-2</v>
      </c>
      <c r="N18">
        <f t="shared" si="1"/>
        <v>0.25245901639344259</v>
      </c>
      <c r="O18">
        <f t="shared" si="2"/>
        <v>0.22445901639344257</v>
      </c>
    </row>
    <row r="19" spans="2:15" x14ac:dyDescent="0.25">
      <c r="B19" s="7">
        <v>27.09</v>
      </c>
      <c r="D19" s="8" t="s">
        <v>31</v>
      </c>
      <c r="E19" s="8">
        <v>12464.260000000006</v>
      </c>
      <c r="J19" s="7">
        <v>19.28</v>
      </c>
      <c r="K19">
        <v>1</v>
      </c>
      <c r="L19">
        <f t="shared" si="0"/>
        <v>2E-3</v>
      </c>
      <c r="M19">
        <f t="shared" si="3"/>
        <v>3.0000000000000013E-2</v>
      </c>
      <c r="N19">
        <f t="shared" si="1"/>
        <v>0.27158469945355201</v>
      </c>
      <c r="O19">
        <f t="shared" si="2"/>
        <v>0.24158469945355199</v>
      </c>
    </row>
    <row r="20" spans="2:15" ht="15.75" thickBot="1" x14ac:dyDescent="0.3">
      <c r="B20" s="7">
        <v>21.02</v>
      </c>
      <c r="D20" s="9" t="s">
        <v>32</v>
      </c>
      <c r="E20" s="9">
        <v>500</v>
      </c>
      <c r="J20" s="7">
        <v>19.350000000000001</v>
      </c>
      <c r="K20">
        <v>1</v>
      </c>
      <c r="L20">
        <f t="shared" si="0"/>
        <v>2E-3</v>
      </c>
      <c r="M20">
        <f t="shared" si="3"/>
        <v>3.2000000000000015E-2</v>
      </c>
      <c r="N20">
        <f t="shared" si="1"/>
        <v>0.27540983606557384</v>
      </c>
      <c r="O20">
        <f t="shared" si="2"/>
        <v>0.24340983606557381</v>
      </c>
    </row>
    <row r="21" spans="2:15" ht="15.75" thickBot="1" x14ac:dyDescent="0.3">
      <c r="B21" s="7">
        <v>28.51</v>
      </c>
      <c r="J21" s="7">
        <v>19.45</v>
      </c>
      <c r="K21">
        <v>1</v>
      </c>
      <c r="L21">
        <f t="shared" si="0"/>
        <v>2E-3</v>
      </c>
      <c r="M21">
        <f t="shared" si="3"/>
        <v>3.4000000000000016E-2</v>
      </c>
      <c r="N21">
        <f t="shared" si="1"/>
        <v>0.28087431693989068</v>
      </c>
      <c r="O21">
        <f t="shared" si="2"/>
        <v>0.24687431693989065</v>
      </c>
    </row>
    <row r="22" spans="2:15" x14ac:dyDescent="0.25">
      <c r="B22" s="7">
        <v>24.75</v>
      </c>
      <c r="D22" s="10" t="s">
        <v>33</v>
      </c>
      <c r="E22" s="10" t="s">
        <v>35</v>
      </c>
      <c r="J22" s="7">
        <v>19.489999999999998</v>
      </c>
      <c r="K22">
        <v>1</v>
      </c>
      <c r="L22">
        <f t="shared" si="0"/>
        <v>2E-3</v>
      </c>
      <c r="M22">
        <f t="shared" si="3"/>
        <v>3.6000000000000018E-2</v>
      </c>
      <c r="N22">
        <f t="shared" si="1"/>
        <v>0.28306010928961745</v>
      </c>
      <c r="O22">
        <f t="shared" si="2"/>
        <v>0.24706010928961741</v>
      </c>
    </row>
    <row r="23" spans="2:15" x14ac:dyDescent="0.25">
      <c r="B23" s="7">
        <v>24.06</v>
      </c>
      <c r="D23" s="8">
        <v>14.31</v>
      </c>
      <c r="E23" s="8">
        <v>1</v>
      </c>
      <c r="J23" s="7">
        <v>19.5</v>
      </c>
      <c r="K23">
        <v>1</v>
      </c>
      <c r="L23">
        <f t="shared" si="0"/>
        <v>2E-3</v>
      </c>
      <c r="M23">
        <f t="shared" si="3"/>
        <v>3.800000000000002E-2</v>
      </c>
      <c r="N23">
        <f t="shared" si="1"/>
        <v>0.28360655737704921</v>
      </c>
      <c r="O23">
        <f t="shared" si="2"/>
        <v>0.24560655737704917</v>
      </c>
    </row>
    <row r="24" spans="2:15" x14ac:dyDescent="0.25">
      <c r="B24" s="7">
        <v>25.6</v>
      </c>
      <c r="D24" s="8">
        <v>15.141818181818183</v>
      </c>
      <c r="E24" s="8">
        <v>0</v>
      </c>
      <c r="J24" s="7">
        <v>19.61</v>
      </c>
      <c r="K24">
        <v>1</v>
      </c>
      <c r="L24">
        <f t="shared" si="0"/>
        <v>2E-3</v>
      </c>
      <c r="M24">
        <f t="shared" si="3"/>
        <v>4.0000000000000022E-2</v>
      </c>
      <c r="N24">
        <f t="shared" si="1"/>
        <v>0.2896174863387978</v>
      </c>
      <c r="O24">
        <f t="shared" si="2"/>
        <v>0.24961748633879777</v>
      </c>
    </row>
    <row r="25" spans="2:15" x14ac:dyDescent="0.25">
      <c r="B25" s="7">
        <v>27.79</v>
      </c>
      <c r="D25" s="8">
        <v>15.973636363636365</v>
      </c>
      <c r="E25" s="8">
        <v>1</v>
      </c>
      <c r="J25" s="7">
        <v>19.88</v>
      </c>
      <c r="K25">
        <v>1</v>
      </c>
      <c r="L25">
        <f t="shared" si="0"/>
        <v>2E-3</v>
      </c>
      <c r="M25">
        <f t="shared" si="3"/>
        <v>4.2000000000000023E-2</v>
      </c>
      <c r="N25">
        <f t="shared" si="1"/>
        <v>0.30437158469945352</v>
      </c>
      <c r="O25">
        <f t="shared" si="2"/>
        <v>0.26237158469945349</v>
      </c>
    </row>
    <row r="26" spans="2:15" x14ac:dyDescent="0.25">
      <c r="B26" s="7">
        <v>20.73</v>
      </c>
      <c r="D26" s="8">
        <v>16.805454545454545</v>
      </c>
      <c r="E26" s="8">
        <v>1</v>
      </c>
      <c r="J26" s="7">
        <v>19.93</v>
      </c>
      <c r="K26">
        <v>1</v>
      </c>
      <c r="L26">
        <f t="shared" si="0"/>
        <v>2E-3</v>
      </c>
      <c r="M26">
        <f t="shared" si="3"/>
        <v>4.4000000000000025E-2</v>
      </c>
      <c r="N26">
        <f t="shared" si="1"/>
        <v>0.30710382513661205</v>
      </c>
      <c r="O26">
        <f t="shared" si="2"/>
        <v>0.26310382513661201</v>
      </c>
    </row>
    <row r="27" spans="2:15" x14ac:dyDescent="0.25">
      <c r="B27" s="7">
        <v>22.84</v>
      </c>
      <c r="D27" s="8">
        <v>17.637272727272727</v>
      </c>
      <c r="E27" s="8">
        <v>2</v>
      </c>
      <c r="J27" s="7">
        <v>19.989999999999998</v>
      </c>
      <c r="K27">
        <v>1</v>
      </c>
      <c r="L27">
        <f t="shared" si="0"/>
        <v>2E-3</v>
      </c>
      <c r="M27">
        <f t="shared" si="3"/>
        <v>4.6000000000000027E-2</v>
      </c>
      <c r="N27">
        <f t="shared" si="1"/>
        <v>0.31038251366120212</v>
      </c>
      <c r="O27">
        <f t="shared" si="2"/>
        <v>0.26438251366120208</v>
      </c>
    </row>
    <row r="28" spans="2:15" x14ac:dyDescent="0.25">
      <c r="B28" s="7">
        <v>28.14</v>
      </c>
      <c r="D28" s="8">
        <v>18.469090909090909</v>
      </c>
      <c r="E28" s="8">
        <v>6</v>
      </c>
      <c r="J28" s="7">
        <v>20</v>
      </c>
      <c r="K28">
        <v>1</v>
      </c>
      <c r="L28">
        <f t="shared" si="0"/>
        <v>2E-3</v>
      </c>
      <c r="M28">
        <f t="shared" si="3"/>
        <v>4.8000000000000029E-2</v>
      </c>
      <c r="N28">
        <f t="shared" si="1"/>
        <v>0.31092896174863388</v>
      </c>
      <c r="O28">
        <f t="shared" si="2"/>
        <v>0.26292896174863384</v>
      </c>
    </row>
    <row r="29" spans="2:15" x14ac:dyDescent="0.25">
      <c r="B29" s="7">
        <v>26.44</v>
      </c>
      <c r="D29" s="8">
        <v>19.300909090909091</v>
      </c>
      <c r="E29" s="8">
        <v>4</v>
      </c>
      <c r="J29" s="7">
        <v>20.27</v>
      </c>
      <c r="K29">
        <v>1</v>
      </c>
      <c r="L29">
        <f t="shared" si="0"/>
        <v>2E-3</v>
      </c>
      <c r="M29">
        <f t="shared" si="3"/>
        <v>5.0000000000000031E-2</v>
      </c>
      <c r="N29">
        <f t="shared" si="1"/>
        <v>0.3256830601092896</v>
      </c>
      <c r="O29">
        <f t="shared" si="2"/>
        <v>0.27568306010928956</v>
      </c>
    </row>
    <row r="30" spans="2:15" x14ac:dyDescent="0.25">
      <c r="B30" s="7">
        <v>27.16</v>
      </c>
      <c r="D30" s="8">
        <v>20.132727272727273</v>
      </c>
      <c r="E30" s="8">
        <v>9</v>
      </c>
      <c r="J30" s="7">
        <v>20.309999999999999</v>
      </c>
      <c r="K30">
        <v>1</v>
      </c>
      <c r="L30">
        <f t="shared" si="0"/>
        <v>2E-3</v>
      </c>
      <c r="M30">
        <f t="shared" si="3"/>
        <v>5.2000000000000032E-2</v>
      </c>
      <c r="N30">
        <f t="shared" si="1"/>
        <v>0.32786885245901637</v>
      </c>
      <c r="O30">
        <f t="shared" si="2"/>
        <v>0.27586885245901632</v>
      </c>
    </row>
    <row r="31" spans="2:15" x14ac:dyDescent="0.25">
      <c r="B31" s="7">
        <v>24.45</v>
      </c>
      <c r="D31" s="8">
        <v>20.964545454545455</v>
      </c>
      <c r="E31" s="8">
        <v>21</v>
      </c>
      <c r="J31" s="7">
        <v>20.34</v>
      </c>
      <c r="K31">
        <v>1</v>
      </c>
      <c r="L31">
        <f t="shared" si="0"/>
        <v>2E-3</v>
      </c>
      <c r="M31">
        <f t="shared" si="3"/>
        <v>5.4000000000000034E-2</v>
      </c>
      <c r="N31">
        <f t="shared" si="1"/>
        <v>0.32950819672131149</v>
      </c>
      <c r="O31">
        <f t="shared" si="2"/>
        <v>0.27550819672131144</v>
      </c>
    </row>
    <row r="32" spans="2:15" x14ac:dyDescent="0.25">
      <c r="B32" s="7">
        <v>23.87</v>
      </c>
      <c r="D32" s="8">
        <v>21.796363636363637</v>
      </c>
      <c r="E32" s="8">
        <v>33</v>
      </c>
      <c r="J32" s="7">
        <v>20.34</v>
      </c>
      <c r="K32">
        <v>1</v>
      </c>
      <c r="L32">
        <f t="shared" si="0"/>
        <v>2E-3</v>
      </c>
      <c r="M32">
        <f t="shared" si="3"/>
        <v>5.6000000000000036E-2</v>
      </c>
      <c r="N32">
        <f t="shared" si="1"/>
        <v>0.32950819672131149</v>
      </c>
      <c r="O32">
        <f t="shared" si="2"/>
        <v>0.27350819672131144</v>
      </c>
    </row>
    <row r="33" spans="2:15" x14ac:dyDescent="0.25">
      <c r="B33" s="7">
        <v>24.76</v>
      </c>
      <c r="D33" s="8">
        <v>22.628181818181815</v>
      </c>
      <c r="E33" s="8">
        <v>38</v>
      </c>
      <c r="J33" s="7">
        <v>20.41</v>
      </c>
      <c r="K33">
        <v>1</v>
      </c>
      <c r="L33">
        <f t="shared" si="0"/>
        <v>2E-3</v>
      </c>
      <c r="M33">
        <f t="shared" si="3"/>
        <v>5.8000000000000038E-2</v>
      </c>
      <c r="N33">
        <f t="shared" si="1"/>
        <v>0.33333333333333337</v>
      </c>
      <c r="O33">
        <f t="shared" si="2"/>
        <v>0.27533333333333332</v>
      </c>
    </row>
    <row r="34" spans="2:15" x14ac:dyDescent="0.25">
      <c r="B34" s="7">
        <v>19.45</v>
      </c>
      <c r="D34" s="8">
        <v>23.46</v>
      </c>
      <c r="E34" s="8">
        <v>53</v>
      </c>
      <c r="J34" s="7">
        <v>20.43</v>
      </c>
      <c r="K34">
        <v>1</v>
      </c>
      <c r="L34">
        <f t="shared" si="0"/>
        <v>2E-3</v>
      </c>
      <c r="M34">
        <f t="shared" si="3"/>
        <v>6.0000000000000039E-2</v>
      </c>
      <c r="N34">
        <f t="shared" si="1"/>
        <v>0.33442622950819673</v>
      </c>
      <c r="O34">
        <f t="shared" si="2"/>
        <v>0.27442622950819667</v>
      </c>
    </row>
    <row r="35" spans="2:15" x14ac:dyDescent="0.25">
      <c r="B35" s="7">
        <v>23.89</v>
      </c>
      <c r="D35" s="8">
        <v>24.291818181818179</v>
      </c>
      <c r="E35" s="8">
        <v>42</v>
      </c>
      <c r="J35" s="7">
        <v>20.43</v>
      </c>
      <c r="K35">
        <v>1</v>
      </c>
      <c r="L35">
        <f t="shared" si="0"/>
        <v>2E-3</v>
      </c>
      <c r="M35">
        <f t="shared" si="3"/>
        <v>6.2000000000000041E-2</v>
      </c>
      <c r="N35">
        <f t="shared" si="1"/>
        <v>0.33442622950819673</v>
      </c>
      <c r="O35">
        <f t="shared" si="2"/>
        <v>0.27242622950819667</v>
      </c>
    </row>
    <row r="36" spans="2:15" x14ac:dyDescent="0.25">
      <c r="B36" s="7">
        <v>25.76</v>
      </c>
      <c r="D36" s="8">
        <v>25.123636363636365</v>
      </c>
      <c r="E36" s="8">
        <v>53</v>
      </c>
      <c r="J36" s="7">
        <v>20.49</v>
      </c>
      <c r="K36">
        <v>1</v>
      </c>
      <c r="L36">
        <f t="shared" si="0"/>
        <v>2E-3</v>
      </c>
      <c r="M36">
        <f t="shared" si="3"/>
        <v>6.4000000000000043E-2</v>
      </c>
      <c r="N36">
        <f t="shared" si="1"/>
        <v>0.33770491803278685</v>
      </c>
      <c r="O36">
        <f t="shared" si="2"/>
        <v>0.27370491803278679</v>
      </c>
    </row>
    <row r="37" spans="2:15" x14ac:dyDescent="0.25">
      <c r="B37" s="7">
        <v>29.1</v>
      </c>
      <c r="D37" s="8">
        <v>25.955454545454543</v>
      </c>
      <c r="E37" s="8">
        <v>53</v>
      </c>
      <c r="J37" s="7">
        <v>20.53</v>
      </c>
      <c r="K37">
        <v>1</v>
      </c>
      <c r="L37">
        <f t="shared" si="0"/>
        <v>2E-3</v>
      </c>
      <c r="M37">
        <f t="shared" si="3"/>
        <v>6.6000000000000045E-2</v>
      </c>
      <c r="N37">
        <f t="shared" si="1"/>
        <v>0.33989071038251373</v>
      </c>
      <c r="O37">
        <f t="shared" si="2"/>
        <v>0.27389071038251367</v>
      </c>
    </row>
    <row r="38" spans="2:15" x14ac:dyDescent="0.25">
      <c r="B38" s="7">
        <v>23.04</v>
      </c>
      <c r="D38" s="8">
        <v>26.787272727272725</v>
      </c>
      <c r="E38" s="8">
        <v>35</v>
      </c>
      <c r="J38" s="7">
        <v>20.53</v>
      </c>
      <c r="K38">
        <v>1</v>
      </c>
      <c r="L38">
        <f t="shared" si="0"/>
        <v>2E-3</v>
      </c>
      <c r="M38">
        <f t="shared" si="3"/>
        <v>6.8000000000000047E-2</v>
      </c>
      <c r="N38">
        <f t="shared" si="1"/>
        <v>0.33989071038251373</v>
      </c>
      <c r="O38">
        <f t="shared" si="2"/>
        <v>0.27189071038251367</v>
      </c>
    </row>
    <row r="39" spans="2:15" x14ac:dyDescent="0.25">
      <c r="B39" s="7">
        <v>25.83</v>
      </c>
      <c r="D39" s="8">
        <v>27.619090909090907</v>
      </c>
      <c r="E39" s="8">
        <v>44</v>
      </c>
      <c r="J39" s="7">
        <v>20.54</v>
      </c>
      <c r="K39">
        <v>1</v>
      </c>
      <c r="L39">
        <f t="shared" si="0"/>
        <v>2E-3</v>
      </c>
      <c r="M39">
        <f t="shared" si="3"/>
        <v>7.0000000000000048E-2</v>
      </c>
      <c r="N39">
        <f t="shared" si="1"/>
        <v>0.34043715846994532</v>
      </c>
      <c r="O39">
        <f t="shared" si="2"/>
        <v>0.27043715846994526</v>
      </c>
    </row>
    <row r="40" spans="2:15" x14ac:dyDescent="0.25">
      <c r="B40" s="7">
        <v>22.47</v>
      </c>
      <c r="D40" s="8">
        <v>28.450909090909089</v>
      </c>
      <c r="E40" s="8">
        <v>39</v>
      </c>
      <c r="J40" s="7">
        <v>20.58</v>
      </c>
      <c r="K40">
        <v>1</v>
      </c>
      <c r="L40">
        <f t="shared" si="0"/>
        <v>2E-3</v>
      </c>
      <c r="M40">
        <f t="shared" si="3"/>
        <v>7.200000000000005E-2</v>
      </c>
      <c r="N40">
        <f t="shared" si="1"/>
        <v>0.34262295081967209</v>
      </c>
      <c r="O40">
        <f t="shared" si="2"/>
        <v>0.27062295081967203</v>
      </c>
    </row>
    <row r="41" spans="2:15" x14ac:dyDescent="0.25">
      <c r="B41" s="7">
        <v>25.84</v>
      </c>
      <c r="D41" s="8">
        <v>29.282727272727271</v>
      </c>
      <c r="E41" s="8">
        <v>30</v>
      </c>
      <c r="J41" s="7">
        <v>20.64</v>
      </c>
      <c r="K41">
        <v>1</v>
      </c>
      <c r="L41">
        <f t="shared" si="0"/>
        <v>2E-3</v>
      </c>
      <c r="M41">
        <f t="shared" si="3"/>
        <v>7.4000000000000052E-2</v>
      </c>
      <c r="N41">
        <f t="shared" si="1"/>
        <v>0.34590163934426238</v>
      </c>
      <c r="O41">
        <f t="shared" si="2"/>
        <v>0.27190163934426231</v>
      </c>
    </row>
    <row r="42" spans="2:15" x14ac:dyDescent="0.25">
      <c r="B42" s="7">
        <v>30.56</v>
      </c>
      <c r="D42" s="8">
        <v>30.11454545454545</v>
      </c>
      <c r="E42" s="8">
        <v>17</v>
      </c>
      <c r="J42" s="7">
        <v>20.7</v>
      </c>
      <c r="K42">
        <v>1</v>
      </c>
      <c r="L42">
        <f t="shared" si="0"/>
        <v>2E-3</v>
      </c>
      <c r="M42">
        <f t="shared" si="3"/>
        <v>7.6000000000000054E-2</v>
      </c>
      <c r="N42">
        <f t="shared" si="1"/>
        <v>0.34918032786885245</v>
      </c>
      <c r="O42">
        <f t="shared" si="2"/>
        <v>0.27318032786885238</v>
      </c>
    </row>
    <row r="43" spans="2:15" x14ac:dyDescent="0.25">
      <c r="B43" s="7">
        <v>22.71</v>
      </c>
      <c r="D43" s="8">
        <v>30.946363636363635</v>
      </c>
      <c r="E43" s="8">
        <v>8</v>
      </c>
      <c r="J43" s="7">
        <v>20.73</v>
      </c>
      <c r="K43">
        <v>1</v>
      </c>
      <c r="L43">
        <f t="shared" si="0"/>
        <v>2E-3</v>
      </c>
      <c r="M43">
        <f t="shared" si="3"/>
        <v>7.8000000000000055E-2</v>
      </c>
      <c r="N43">
        <f t="shared" si="1"/>
        <v>0.35081967213114756</v>
      </c>
      <c r="O43">
        <f t="shared" si="2"/>
        <v>0.27281967213114749</v>
      </c>
    </row>
    <row r="44" spans="2:15" x14ac:dyDescent="0.25">
      <c r="B44" s="7">
        <v>26.29</v>
      </c>
      <c r="D44" s="8">
        <v>31.778181818181814</v>
      </c>
      <c r="E44" s="8">
        <v>6</v>
      </c>
      <c r="J44" s="7">
        <v>20.77</v>
      </c>
      <c r="K44">
        <v>1</v>
      </c>
      <c r="L44">
        <f t="shared" si="0"/>
        <v>2E-3</v>
      </c>
      <c r="M44">
        <f t="shared" si="3"/>
        <v>8.0000000000000057E-2</v>
      </c>
      <c r="N44">
        <f t="shared" si="1"/>
        <v>0.35300546448087433</v>
      </c>
      <c r="O44">
        <f t="shared" si="2"/>
        <v>0.27300546448087426</v>
      </c>
    </row>
    <row r="45" spans="2:15" ht="15.75" thickBot="1" x14ac:dyDescent="0.3">
      <c r="B45" s="7">
        <v>26.06</v>
      </c>
      <c r="D45" s="9" t="s">
        <v>34</v>
      </c>
      <c r="E45" s="9">
        <v>4</v>
      </c>
      <c r="J45" s="7">
        <v>20.77</v>
      </c>
      <c r="K45">
        <v>1</v>
      </c>
      <c r="L45">
        <f t="shared" si="0"/>
        <v>2E-3</v>
      </c>
      <c r="M45">
        <f t="shared" si="3"/>
        <v>8.2000000000000059E-2</v>
      </c>
      <c r="N45">
        <f t="shared" si="1"/>
        <v>0.35300546448087433</v>
      </c>
      <c r="O45">
        <f t="shared" si="2"/>
        <v>0.27100546448087426</v>
      </c>
    </row>
    <row r="46" spans="2:15" x14ac:dyDescent="0.25">
      <c r="B46" s="7">
        <v>25.28</v>
      </c>
      <c r="J46" s="7">
        <v>20.85</v>
      </c>
      <c r="K46">
        <v>1</v>
      </c>
      <c r="L46">
        <f t="shared" si="0"/>
        <v>2E-3</v>
      </c>
      <c r="M46">
        <f t="shared" si="3"/>
        <v>8.4000000000000061E-2</v>
      </c>
      <c r="N46">
        <f t="shared" si="1"/>
        <v>0.35737704918032798</v>
      </c>
      <c r="O46">
        <f t="shared" si="2"/>
        <v>0.2733770491803279</v>
      </c>
    </row>
    <row r="47" spans="2:15" x14ac:dyDescent="0.25">
      <c r="B47" s="7">
        <v>26.99</v>
      </c>
      <c r="J47" s="7">
        <v>20.87</v>
      </c>
      <c r="K47">
        <v>1</v>
      </c>
      <c r="L47">
        <f t="shared" si="0"/>
        <v>2E-3</v>
      </c>
      <c r="M47">
        <f t="shared" si="3"/>
        <v>8.6000000000000063E-2</v>
      </c>
      <c r="N47">
        <f t="shared" si="1"/>
        <v>0.35846994535519133</v>
      </c>
      <c r="O47">
        <f t="shared" si="2"/>
        <v>0.27246994535519126</v>
      </c>
    </row>
    <row r="48" spans="2:15" x14ac:dyDescent="0.25">
      <c r="B48" s="7">
        <v>28.24</v>
      </c>
      <c r="J48" s="7">
        <v>20.88</v>
      </c>
      <c r="K48">
        <v>1</v>
      </c>
      <c r="L48">
        <f t="shared" si="0"/>
        <v>2E-3</v>
      </c>
      <c r="M48">
        <f t="shared" si="3"/>
        <v>8.8000000000000064E-2</v>
      </c>
      <c r="N48">
        <f t="shared" si="1"/>
        <v>0.35901639344262293</v>
      </c>
      <c r="O48">
        <f t="shared" si="2"/>
        <v>0.27101639344262285</v>
      </c>
    </row>
    <row r="49" spans="2:15" x14ac:dyDescent="0.25">
      <c r="B49" s="7">
        <v>24.27</v>
      </c>
      <c r="J49" s="7">
        <v>20.92</v>
      </c>
      <c r="K49">
        <v>1</v>
      </c>
      <c r="L49">
        <f t="shared" si="0"/>
        <v>2E-3</v>
      </c>
      <c r="M49">
        <f t="shared" si="3"/>
        <v>9.0000000000000066E-2</v>
      </c>
      <c r="N49">
        <f t="shared" si="1"/>
        <v>0.36120218579234986</v>
      </c>
      <c r="O49">
        <f t="shared" si="2"/>
        <v>0.27120218579234978</v>
      </c>
    </row>
    <row r="50" spans="2:15" x14ac:dyDescent="0.25">
      <c r="B50" s="7">
        <v>23.39</v>
      </c>
      <c r="J50" s="7">
        <v>21.02</v>
      </c>
      <c r="K50">
        <v>1</v>
      </c>
      <c r="L50">
        <f t="shared" si="0"/>
        <v>2E-3</v>
      </c>
      <c r="M50">
        <f t="shared" si="3"/>
        <v>9.2000000000000068E-2</v>
      </c>
      <c r="N50">
        <f t="shared" si="1"/>
        <v>0.3666666666666667</v>
      </c>
      <c r="O50">
        <f t="shared" si="2"/>
        <v>0.27466666666666661</v>
      </c>
    </row>
    <row r="51" spans="2:15" x14ac:dyDescent="0.25">
      <c r="B51" s="7">
        <v>18.28</v>
      </c>
      <c r="J51" s="7">
        <v>21.04</v>
      </c>
      <c r="K51">
        <v>1</v>
      </c>
      <c r="L51">
        <f t="shared" si="0"/>
        <v>2E-3</v>
      </c>
      <c r="M51">
        <f t="shared" si="3"/>
        <v>9.400000000000007E-2</v>
      </c>
      <c r="N51">
        <f t="shared" si="1"/>
        <v>0.36775956284153005</v>
      </c>
      <c r="O51">
        <f t="shared" si="2"/>
        <v>0.27375956284152997</v>
      </c>
    </row>
    <row r="52" spans="2:15" x14ac:dyDescent="0.25">
      <c r="B52" s="7">
        <v>23.36</v>
      </c>
      <c r="J52" s="7">
        <v>21.14</v>
      </c>
      <c r="K52">
        <v>1</v>
      </c>
      <c r="L52">
        <f t="shared" si="0"/>
        <v>2E-3</v>
      </c>
      <c r="M52">
        <f t="shared" si="3"/>
        <v>9.6000000000000071E-2</v>
      </c>
      <c r="N52">
        <f t="shared" si="1"/>
        <v>0.37322404371584705</v>
      </c>
      <c r="O52">
        <f t="shared" si="2"/>
        <v>0.27722404371584697</v>
      </c>
    </row>
    <row r="53" spans="2:15" x14ac:dyDescent="0.25">
      <c r="B53" s="7">
        <v>27.82</v>
      </c>
      <c r="J53" s="7">
        <v>21.16</v>
      </c>
      <c r="K53">
        <v>1</v>
      </c>
      <c r="L53">
        <f t="shared" si="0"/>
        <v>2E-3</v>
      </c>
      <c r="M53">
        <f t="shared" si="3"/>
        <v>9.8000000000000073E-2</v>
      </c>
      <c r="N53">
        <f t="shared" si="1"/>
        <v>0.37431693989071041</v>
      </c>
      <c r="O53">
        <f t="shared" si="2"/>
        <v>0.27631693989071032</v>
      </c>
    </row>
    <row r="54" spans="2:15" x14ac:dyDescent="0.25">
      <c r="B54" s="7">
        <v>25.9</v>
      </c>
      <c r="J54" s="7">
        <v>21.18</v>
      </c>
      <c r="K54">
        <v>1</v>
      </c>
      <c r="L54">
        <f t="shared" si="0"/>
        <v>2E-3</v>
      </c>
      <c r="M54">
        <f t="shared" si="3"/>
        <v>0.10000000000000007</v>
      </c>
      <c r="N54">
        <f t="shared" si="1"/>
        <v>0.37540983606557377</v>
      </c>
      <c r="O54">
        <f t="shared" si="2"/>
        <v>0.27540983606557368</v>
      </c>
    </row>
    <row r="55" spans="2:15" x14ac:dyDescent="0.25">
      <c r="B55" s="7">
        <v>18.93</v>
      </c>
      <c r="J55" s="7">
        <v>21.22</v>
      </c>
      <c r="K55">
        <v>1</v>
      </c>
      <c r="L55">
        <f t="shared" si="0"/>
        <v>2E-3</v>
      </c>
      <c r="M55">
        <f t="shared" si="3"/>
        <v>0.10200000000000008</v>
      </c>
      <c r="N55">
        <f t="shared" si="1"/>
        <v>0.37759562841530053</v>
      </c>
      <c r="O55">
        <f t="shared" si="2"/>
        <v>0.27559562841530044</v>
      </c>
    </row>
    <row r="56" spans="2:15" x14ac:dyDescent="0.25">
      <c r="B56" s="7">
        <v>21.38</v>
      </c>
      <c r="J56" s="7">
        <v>21.24</v>
      </c>
      <c r="K56">
        <v>1</v>
      </c>
      <c r="L56">
        <f t="shared" si="0"/>
        <v>2E-3</v>
      </c>
      <c r="M56">
        <f t="shared" si="3"/>
        <v>0.10400000000000008</v>
      </c>
      <c r="N56">
        <f t="shared" si="1"/>
        <v>0.37868852459016389</v>
      </c>
      <c r="O56">
        <f t="shared" si="2"/>
        <v>0.2746885245901638</v>
      </c>
    </row>
    <row r="57" spans="2:15" x14ac:dyDescent="0.25">
      <c r="B57" s="7">
        <v>25.13</v>
      </c>
      <c r="J57" s="7">
        <v>21.24</v>
      </c>
      <c r="K57">
        <v>1</v>
      </c>
      <c r="L57">
        <f t="shared" si="0"/>
        <v>2E-3</v>
      </c>
      <c r="M57">
        <f t="shared" si="3"/>
        <v>0.10600000000000008</v>
      </c>
      <c r="N57">
        <f t="shared" si="1"/>
        <v>0.37868852459016389</v>
      </c>
      <c r="O57">
        <f t="shared" si="2"/>
        <v>0.27268852459016379</v>
      </c>
    </row>
    <row r="58" spans="2:15" x14ac:dyDescent="0.25">
      <c r="B58" s="7">
        <v>32.090000000000003</v>
      </c>
      <c r="J58" s="7">
        <v>21.3</v>
      </c>
      <c r="K58">
        <v>1</v>
      </c>
      <c r="L58">
        <f t="shared" si="0"/>
        <v>2E-3</v>
      </c>
      <c r="M58">
        <f t="shared" si="3"/>
        <v>0.10800000000000008</v>
      </c>
      <c r="N58">
        <f t="shared" si="1"/>
        <v>0.38196721311475418</v>
      </c>
      <c r="O58">
        <f t="shared" si="2"/>
        <v>0.27396721311475408</v>
      </c>
    </row>
    <row r="59" spans="2:15" x14ac:dyDescent="0.25">
      <c r="B59" s="7">
        <v>27.95</v>
      </c>
      <c r="J59" s="7">
        <v>21.34</v>
      </c>
      <c r="K59">
        <v>1</v>
      </c>
      <c r="L59">
        <f t="shared" si="0"/>
        <v>2E-3</v>
      </c>
      <c r="M59">
        <f t="shared" si="3"/>
        <v>0.11000000000000008</v>
      </c>
      <c r="N59">
        <f t="shared" si="1"/>
        <v>0.38415300546448089</v>
      </c>
      <c r="O59">
        <f t="shared" si="2"/>
        <v>0.27415300546448079</v>
      </c>
    </row>
    <row r="60" spans="2:15" x14ac:dyDescent="0.25">
      <c r="B60" s="7">
        <v>19.61</v>
      </c>
      <c r="J60" s="7">
        <v>21.38</v>
      </c>
      <c r="K60">
        <v>1</v>
      </c>
      <c r="L60">
        <f t="shared" si="0"/>
        <v>2E-3</v>
      </c>
      <c r="M60">
        <f t="shared" si="3"/>
        <v>0.11200000000000009</v>
      </c>
      <c r="N60">
        <f t="shared" si="1"/>
        <v>0.3863387978142076</v>
      </c>
      <c r="O60">
        <f t="shared" si="2"/>
        <v>0.2743387978142075</v>
      </c>
    </row>
    <row r="61" spans="2:15" x14ac:dyDescent="0.25">
      <c r="B61" s="7">
        <v>21.51</v>
      </c>
      <c r="J61" s="7">
        <v>21.38</v>
      </c>
      <c r="K61">
        <v>1</v>
      </c>
      <c r="L61">
        <f t="shared" si="0"/>
        <v>2E-3</v>
      </c>
      <c r="M61">
        <f t="shared" si="3"/>
        <v>0.11400000000000009</v>
      </c>
      <c r="N61">
        <f t="shared" si="1"/>
        <v>0.3863387978142076</v>
      </c>
      <c r="O61">
        <f t="shared" si="2"/>
        <v>0.2723387978142075</v>
      </c>
    </row>
    <row r="62" spans="2:15" x14ac:dyDescent="0.25">
      <c r="B62" s="7">
        <v>25.94</v>
      </c>
      <c r="J62" s="7">
        <v>21.4</v>
      </c>
      <c r="K62">
        <v>1</v>
      </c>
      <c r="L62">
        <f t="shared" si="0"/>
        <v>2E-3</v>
      </c>
      <c r="M62">
        <f t="shared" si="3"/>
        <v>0.11600000000000009</v>
      </c>
      <c r="N62">
        <f t="shared" si="1"/>
        <v>0.38743169398907101</v>
      </c>
      <c r="O62">
        <f t="shared" si="2"/>
        <v>0.27143169398907091</v>
      </c>
    </row>
    <row r="63" spans="2:15" x14ac:dyDescent="0.25">
      <c r="B63" s="7">
        <v>29.02</v>
      </c>
      <c r="J63" s="7">
        <v>21.4</v>
      </c>
      <c r="K63">
        <v>1</v>
      </c>
      <c r="L63">
        <f t="shared" si="0"/>
        <v>2E-3</v>
      </c>
      <c r="M63">
        <f t="shared" si="3"/>
        <v>0.11800000000000009</v>
      </c>
      <c r="N63">
        <f t="shared" si="1"/>
        <v>0.38743169398907101</v>
      </c>
      <c r="O63">
        <f t="shared" si="2"/>
        <v>0.26943169398907091</v>
      </c>
    </row>
    <row r="64" spans="2:15" x14ac:dyDescent="0.25">
      <c r="B64" s="7">
        <v>32.61</v>
      </c>
      <c r="J64" s="7">
        <v>21.42</v>
      </c>
      <c r="K64">
        <v>1</v>
      </c>
      <c r="L64">
        <f t="shared" si="0"/>
        <v>2E-3</v>
      </c>
      <c r="M64">
        <f t="shared" si="3"/>
        <v>0.12000000000000009</v>
      </c>
      <c r="N64">
        <f t="shared" si="1"/>
        <v>0.38852459016393454</v>
      </c>
      <c r="O64">
        <f t="shared" si="2"/>
        <v>0.26852459016393443</v>
      </c>
    </row>
    <row r="65" spans="2:15" x14ac:dyDescent="0.25">
      <c r="B65" s="7">
        <v>24.83</v>
      </c>
      <c r="J65" s="7">
        <v>21.43</v>
      </c>
      <c r="K65">
        <v>1</v>
      </c>
      <c r="L65">
        <f t="shared" si="0"/>
        <v>2E-3</v>
      </c>
      <c r="M65">
        <f t="shared" si="3"/>
        <v>0.12200000000000009</v>
      </c>
      <c r="N65">
        <f t="shared" si="1"/>
        <v>0.38907103825136613</v>
      </c>
      <c r="O65">
        <f t="shared" si="2"/>
        <v>0.26707103825136602</v>
      </c>
    </row>
    <row r="66" spans="2:15" x14ac:dyDescent="0.25">
      <c r="B66" s="7">
        <v>25.71</v>
      </c>
      <c r="J66" s="7">
        <v>21.45</v>
      </c>
      <c r="K66">
        <v>1</v>
      </c>
      <c r="L66">
        <f t="shared" si="0"/>
        <v>2E-3</v>
      </c>
      <c r="M66">
        <f t="shared" si="3"/>
        <v>0.1240000000000001</v>
      </c>
      <c r="N66">
        <f t="shared" si="1"/>
        <v>0.39016393442622949</v>
      </c>
      <c r="O66">
        <f t="shared" si="2"/>
        <v>0.26616393442622938</v>
      </c>
    </row>
    <row r="67" spans="2:15" x14ac:dyDescent="0.25">
      <c r="B67" s="7">
        <v>26.86</v>
      </c>
      <c r="J67" s="7">
        <v>21.46</v>
      </c>
      <c r="K67">
        <v>1</v>
      </c>
      <c r="L67">
        <f t="shared" si="0"/>
        <v>2E-3</v>
      </c>
      <c r="M67">
        <f t="shared" si="3"/>
        <v>0.12600000000000008</v>
      </c>
      <c r="N67">
        <f t="shared" si="1"/>
        <v>0.3907103825136613</v>
      </c>
      <c r="O67">
        <f t="shared" si="2"/>
        <v>0.26471038251366119</v>
      </c>
    </row>
    <row r="68" spans="2:15" x14ac:dyDescent="0.25">
      <c r="B68" s="7">
        <v>27.62</v>
      </c>
      <c r="J68" s="7">
        <v>21.5</v>
      </c>
      <c r="K68">
        <v>1</v>
      </c>
      <c r="L68">
        <f t="shared" si="0"/>
        <v>2E-3</v>
      </c>
      <c r="M68">
        <f t="shared" si="3"/>
        <v>0.12800000000000009</v>
      </c>
      <c r="N68">
        <f t="shared" si="1"/>
        <v>0.39289617486338801</v>
      </c>
      <c r="O68">
        <f t="shared" si="2"/>
        <v>0.2648961748633879</v>
      </c>
    </row>
    <row r="69" spans="2:15" x14ac:dyDescent="0.25">
      <c r="B69" s="7">
        <v>26.87</v>
      </c>
      <c r="J69" s="7">
        <v>21.51</v>
      </c>
      <c r="K69">
        <v>1</v>
      </c>
      <c r="L69">
        <f t="shared" si="0"/>
        <v>2E-3</v>
      </c>
      <c r="M69">
        <f t="shared" si="3"/>
        <v>0.13000000000000009</v>
      </c>
      <c r="N69">
        <f t="shared" si="1"/>
        <v>0.39344262295081978</v>
      </c>
      <c r="O69">
        <f t="shared" si="2"/>
        <v>0.26344262295081966</v>
      </c>
    </row>
    <row r="70" spans="2:15" x14ac:dyDescent="0.25">
      <c r="B70" s="7">
        <v>21.24</v>
      </c>
      <c r="J70" s="7">
        <v>21.54</v>
      </c>
      <c r="K70">
        <v>1</v>
      </c>
      <c r="L70">
        <f t="shared" ref="L70:L133" si="4">K70/$E$20</f>
        <v>2E-3</v>
      </c>
      <c r="M70">
        <f t="shared" si="3"/>
        <v>0.13200000000000009</v>
      </c>
      <c r="N70">
        <f t="shared" ref="N70:N133" si="5">(J70-$H$7)/($H$8-$H$7)</f>
        <v>0.39508196721311473</v>
      </c>
      <c r="O70">
        <f t="shared" ref="O70:O133" si="6">ABS(M70-N70)</f>
        <v>0.26308196721311461</v>
      </c>
    </row>
    <row r="71" spans="2:15" x14ac:dyDescent="0.25">
      <c r="B71" s="7">
        <v>22.73</v>
      </c>
      <c r="J71" s="7">
        <v>21.56</v>
      </c>
      <c r="K71">
        <v>1</v>
      </c>
      <c r="L71">
        <f t="shared" si="4"/>
        <v>2E-3</v>
      </c>
      <c r="M71">
        <f t="shared" ref="M71:M134" si="7">M70+L71</f>
        <v>0.13400000000000009</v>
      </c>
      <c r="N71">
        <f t="shared" si="5"/>
        <v>0.39617486338797808</v>
      </c>
      <c r="O71">
        <f t="shared" si="6"/>
        <v>0.26217486338797802</v>
      </c>
    </row>
    <row r="72" spans="2:15" x14ac:dyDescent="0.25">
      <c r="B72" s="7">
        <v>26.1</v>
      </c>
      <c r="J72" s="7">
        <v>21.56</v>
      </c>
      <c r="K72">
        <v>1</v>
      </c>
      <c r="L72">
        <f t="shared" si="4"/>
        <v>2E-3</v>
      </c>
      <c r="M72">
        <f t="shared" si="7"/>
        <v>0.13600000000000009</v>
      </c>
      <c r="N72">
        <f t="shared" si="5"/>
        <v>0.39617486338797808</v>
      </c>
      <c r="O72">
        <f t="shared" si="6"/>
        <v>0.26017486338797802</v>
      </c>
    </row>
    <row r="73" spans="2:15" x14ac:dyDescent="0.25">
      <c r="B73" s="7">
        <v>21.4</v>
      </c>
      <c r="J73" s="7">
        <v>21.57</v>
      </c>
      <c r="K73">
        <v>1</v>
      </c>
      <c r="L73">
        <f t="shared" si="4"/>
        <v>2E-3</v>
      </c>
      <c r="M73">
        <f t="shared" si="7"/>
        <v>0.13800000000000009</v>
      </c>
      <c r="N73">
        <f t="shared" si="5"/>
        <v>0.3967213114754099</v>
      </c>
      <c r="O73">
        <f t="shared" si="6"/>
        <v>0.25872131147540978</v>
      </c>
    </row>
    <row r="74" spans="2:15" x14ac:dyDescent="0.25">
      <c r="B74" s="7">
        <v>28</v>
      </c>
      <c r="J74" s="7">
        <v>21.59</v>
      </c>
      <c r="K74">
        <v>1</v>
      </c>
      <c r="L74">
        <f t="shared" si="4"/>
        <v>2E-3</v>
      </c>
      <c r="M74">
        <f t="shared" si="7"/>
        <v>0.1400000000000001</v>
      </c>
      <c r="N74">
        <f t="shared" si="5"/>
        <v>0.39781420765027325</v>
      </c>
      <c r="O74">
        <f t="shared" si="6"/>
        <v>0.25781420765027319</v>
      </c>
    </row>
    <row r="75" spans="2:15" x14ac:dyDescent="0.25">
      <c r="B75" s="7">
        <v>27.23</v>
      </c>
      <c r="J75" s="7">
        <v>21.61</v>
      </c>
      <c r="K75">
        <v>1</v>
      </c>
      <c r="L75">
        <f t="shared" si="4"/>
        <v>2E-3</v>
      </c>
      <c r="M75">
        <f t="shared" si="7"/>
        <v>0.1420000000000001</v>
      </c>
      <c r="N75">
        <f t="shared" si="5"/>
        <v>0.39890710382513661</v>
      </c>
      <c r="O75">
        <f t="shared" si="6"/>
        <v>0.25690710382513648</v>
      </c>
    </row>
    <row r="76" spans="2:15" x14ac:dyDescent="0.25">
      <c r="B76" s="7">
        <v>25.26</v>
      </c>
      <c r="J76" s="7">
        <v>21.62</v>
      </c>
      <c r="K76">
        <v>1</v>
      </c>
      <c r="L76">
        <f t="shared" si="4"/>
        <v>2E-3</v>
      </c>
      <c r="M76">
        <f t="shared" si="7"/>
        <v>0.1440000000000001</v>
      </c>
      <c r="N76">
        <f t="shared" si="5"/>
        <v>0.39945355191256837</v>
      </c>
      <c r="O76">
        <f t="shared" si="6"/>
        <v>0.25545355191256824</v>
      </c>
    </row>
    <row r="77" spans="2:15" x14ac:dyDescent="0.25">
      <c r="B77" s="7">
        <v>24.64</v>
      </c>
      <c r="J77" s="7">
        <v>21.62</v>
      </c>
      <c r="K77">
        <v>1</v>
      </c>
      <c r="L77">
        <f t="shared" si="4"/>
        <v>2E-3</v>
      </c>
      <c r="M77">
        <f t="shared" si="7"/>
        <v>0.1460000000000001</v>
      </c>
      <c r="N77">
        <f t="shared" si="5"/>
        <v>0.39945355191256837</v>
      </c>
      <c r="O77">
        <f t="shared" si="6"/>
        <v>0.25345355191256824</v>
      </c>
    </row>
    <row r="78" spans="2:15" x14ac:dyDescent="0.25">
      <c r="B78" s="7">
        <v>31.68</v>
      </c>
      <c r="J78" s="7">
        <v>21.66</v>
      </c>
      <c r="K78">
        <v>1</v>
      </c>
      <c r="L78">
        <f t="shared" si="4"/>
        <v>2E-3</v>
      </c>
      <c r="M78">
        <f t="shared" si="7"/>
        <v>0.1480000000000001</v>
      </c>
      <c r="N78">
        <f t="shared" si="5"/>
        <v>0.40163934426229514</v>
      </c>
      <c r="O78">
        <f t="shared" si="6"/>
        <v>0.25363934426229506</v>
      </c>
    </row>
    <row r="79" spans="2:15" x14ac:dyDescent="0.25">
      <c r="B79" s="7">
        <v>23.4</v>
      </c>
      <c r="J79" s="7">
        <v>21.74</v>
      </c>
      <c r="K79">
        <v>1</v>
      </c>
      <c r="L79">
        <f t="shared" si="4"/>
        <v>2E-3</v>
      </c>
      <c r="M79">
        <f t="shared" si="7"/>
        <v>0.15000000000000011</v>
      </c>
      <c r="N79">
        <f t="shared" si="5"/>
        <v>0.40601092896174856</v>
      </c>
      <c r="O79">
        <f t="shared" si="6"/>
        <v>0.25601092896174849</v>
      </c>
    </row>
    <row r="80" spans="2:15" x14ac:dyDescent="0.25">
      <c r="B80" s="7">
        <v>27.28</v>
      </c>
      <c r="J80" s="7">
        <v>21.75</v>
      </c>
      <c r="K80">
        <v>1</v>
      </c>
      <c r="L80">
        <f t="shared" si="4"/>
        <v>2E-3</v>
      </c>
      <c r="M80">
        <f t="shared" si="7"/>
        <v>0.15200000000000011</v>
      </c>
      <c r="N80">
        <f t="shared" si="5"/>
        <v>0.40655737704918038</v>
      </c>
      <c r="O80">
        <f t="shared" si="6"/>
        <v>0.25455737704918024</v>
      </c>
    </row>
    <row r="81" spans="2:15" x14ac:dyDescent="0.25">
      <c r="B81" s="7">
        <v>21.99</v>
      </c>
      <c r="J81" s="7">
        <v>21.78</v>
      </c>
      <c r="K81">
        <v>1</v>
      </c>
      <c r="L81">
        <f t="shared" si="4"/>
        <v>2E-3</v>
      </c>
      <c r="M81">
        <f t="shared" si="7"/>
        <v>0.15400000000000011</v>
      </c>
      <c r="N81">
        <f t="shared" si="5"/>
        <v>0.4081967213114755</v>
      </c>
      <c r="O81">
        <f t="shared" si="6"/>
        <v>0.25419672131147542</v>
      </c>
    </row>
    <row r="82" spans="2:15" x14ac:dyDescent="0.25">
      <c r="B82" s="7">
        <v>29.24</v>
      </c>
      <c r="J82" s="7">
        <v>21.79</v>
      </c>
      <c r="K82">
        <v>1</v>
      </c>
      <c r="L82">
        <f t="shared" si="4"/>
        <v>2E-3</v>
      </c>
      <c r="M82">
        <f t="shared" si="7"/>
        <v>0.15600000000000011</v>
      </c>
      <c r="N82">
        <f t="shared" si="5"/>
        <v>0.40874316939890709</v>
      </c>
      <c r="O82">
        <f t="shared" si="6"/>
        <v>0.25274316939890695</v>
      </c>
    </row>
    <row r="83" spans="2:15" x14ac:dyDescent="0.25">
      <c r="B83" s="7">
        <v>23.46</v>
      </c>
      <c r="J83" s="7">
        <v>21.81</v>
      </c>
      <c r="K83">
        <v>1</v>
      </c>
      <c r="L83">
        <f t="shared" si="4"/>
        <v>2E-3</v>
      </c>
      <c r="M83">
        <f t="shared" si="7"/>
        <v>0.15800000000000011</v>
      </c>
      <c r="N83">
        <f t="shared" si="5"/>
        <v>0.40983606557377045</v>
      </c>
      <c r="O83">
        <f t="shared" si="6"/>
        <v>0.25183606557377036</v>
      </c>
    </row>
    <row r="84" spans="2:15" x14ac:dyDescent="0.25">
      <c r="B84" s="7">
        <v>24.51</v>
      </c>
      <c r="J84" s="7">
        <v>21.88</v>
      </c>
      <c r="K84">
        <v>1</v>
      </c>
      <c r="L84">
        <f t="shared" si="4"/>
        <v>2E-3</v>
      </c>
      <c r="M84">
        <f t="shared" si="7"/>
        <v>0.16000000000000011</v>
      </c>
      <c r="N84">
        <f t="shared" si="5"/>
        <v>0.41366120218579233</v>
      </c>
      <c r="O84">
        <f t="shared" si="6"/>
        <v>0.25366120218579224</v>
      </c>
    </row>
    <row r="85" spans="2:15" x14ac:dyDescent="0.25">
      <c r="B85" s="7">
        <v>27.53</v>
      </c>
      <c r="J85" s="7">
        <v>21.89</v>
      </c>
      <c r="K85">
        <v>1</v>
      </c>
      <c r="L85">
        <f t="shared" si="4"/>
        <v>2E-3</v>
      </c>
      <c r="M85">
        <f t="shared" si="7"/>
        <v>0.16200000000000012</v>
      </c>
      <c r="N85">
        <f t="shared" si="5"/>
        <v>0.41420765027322409</v>
      </c>
      <c r="O85">
        <f t="shared" si="6"/>
        <v>0.252207650273224</v>
      </c>
    </row>
    <row r="86" spans="2:15" x14ac:dyDescent="0.25">
      <c r="B86" s="7">
        <v>21.59</v>
      </c>
      <c r="J86" s="7">
        <v>21.89</v>
      </c>
      <c r="K86">
        <v>1</v>
      </c>
      <c r="L86">
        <f t="shared" si="4"/>
        <v>2E-3</v>
      </c>
      <c r="M86">
        <f t="shared" si="7"/>
        <v>0.16400000000000012</v>
      </c>
      <c r="N86">
        <f t="shared" si="5"/>
        <v>0.41420765027322409</v>
      </c>
      <c r="O86">
        <f t="shared" si="6"/>
        <v>0.250207650273224</v>
      </c>
    </row>
    <row r="87" spans="2:15" x14ac:dyDescent="0.25">
      <c r="B87" s="7">
        <v>23.17</v>
      </c>
      <c r="J87" s="7">
        <v>21.9</v>
      </c>
      <c r="K87">
        <v>1</v>
      </c>
      <c r="L87">
        <f t="shared" si="4"/>
        <v>2E-3</v>
      </c>
      <c r="M87">
        <f t="shared" si="7"/>
        <v>0.16600000000000012</v>
      </c>
      <c r="N87">
        <f t="shared" si="5"/>
        <v>0.41475409836065569</v>
      </c>
      <c r="O87">
        <f t="shared" si="6"/>
        <v>0.24875409836065557</v>
      </c>
    </row>
    <row r="88" spans="2:15" x14ac:dyDescent="0.25">
      <c r="B88" s="7">
        <v>27.4</v>
      </c>
      <c r="J88" s="7">
        <v>21.92</v>
      </c>
      <c r="K88">
        <v>1</v>
      </c>
      <c r="L88">
        <f t="shared" si="4"/>
        <v>2E-3</v>
      </c>
      <c r="M88">
        <f t="shared" si="7"/>
        <v>0.16800000000000012</v>
      </c>
      <c r="N88">
        <f t="shared" si="5"/>
        <v>0.41584699453551927</v>
      </c>
      <c r="O88">
        <f t="shared" si="6"/>
        <v>0.24784699453551914</v>
      </c>
    </row>
    <row r="89" spans="2:15" x14ac:dyDescent="0.25">
      <c r="B89" s="7">
        <v>29.39</v>
      </c>
      <c r="J89" s="7">
        <v>21.93</v>
      </c>
      <c r="K89">
        <v>1</v>
      </c>
      <c r="L89">
        <f t="shared" si="4"/>
        <v>2E-3</v>
      </c>
      <c r="M89">
        <f t="shared" si="7"/>
        <v>0.17000000000000012</v>
      </c>
      <c r="N89">
        <f t="shared" si="5"/>
        <v>0.41639344262295086</v>
      </c>
      <c r="O89">
        <f t="shared" si="6"/>
        <v>0.24639344262295074</v>
      </c>
    </row>
    <row r="90" spans="2:15" x14ac:dyDescent="0.25">
      <c r="B90" s="7">
        <v>23.84</v>
      </c>
      <c r="J90" s="7">
        <v>21.94</v>
      </c>
      <c r="K90">
        <v>1</v>
      </c>
      <c r="L90">
        <f t="shared" si="4"/>
        <v>2E-3</v>
      </c>
      <c r="M90">
        <f t="shared" si="7"/>
        <v>0.17200000000000013</v>
      </c>
      <c r="N90">
        <f t="shared" si="5"/>
        <v>0.41693989071038262</v>
      </c>
      <c r="O90">
        <f t="shared" si="6"/>
        <v>0.2449398907103825</v>
      </c>
    </row>
    <row r="91" spans="2:15" x14ac:dyDescent="0.25">
      <c r="B91" s="7">
        <v>23.57</v>
      </c>
      <c r="J91" s="7">
        <v>21.99</v>
      </c>
      <c r="K91">
        <v>1</v>
      </c>
      <c r="L91">
        <f t="shared" si="4"/>
        <v>2E-3</v>
      </c>
      <c r="M91">
        <f t="shared" si="7"/>
        <v>0.17400000000000013</v>
      </c>
      <c r="N91">
        <f t="shared" si="5"/>
        <v>0.41967213114754093</v>
      </c>
      <c r="O91">
        <f t="shared" si="6"/>
        <v>0.2456721311475408</v>
      </c>
    </row>
    <row r="92" spans="2:15" x14ac:dyDescent="0.25">
      <c r="B92" s="7">
        <v>29.8</v>
      </c>
      <c r="J92" s="7">
        <v>22.03</v>
      </c>
      <c r="K92">
        <v>1</v>
      </c>
      <c r="L92">
        <f t="shared" si="4"/>
        <v>2E-3</v>
      </c>
      <c r="M92">
        <f t="shared" si="7"/>
        <v>0.17600000000000013</v>
      </c>
      <c r="N92">
        <f t="shared" si="5"/>
        <v>0.42185792349726786</v>
      </c>
      <c r="O92">
        <f t="shared" si="6"/>
        <v>0.24585792349726773</v>
      </c>
    </row>
    <row r="93" spans="2:15" x14ac:dyDescent="0.25">
      <c r="B93" s="7">
        <v>23.43</v>
      </c>
      <c r="J93" s="7">
        <v>22.06</v>
      </c>
      <c r="K93">
        <v>1</v>
      </c>
      <c r="L93">
        <f t="shared" si="4"/>
        <v>2E-3</v>
      </c>
      <c r="M93">
        <f t="shared" si="7"/>
        <v>0.17800000000000013</v>
      </c>
      <c r="N93">
        <f t="shared" si="5"/>
        <v>0.42349726775956281</v>
      </c>
      <c r="O93">
        <f t="shared" si="6"/>
        <v>0.24549726775956268</v>
      </c>
    </row>
    <row r="94" spans="2:15" x14ac:dyDescent="0.25">
      <c r="B94" s="7">
        <v>25.11</v>
      </c>
      <c r="J94" s="7">
        <v>22.06</v>
      </c>
      <c r="K94">
        <v>1</v>
      </c>
      <c r="L94">
        <f t="shared" si="4"/>
        <v>2E-3</v>
      </c>
      <c r="M94">
        <f t="shared" si="7"/>
        <v>0.18000000000000013</v>
      </c>
      <c r="N94">
        <f t="shared" si="5"/>
        <v>0.42349726775956281</v>
      </c>
      <c r="O94">
        <f t="shared" si="6"/>
        <v>0.24349726775956268</v>
      </c>
    </row>
    <row r="95" spans="2:15" x14ac:dyDescent="0.25">
      <c r="B95" s="7">
        <v>25.28</v>
      </c>
      <c r="J95" s="7">
        <v>22.15</v>
      </c>
      <c r="K95">
        <v>1</v>
      </c>
      <c r="L95">
        <f t="shared" si="4"/>
        <v>2E-3</v>
      </c>
      <c r="M95">
        <f t="shared" si="7"/>
        <v>0.18200000000000013</v>
      </c>
      <c r="N95">
        <f t="shared" si="5"/>
        <v>0.42841530054644805</v>
      </c>
      <c r="O95">
        <f t="shared" si="6"/>
        <v>0.24641530054644792</v>
      </c>
    </row>
    <row r="96" spans="2:15" x14ac:dyDescent="0.25">
      <c r="B96" s="7">
        <v>24.77</v>
      </c>
      <c r="J96" s="7">
        <v>22.16</v>
      </c>
      <c r="K96">
        <v>1</v>
      </c>
      <c r="L96">
        <f t="shared" si="4"/>
        <v>2E-3</v>
      </c>
      <c r="M96">
        <f t="shared" si="7"/>
        <v>0.18400000000000014</v>
      </c>
      <c r="N96">
        <f t="shared" si="5"/>
        <v>0.42896174863387981</v>
      </c>
      <c r="O96">
        <f t="shared" si="6"/>
        <v>0.24496174863387968</v>
      </c>
    </row>
    <row r="97" spans="2:15" x14ac:dyDescent="0.25">
      <c r="B97" s="7">
        <v>22.28</v>
      </c>
      <c r="J97" s="7">
        <v>22.2</v>
      </c>
      <c r="K97">
        <v>1</v>
      </c>
      <c r="L97">
        <f t="shared" si="4"/>
        <v>2E-3</v>
      </c>
      <c r="M97">
        <f t="shared" si="7"/>
        <v>0.18600000000000014</v>
      </c>
      <c r="N97">
        <f t="shared" si="5"/>
        <v>0.43114754098360658</v>
      </c>
      <c r="O97">
        <f t="shared" si="6"/>
        <v>0.24514754098360644</v>
      </c>
    </row>
    <row r="98" spans="2:15" x14ac:dyDescent="0.25">
      <c r="B98" s="7">
        <v>24.81</v>
      </c>
      <c r="J98" s="7">
        <v>22.21</v>
      </c>
      <c r="K98">
        <v>1</v>
      </c>
      <c r="L98">
        <f t="shared" si="4"/>
        <v>2E-3</v>
      </c>
      <c r="M98">
        <f t="shared" si="7"/>
        <v>0.18800000000000014</v>
      </c>
      <c r="N98">
        <f t="shared" si="5"/>
        <v>0.43169398907103834</v>
      </c>
      <c r="O98">
        <f t="shared" si="6"/>
        <v>0.2436939890710382</v>
      </c>
    </row>
    <row r="99" spans="2:15" x14ac:dyDescent="0.25">
      <c r="B99" s="7">
        <v>29.33</v>
      </c>
      <c r="J99" s="7">
        <v>22.23</v>
      </c>
      <c r="K99">
        <v>1</v>
      </c>
      <c r="L99">
        <f t="shared" si="4"/>
        <v>2E-3</v>
      </c>
      <c r="M99">
        <f t="shared" si="7"/>
        <v>0.19000000000000014</v>
      </c>
      <c r="N99">
        <f t="shared" si="5"/>
        <v>0.4327868852459017</v>
      </c>
      <c r="O99">
        <f t="shared" si="6"/>
        <v>0.24278688524590156</v>
      </c>
    </row>
    <row r="100" spans="2:15" x14ac:dyDescent="0.25">
      <c r="B100" s="7">
        <v>22.87</v>
      </c>
      <c r="J100" s="7">
        <v>22.25</v>
      </c>
      <c r="K100">
        <v>1</v>
      </c>
      <c r="L100">
        <f t="shared" si="4"/>
        <v>2E-3</v>
      </c>
      <c r="M100">
        <f t="shared" si="7"/>
        <v>0.19200000000000014</v>
      </c>
      <c r="N100">
        <f t="shared" si="5"/>
        <v>0.43387978142076505</v>
      </c>
      <c r="O100">
        <f t="shared" si="6"/>
        <v>0.24187978142076491</v>
      </c>
    </row>
    <row r="101" spans="2:15" x14ac:dyDescent="0.25">
      <c r="B101" s="7">
        <v>28.33</v>
      </c>
      <c r="J101" s="7">
        <v>22.26</v>
      </c>
      <c r="K101">
        <v>1</v>
      </c>
      <c r="L101">
        <f t="shared" si="4"/>
        <v>2E-3</v>
      </c>
      <c r="M101">
        <f t="shared" si="7"/>
        <v>0.19400000000000014</v>
      </c>
      <c r="N101">
        <f t="shared" si="5"/>
        <v>0.43442622950819687</v>
      </c>
      <c r="O101">
        <f t="shared" si="6"/>
        <v>0.24042622950819673</v>
      </c>
    </row>
    <row r="102" spans="2:15" x14ac:dyDescent="0.25">
      <c r="B102" s="7">
        <v>20.7</v>
      </c>
      <c r="J102" s="7">
        <v>22.27</v>
      </c>
      <c r="K102">
        <v>1</v>
      </c>
      <c r="L102">
        <f t="shared" si="4"/>
        <v>2E-3</v>
      </c>
      <c r="M102">
        <f t="shared" si="7"/>
        <v>0.19600000000000015</v>
      </c>
      <c r="N102">
        <f t="shared" si="5"/>
        <v>0.43497267759562841</v>
      </c>
      <c r="O102">
        <f t="shared" si="6"/>
        <v>0.23897267759562826</v>
      </c>
    </row>
    <row r="103" spans="2:15" x14ac:dyDescent="0.25">
      <c r="B103" s="7">
        <v>23.22</v>
      </c>
      <c r="J103" s="7">
        <v>22.28</v>
      </c>
      <c r="K103">
        <v>1</v>
      </c>
      <c r="L103">
        <f t="shared" si="4"/>
        <v>2E-3</v>
      </c>
      <c r="M103">
        <f t="shared" si="7"/>
        <v>0.19800000000000015</v>
      </c>
      <c r="N103">
        <f t="shared" si="5"/>
        <v>0.43551912568306023</v>
      </c>
      <c r="O103">
        <f t="shared" si="6"/>
        <v>0.23751912568306008</v>
      </c>
    </row>
    <row r="104" spans="2:15" x14ac:dyDescent="0.25">
      <c r="B104" s="7">
        <v>23.91</v>
      </c>
      <c r="J104" s="7">
        <v>22.28</v>
      </c>
      <c r="K104">
        <v>1</v>
      </c>
      <c r="L104">
        <f t="shared" si="4"/>
        <v>2E-3</v>
      </c>
      <c r="M104">
        <f t="shared" si="7"/>
        <v>0.20000000000000015</v>
      </c>
      <c r="N104">
        <f t="shared" si="5"/>
        <v>0.43551912568306023</v>
      </c>
      <c r="O104">
        <f t="shared" si="6"/>
        <v>0.23551912568306008</v>
      </c>
    </row>
    <row r="105" spans="2:15" x14ac:dyDescent="0.25">
      <c r="B105" s="7">
        <v>20.41</v>
      </c>
      <c r="J105" s="7">
        <v>22.31</v>
      </c>
      <c r="K105">
        <v>1</v>
      </c>
      <c r="L105">
        <f t="shared" si="4"/>
        <v>2E-3</v>
      </c>
      <c r="M105">
        <f t="shared" si="7"/>
        <v>0.20200000000000015</v>
      </c>
      <c r="N105">
        <f t="shared" si="5"/>
        <v>0.43715846994535518</v>
      </c>
      <c r="O105">
        <f t="shared" si="6"/>
        <v>0.23515846994535503</v>
      </c>
    </row>
    <row r="106" spans="2:15" x14ac:dyDescent="0.25">
      <c r="B106" s="7">
        <v>25.8</v>
      </c>
      <c r="J106" s="7">
        <v>22.31</v>
      </c>
      <c r="K106">
        <v>1</v>
      </c>
      <c r="L106">
        <f t="shared" si="4"/>
        <v>2E-3</v>
      </c>
      <c r="M106">
        <f t="shared" si="7"/>
        <v>0.20400000000000015</v>
      </c>
      <c r="N106">
        <f t="shared" si="5"/>
        <v>0.43715846994535518</v>
      </c>
      <c r="O106">
        <f t="shared" si="6"/>
        <v>0.23315846994535502</v>
      </c>
    </row>
    <row r="107" spans="2:15" x14ac:dyDescent="0.25">
      <c r="B107" s="7">
        <v>31.45</v>
      </c>
      <c r="J107" s="7">
        <v>22.4</v>
      </c>
      <c r="K107">
        <v>1</v>
      </c>
      <c r="L107">
        <f t="shared" si="4"/>
        <v>2E-3</v>
      </c>
      <c r="M107">
        <f t="shared" si="7"/>
        <v>0.20600000000000016</v>
      </c>
      <c r="N107">
        <f t="shared" si="5"/>
        <v>0.44207650273224042</v>
      </c>
      <c r="O107">
        <f t="shared" si="6"/>
        <v>0.23607650273224026</v>
      </c>
    </row>
    <row r="108" spans="2:15" x14ac:dyDescent="0.25">
      <c r="B108" s="7">
        <v>24.2</v>
      </c>
      <c r="J108" s="7">
        <v>22.45</v>
      </c>
      <c r="K108">
        <v>1</v>
      </c>
      <c r="L108">
        <f t="shared" si="4"/>
        <v>2E-3</v>
      </c>
      <c r="M108">
        <f t="shared" si="7"/>
        <v>0.20800000000000016</v>
      </c>
      <c r="N108">
        <f t="shared" si="5"/>
        <v>0.44480874316939889</v>
      </c>
      <c r="O108">
        <f t="shared" si="6"/>
        <v>0.23680874316939873</v>
      </c>
    </row>
    <row r="109" spans="2:15" x14ac:dyDescent="0.25">
      <c r="B109" s="7">
        <v>23.66</v>
      </c>
      <c r="J109" s="7">
        <v>22.45</v>
      </c>
      <c r="K109">
        <v>1</v>
      </c>
      <c r="L109">
        <f t="shared" si="4"/>
        <v>2E-3</v>
      </c>
      <c r="M109">
        <f t="shared" si="7"/>
        <v>0.21000000000000016</v>
      </c>
      <c r="N109">
        <f t="shared" si="5"/>
        <v>0.44480874316939889</v>
      </c>
      <c r="O109">
        <f t="shared" si="6"/>
        <v>0.23480874316939873</v>
      </c>
    </row>
    <row r="110" spans="2:15" x14ac:dyDescent="0.25">
      <c r="B110" s="7">
        <v>21.61</v>
      </c>
      <c r="J110" s="7">
        <v>22.46</v>
      </c>
      <c r="K110">
        <v>1</v>
      </c>
      <c r="L110">
        <f t="shared" si="4"/>
        <v>2E-3</v>
      </c>
      <c r="M110">
        <f t="shared" si="7"/>
        <v>0.21200000000000016</v>
      </c>
      <c r="N110">
        <f t="shared" si="5"/>
        <v>0.44535519125683071</v>
      </c>
      <c r="O110">
        <f t="shared" si="6"/>
        <v>0.23335519125683055</v>
      </c>
    </row>
    <row r="111" spans="2:15" x14ac:dyDescent="0.25">
      <c r="B111" s="7">
        <v>21.75</v>
      </c>
      <c r="J111" s="7">
        <v>22.46</v>
      </c>
      <c r="K111">
        <v>1</v>
      </c>
      <c r="L111">
        <f t="shared" si="4"/>
        <v>2E-3</v>
      </c>
      <c r="M111">
        <f t="shared" si="7"/>
        <v>0.21400000000000016</v>
      </c>
      <c r="N111">
        <f t="shared" si="5"/>
        <v>0.44535519125683071</v>
      </c>
      <c r="O111">
        <f t="shared" si="6"/>
        <v>0.23135519125683054</v>
      </c>
    </row>
    <row r="112" spans="2:15" x14ac:dyDescent="0.25">
      <c r="B112" s="7">
        <v>26.65</v>
      </c>
      <c r="J112" s="7">
        <v>22.47</v>
      </c>
      <c r="K112">
        <v>1</v>
      </c>
      <c r="L112">
        <f t="shared" si="4"/>
        <v>2E-3</v>
      </c>
      <c r="M112">
        <f t="shared" si="7"/>
        <v>0.21600000000000016</v>
      </c>
      <c r="N112">
        <f t="shared" si="5"/>
        <v>0.4459016393442623</v>
      </c>
      <c r="O112">
        <f t="shared" si="6"/>
        <v>0.22990163934426214</v>
      </c>
    </row>
    <row r="113" spans="2:15" x14ac:dyDescent="0.25">
      <c r="B113" s="7">
        <v>22.28</v>
      </c>
      <c r="J113" s="7">
        <v>22.48</v>
      </c>
      <c r="K113">
        <v>1</v>
      </c>
      <c r="L113">
        <f t="shared" si="4"/>
        <v>2E-3</v>
      </c>
      <c r="M113">
        <f t="shared" si="7"/>
        <v>0.21800000000000017</v>
      </c>
      <c r="N113">
        <f t="shared" si="5"/>
        <v>0.44644808743169406</v>
      </c>
      <c r="O113">
        <f t="shared" si="6"/>
        <v>0.2284480874316939</v>
      </c>
    </row>
    <row r="114" spans="2:15" x14ac:dyDescent="0.25">
      <c r="B114" s="7">
        <v>27.21</v>
      </c>
      <c r="J114" s="7">
        <v>22.49</v>
      </c>
      <c r="K114">
        <v>1</v>
      </c>
      <c r="L114">
        <f t="shared" si="4"/>
        <v>2E-3</v>
      </c>
      <c r="M114">
        <f t="shared" si="7"/>
        <v>0.22000000000000017</v>
      </c>
      <c r="N114">
        <f t="shared" si="5"/>
        <v>0.44699453551912566</v>
      </c>
      <c r="O114">
        <f t="shared" si="6"/>
        <v>0.22699453551912549</v>
      </c>
    </row>
    <row r="115" spans="2:15" x14ac:dyDescent="0.25">
      <c r="B115" s="7">
        <v>27.83</v>
      </c>
      <c r="J115" s="7">
        <v>22.49</v>
      </c>
      <c r="K115">
        <v>1</v>
      </c>
      <c r="L115">
        <f t="shared" si="4"/>
        <v>2E-3</v>
      </c>
      <c r="M115">
        <f t="shared" si="7"/>
        <v>0.22200000000000017</v>
      </c>
      <c r="N115">
        <f t="shared" si="5"/>
        <v>0.44699453551912566</v>
      </c>
      <c r="O115">
        <f t="shared" si="6"/>
        <v>0.22499453551912549</v>
      </c>
    </row>
    <row r="116" spans="2:15" x14ac:dyDescent="0.25">
      <c r="B116" s="7">
        <v>22.27</v>
      </c>
      <c r="J116" s="7">
        <v>22.51</v>
      </c>
      <c r="K116">
        <v>1</v>
      </c>
      <c r="L116">
        <f t="shared" si="4"/>
        <v>2E-3</v>
      </c>
      <c r="M116">
        <f t="shared" si="7"/>
        <v>0.22400000000000017</v>
      </c>
      <c r="N116">
        <f t="shared" si="5"/>
        <v>0.44808743169398918</v>
      </c>
      <c r="O116">
        <f t="shared" si="6"/>
        <v>0.22408743169398901</v>
      </c>
    </row>
    <row r="117" spans="2:15" x14ac:dyDescent="0.25">
      <c r="B117" s="7">
        <v>20.58</v>
      </c>
      <c r="J117" s="7">
        <v>22.57</v>
      </c>
      <c r="K117">
        <v>1</v>
      </c>
      <c r="L117">
        <f t="shared" si="4"/>
        <v>2E-3</v>
      </c>
      <c r="M117">
        <f t="shared" si="7"/>
        <v>0.22600000000000017</v>
      </c>
      <c r="N117">
        <f t="shared" si="5"/>
        <v>0.4513661202185793</v>
      </c>
      <c r="O117">
        <f t="shared" si="6"/>
        <v>0.22536612021857913</v>
      </c>
    </row>
    <row r="118" spans="2:15" x14ac:dyDescent="0.25">
      <c r="B118" s="7">
        <v>24.55</v>
      </c>
      <c r="J118" s="7">
        <v>22.59</v>
      </c>
      <c r="K118">
        <v>1</v>
      </c>
      <c r="L118">
        <f t="shared" si="4"/>
        <v>2E-3</v>
      </c>
      <c r="M118">
        <f t="shared" si="7"/>
        <v>0.22800000000000017</v>
      </c>
      <c r="N118">
        <f t="shared" si="5"/>
        <v>0.45245901639344266</v>
      </c>
      <c r="O118">
        <f t="shared" si="6"/>
        <v>0.22445901639344248</v>
      </c>
    </row>
    <row r="119" spans="2:15" x14ac:dyDescent="0.25">
      <c r="B119" s="7">
        <v>19.93</v>
      </c>
      <c r="J119" s="7">
        <v>22.6</v>
      </c>
      <c r="K119">
        <v>1</v>
      </c>
      <c r="L119">
        <f t="shared" si="4"/>
        <v>2E-3</v>
      </c>
      <c r="M119">
        <f t="shared" si="7"/>
        <v>0.23000000000000018</v>
      </c>
      <c r="N119">
        <f t="shared" si="5"/>
        <v>0.45300546448087442</v>
      </c>
      <c r="O119">
        <f t="shared" si="6"/>
        <v>0.22300546448087424</v>
      </c>
    </row>
    <row r="120" spans="2:15" x14ac:dyDescent="0.25">
      <c r="B120" s="7">
        <v>21.04</v>
      </c>
      <c r="J120" s="7">
        <v>22.61</v>
      </c>
      <c r="K120">
        <v>1</v>
      </c>
      <c r="L120">
        <f t="shared" si="4"/>
        <v>2E-3</v>
      </c>
      <c r="M120">
        <f t="shared" si="7"/>
        <v>0.23200000000000018</v>
      </c>
      <c r="N120">
        <f t="shared" si="5"/>
        <v>0.45355191256830601</v>
      </c>
      <c r="O120">
        <f t="shared" si="6"/>
        <v>0.22155191256830584</v>
      </c>
    </row>
    <row r="121" spans="2:15" x14ac:dyDescent="0.25">
      <c r="B121" s="7">
        <v>27.85</v>
      </c>
      <c r="J121" s="7">
        <v>22.68</v>
      </c>
      <c r="K121">
        <v>1</v>
      </c>
      <c r="L121">
        <f t="shared" si="4"/>
        <v>2E-3</v>
      </c>
      <c r="M121">
        <f t="shared" si="7"/>
        <v>0.23400000000000018</v>
      </c>
      <c r="N121">
        <f t="shared" si="5"/>
        <v>0.4573770491803279</v>
      </c>
      <c r="O121">
        <f t="shared" si="6"/>
        <v>0.22337704918032772</v>
      </c>
    </row>
    <row r="122" spans="2:15" x14ac:dyDescent="0.25">
      <c r="B122" s="7">
        <v>20.87</v>
      </c>
      <c r="J122" s="7">
        <v>22.69</v>
      </c>
      <c r="K122">
        <v>1</v>
      </c>
      <c r="L122">
        <f t="shared" si="4"/>
        <v>2E-3</v>
      </c>
      <c r="M122">
        <f t="shared" si="7"/>
        <v>0.23600000000000018</v>
      </c>
      <c r="N122">
        <f t="shared" si="5"/>
        <v>0.45792349726775966</v>
      </c>
      <c r="O122">
        <f t="shared" si="6"/>
        <v>0.22192349726775948</v>
      </c>
    </row>
    <row r="123" spans="2:15" x14ac:dyDescent="0.25">
      <c r="B123" s="7">
        <v>21.62</v>
      </c>
      <c r="J123" s="7">
        <v>22.69</v>
      </c>
      <c r="K123">
        <v>1</v>
      </c>
      <c r="L123">
        <f t="shared" si="4"/>
        <v>2E-3</v>
      </c>
      <c r="M123">
        <f t="shared" si="7"/>
        <v>0.23800000000000018</v>
      </c>
      <c r="N123">
        <f t="shared" si="5"/>
        <v>0.45792349726775966</v>
      </c>
      <c r="O123">
        <f t="shared" si="6"/>
        <v>0.21992349726775948</v>
      </c>
    </row>
    <row r="124" spans="2:15" x14ac:dyDescent="0.25">
      <c r="B124" s="7">
        <v>24.75</v>
      </c>
      <c r="J124" s="7">
        <v>22.71</v>
      </c>
      <c r="K124">
        <v>1</v>
      </c>
      <c r="L124">
        <f t="shared" si="4"/>
        <v>2E-3</v>
      </c>
      <c r="M124">
        <f t="shared" si="7"/>
        <v>0.24000000000000019</v>
      </c>
      <c r="N124">
        <f t="shared" si="5"/>
        <v>0.45901639344262302</v>
      </c>
      <c r="O124">
        <f t="shared" si="6"/>
        <v>0.21901639344262283</v>
      </c>
    </row>
    <row r="125" spans="2:15" x14ac:dyDescent="0.25">
      <c r="B125" s="7">
        <v>27.6</v>
      </c>
      <c r="J125" s="7">
        <v>22.71</v>
      </c>
      <c r="K125">
        <v>1</v>
      </c>
      <c r="L125">
        <f t="shared" si="4"/>
        <v>2E-3</v>
      </c>
      <c r="M125">
        <f t="shared" si="7"/>
        <v>0.24200000000000019</v>
      </c>
      <c r="N125">
        <f t="shared" si="5"/>
        <v>0.45901639344262302</v>
      </c>
      <c r="O125">
        <f t="shared" si="6"/>
        <v>0.21701639344262283</v>
      </c>
    </row>
    <row r="126" spans="2:15" x14ac:dyDescent="0.25">
      <c r="B126" s="7">
        <v>29.25</v>
      </c>
      <c r="J126" s="7">
        <v>22.73</v>
      </c>
      <c r="K126">
        <v>1</v>
      </c>
      <c r="L126">
        <f t="shared" si="4"/>
        <v>2E-3</v>
      </c>
      <c r="M126">
        <f t="shared" si="7"/>
        <v>0.24400000000000019</v>
      </c>
      <c r="N126">
        <f t="shared" si="5"/>
        <v>0.46010928961748643</v>
      </c>
      <c r="O126">
        <f t="shared" si="6"/>
        <v>0.21610928961748624</v>
      </c>
    </row>
    <row r="127" spans="2:15" x14ac:dyDescent="0.25">
      <c r="B127" s="7">
        <v>21.34</v>
      </c>
      <c r="J127" s="7">
        <v>22.73</v>
      </c>
      <c r="K127">
        <v>1</v>
      </c>
      <c r="L127">
        <f t="shared" si="4"/>
        <v>2E-3</v>
      </c>
      <c r="M127">
        <f t="shared" si="7"/>
        <v>0.24600000000000019</v>
      </c>
      <c r="N127">
        <f t="shared" si="5"/>
        <v>0.46010928961748643</v>
      </c>
      <c r="O127">
        <f t="shared" si="6"/>
        <v>0.21410928961748624</v>
      </c>
    </row>
    <row r="128" spans="2:15" x14ac:dyDescent="0.25">
      <c r="B128" s="7">
        <v>25.93</v>
      </c>
      <c r="J128" s="7">
        <v>22.77</v>
      </c>
      <c r="K128">
        <v>1</v>
      </c>
      <c r="L128">
        <f t="shared" si="4"/>
        <v>2E-3</v>
      </c>
      <c r="M128">
        <f t="shared" si="7"/>
        <v>0.24800000000000019</v>
      </c>
      <c r="N128">
        <f t="shared" si="5"/>
        <v>0.46229508196721314</v>
      </c>
      <c r="O128">
        <f t="shared" si="6"/>
        <v>0.21429508196721295</v>
      </c>
    </row>
    <row r="129" spans="2:15" x14ac:dyDescent="0.25">
      <c r="B129" s="7">
        <v>23.45</v>
      </c>
      <c r="J129" s="7">
        <v>22.83</v>
      </c>
      <c r="K129">
        <v>1</v>
      </c>
      <c r="L129">
        <f t="shared" si="4"/>
        <v>2E-3</v>
      </c>
      <c r="M129">
        <f t="shared" si="7"/>
        <v>0.25000000000000017</v>
      </c>
      <c r="N129">
        <f t="shared" si="5"/>
        <v>0.46557377049180321</v>
      </c>
      <c r="O129">
        <f t="shared" si="6"/>
        <v>0.21557377049180304</v>
      </c>
    </row>
    <row r="130" spans="2:15" x14ac:dyDescent="0.25">
      <c r="B130" s="7">
        <v>27.22</v>
      </c>
      <c r="J130" s="7">
        <v>22.84</v>
      </c>
      <c r="K130">
        <v>1</v>
      </c>
      <c r="L130">
        <f t="shared" si="4"/>
        <v>2E-3</v>
      </c>
      <c r="M130">
        <f t="shared" si="7"/>
        <v>0.25200000000000017</v>
      </c>
      <c r="N130">
        <f t="shared" si="5"/>
        <v>0.46612021857923502</v>
      </c>
      <c r="O130">
        <f t="shared" si="6"/>
        <v>0.21412021857923486</v>
      </c>
    </row>
    <row r="131" spans="2:15" x14ac:dyDescent="0.25">
      <c r="B131" s="7">
        <v>28.82</v>
      </c>
      <c r="J131" s="7">
        <v>22.87</v>
      </c>
      <c r="K131">
        <v>1</v>
      </c>
      <c r="L131">
        <f t="shared" si="4"/>
        <v>2E-3</v>
      </c>
      <c r="M131">
        <f t="shared" si="7"/>
        <v>0.25400000000000017</v>
      </c>
      <c r="N131">
        <f t="shared" si="5"/>
        <v>0.46775956284153014</v>
      </c>
      <c r="O131">
        <f t="shared" si="6"/>
        <v>0.21375956284152997</v>
      </c>
    </row>
    <row r="132" spans="2:15" x14ac:dyDescent="0.25">
      <c r="B132" s="7">
        <v>23.01</v>
      </c>
      <c r="J132" s="7">
        <v>22.88</v>
      </c>
      <c r="K132">
        <v>1</v>
      </c>
      <c r="L132">
        <f t="shared" si="4"/>
        <v>2E-3</v>
      </c>
      <c r="M132">
        <f t="shared" si="7"/>
        <v>0.25600000000000017</v>
      </c>
      <c r="N132">
        <f t="shared" si="5"/>
        <v>0.46830601092896174</v>
      </c>
      <c r="O132">
        <f t="shared" si="6"/>
        <v>0.21230601092896156</v>
      </c>
    </row>
    <row r="133" spans="2:15" x14ac:dyDescent="0.25">
      <c r="B133" s="7">
        <v>24.8</v>
      </c>
      <c r="J133" s="7">
        <v>22.93</v>
      </c>
      <c r="K133">
        <v>1</v>
      </c>
      <c r="L133">
        <f t="shared" si="4"/>
        <v>2E-3</v>
      </c>
      <c r="M133">
        <f t="shared" si="7"/>
        <v>0.25800000000000017</v>
      </c>
      <c r="N133">
        <f t="shared" si="5"/>
        <v>0.47103825136612026</v>
      </c>
      <c r="O133">
        <f t="shared" si="6"/>
        <v>0.21303825136612009</v>
      </c>
    </row>
    <row r="134" spans="2:15" x14ac:dyDescent="0.25">
      <c r="B134" s="7">
        <v>29.73</v>
      </c>
      <c r="J134" s="7">
        <v>22.94</v>
      </c>
      <c r="K134">
        <v>1</v>
      </c>
      <c r="L134">
        <f t="shared" ref="L134:L197" si="8">K134/$E$20</f>
        <v>2E-3</v>
      </c>
      <c r="M134">
        <f t="shared" si="7"/>
        <v>0.26000000000000018</v>
      </c>
      <c r="N134">
        <f t="shared" ref="N134:N197" si="9">(J134-$H$7)/($H$8-$H$7)</f>
        <v>0.47158469945355203</v>
      </c>
      <c r="O134">
        <f t="shared" ref="O134:O197" si="10">ABS(M134-N134)</f>
        <v>0.21158469945355185</v>
      </c>
    </row>
    <row r="135" spans="2:15" x14ac:dyDescent="0.25">
      <c r="B135" s="7">
        <v>26.56</v>
      </c>
      <c r="J135" s="7">
        <v>22.95</v>
      </c>
      <c r="K135">
        <v>1</v>
      </c>
      <c r="L135">
        <f t="shared" si="8"/>
        <v>2E-3</v>
      </c>
      <c r="M135">
        <f t="shared" ref="M135:M198" si="11">M134+L135</f>
        <v>0.26200000000000018</v>
      </c>
      <c r="N135">
        <f t="shared" si="9"/>
        <v>0.47213114754098362</v>
      </c>
      <c r="O135">
        <f t="shared" si="10"/>
        <v>0.21013114754098344</v>
      </c>
    </row>
    <row r="136" spans="2:15" x14ac:dyDescent="0.25">
      <c r="B136" s="7">
        <v>27.43</v>
      </c>
      <c r="J136" s="7">
        <v>22.98</v>
      </c>
      <c r="K136">
        <v>1</v>
      </c>
      <c r="L136">
        <f t="shared" si="8"/>
        <v>2E-3</v>
      </c>
      <c r="M136">
        <f t="shared" si="11"/>
        <v>0.26400000000000018</v>
      </c>
      <c r="N136">
        <f t="shared" si="9"/>
        <v>0.47377049180327874</v>
      </c>
      <c r="O136">
        <f t="shared" si="10"/>
        <v>0.20977049180327856</v>
      </c>
    </row>
    <row r="137" spans="2:15" x14ac:dyDescent="0.25">
      <c r="B137" s="7">
        <v>23.98</v>
      </c>
      <c r="J137" s="7">
        <v>23.01</v>
      </c>
      <c r="K137">
        <v>1</v>
      </c>
      <c r="L137">
        <f t="shared" si="8"/>
        <v>2E-3</v>
      </c>
      <c r="M137">
        <f t="shared" si="11"/>
        <v>0.26600000000000018</v>
      </c>
      <c r="N137">
        <f t="shared" si="9"/>
        <v>0.47540983606557391</v>
      </c>
      <c r="O137">
        <f t="shared" si="10"/>
        <v>0.20940983606557373</v>
      </c>
    </row>
    <row r="138" spans="2:15" x14ac:dyDescent="0.25">
      <c r="B138" s="7">
        <v>27.23</v>
      </c>
      <c r="J138" s="7">
        <v>23.04</v>
      </c>
      <c r="K138">
        <v>1</v>
      </c>
      <c r="L138">
        <f t="shared" si="8"/>
        <v>2E-3</v>
      </c>
      <c r="M138">
        <f t="shared" si="11"/>
        <v>0.26800000000000018</v>
      </c>
      <c r="N138">
        <f t="shared" si="9"/>
        <v>0.47704918032786886</v>
      </c>
      <c r="O138">
        <f t="shared" si="10"/>
        <v>0.20904918032786868</v>
      </c>
    </row>
    <row r="139" spans="2:15" x14ac:dyDescent="0.25">
      <c r="B139" s="7">
        <v>25.62</v>
      </c>
      <c r="J139" s="7">
        <v>23.07</v>
      </c>
      <c r="K139">
        <v>1</v>
      </c>
      <c r="L139">
        <f t="shared" si="8"/>
        <v>2E-3</v>
      </c>
      <c r="M139">
        <f t="shared" si="11"/>
        <v>0.27000000000000018</v>
      </c>
      <c r="N139">
        <f t="shared" si="9"/>
        <v>0.47868852459016398</v>
      </c>
      <c r="O139">
        <f t="shared" si="10"/>
        <v>0.20868852459016379</v>
      </c>
    </row>
    <row r="140" spans="2:15" x14ac:dyDescent="0.25">
      <c r="B140" s="7">
        <v>23.74</v>
      </c>
      <c r="J140" s="7">
        <v>23.08</v>
      </c>
      <c r="K140">
        <v>1</v>
      </c>
      <c r="L140">
        <f t="shared" si="8"/>
        <v>2E-3</v>
      </c>
      <c r="M140">
        <f t="shared" si="11"/>
        <v>0.27200000000000019</v>
      </c>
      <c r="N140">
        <f t="shared" si="9"/>
        <v>0.47923497267759557</v>
      </c>
      <c r="O140">
        <f t="shared" si="10"/>
        <v>0.20723497267759539</v>
      </c>
    </row>
    <row r="141" spans="2:15" x14ac:dyDescent="0.25">
      <c r="B141" s="7">
        <v>22.93</v>
      </c>
      <c r="J141" s="7">
        <v>23.08</v>
      </c>
      <c r="K141">
        <v>1</v>
      </c>
      <c r="L141">
        <f t="shared" si="8"/>
        <v>2E-3</v>
      </c>
      <c r="M141">
        <f t="shared" si="11"/>
        <v>0.27400000000000019</v>
      </c>
      <c r="N141">
        <f t="shared" si="9"/>
        <v>0.47923497267759557</v>
      </c>
      <c r="O141">
        <f t="shared" si="10"/>
        <v>0.20523497267759538</v>
      </c>
    </row>
    <row r="142" spans="2:15" x14ac:dyDescent="0.25">
      <c r="B142" s="7">
        <v>23.2</v>
      </c>
      <c r="J142" s="7">
        <v>23.1</v>
      </c>
      <c r="K142">
        <v>1</v>
      </c>
      <c r="L142">
        <f t="shared" si="8"/>
        <v>2E-3</v>
      </c>
      <c r="M142">
        <f t="shared" si="11"/>
        <v>0.27600000000000019</v>
      </c>
      <c r="N142">
        <f t="shared" si="9"/>
        <v>0.48032786885245915</v>
      </c>
      <c r="O142">
        <f t="shared" si="10"/>
        <v>0.20432786885245896</v>
      </c>
    </row>
    <row r="143" spans="2:15" x14ac:dyDescent="0.25">
      <c r="B143" s="7">
        <v>25.69</v>
      </c>
      <c r="J143" s="7">
        <v>23.11</v>
      </c>
      <c r="K143">
        <v>1</v>
      </c>
      <c r="L143">
        <f t="shared" si="8"/>
        <v>2E-3</v>
      </c>
      <c r="M143">
        <f t="shared" si="11"/>
        <v>0.27800000000000019</v>
      </c>
      <c r="N143">
        <f t="shared" si="9"/>
        <v>0.48087431693989074</v>
      </c>
      <c r="O143">
        <f t="shared" si="10"/>
        <v>0.20287431693989055</v>
      </c>
    </row>
    <row r="144" spans="2:15" x14ac:dyDescent="0.25">
      <c r="B144" s="7">
        <v>30.13</v>
      </c>
      <c r="J144" s="7">
        <v>23.12</v>
      </c>
      <c r="K144">
        <v>1</v>
      </c>
      <c r="L144">
        <f t="shared" si="8"/>
        <v>2E-3</v>
      </c>
      <c r="M144">
        <f t="shared" si="11"/>
        <v>0.28000000000000019</v>
      </c>
      <c r="N144">
        <f t="shared" si="9"/>
        <v>0.48142076502732251</v>
      </c>
      <c r="O144">
        <f t="shared" si="10"/>
        <v>0.20142076502732231</v>
      </c>
    </row>
    <row r="145" spans="2:15" x14ac:dyDescent="0.25">
      <c r="B145" s="7">
        <v>27.92</v>
      </c>
      <c r="J145" s="7">
        <v>23.14</v>
      </c>
      <c r="K145">
        <v>1</v>
      </c>
      <c r="L145">
        <f t="shared" si="8"/>
        <v>2E-3</v>
      </c>
      <c r="M145">
        <f t="shared" si="11"/>
        <v>0.28200000000000019</v>
      </c>
      <c r="N145">
        <f t="shared" si="9"/>
        <v>0.48251366120218586</v>
      </c>
      <c r="O145">
        <f t="shared" si="10"/>
        <v>0.20051366120218567</v>
      </c>
    </row>
    <row r="146" spans="2:15" x14ac:dyDescent="0.25">
      <c r="B146" s="7">
        <v>18.38</v>
      </c>
      <c r="J146" s="7">
        <v>23.17</v>
      </c>
      <c r="K146">
        <v>1</v>
      </c>
      <c r="L146">
        <f t="shared" si="8"/>
        <v>2E-3</v>
      </c>
      <c r="M146">
        <f t="shared" si="11"/>
        <v>0.2840000000000002</v>
      </c>
      <c r="N146">
        <f t="shared" si="9"/>
        <v>0.48415300546448103</v>
      </c>
      <c r="O146">
        <f t="shared" si="10"/>
        <v>0.20015300546448084</v>
      </c>
    </row>
    <row r="147" spans="2:15" x14ac:dyDescent="0.25">
      <c r="B147" s="7">
        <v>23.52</v>
      </c>
      <c r="J147" s="7">
        <v>23.18</v>
      </c>
      <c r="K147">
        <v>1</v>
      </c>
      <c r="L147">
        <f t="shared" si="8"/>
        <v>2E-3</v>
      </c>
      <c r="M147">
        <f t="shared" si="11"/>
        <v>0.2860000000000002</v>
      </c>
      <c r="N147">
        <f t="shared" si="9"/>
        <v>0.48469945355191257</v>
      </c>
      <c r="O147">
        <f t="shared" si="10"/>
        <v>0.19869945355191238</v>
      </c>
    </row>
    <row r="148" spans="2:15" x14ac:dyDescent="0.25">
      <c r="B148" s="7">
        <v>25.73</v>
      </c>
      <c r="J148" s="7">
        <v>23.19</v>
      </c>
      <c r="K148">
        <v>1</v>
      </c>
      <c r="L148">
        <f t="shared" si="8"/>
        <v>2E-3</v>
      </c>
      <c r="M148">
        <f t="shared" si="11"/>
        <v>0.2880000000000002</v>
      </c>
      <c r="N148">
        <f t="shared" si="9"/>
        <v>0.48524590163934439</v>
      </c>
      <c r="O148">
        <f t="shared" si="10"/>
        <v>0.19724590163934419</v>
      </c>
    </row>
    <row r="149" spans="2:15" x14ac:dyDescent="0.25">
      <c r="B149" s="7">
        <v>26.45</v>
      </c>
      <c r="J149" s="7">
        <v>23.2</v>
      </c>
      <c r="K149">
        <v>1</v>
      </c>
      <c r="L149">
        <f t="shared" si="8"/>
        <v>2E-3</v>
      </c>
      <c r="M149">
        <f t="shared" si="11"/>
        <v>0.2900000000000002</v>
      </c>
      <c r="N149">
        <f t="shared" si="9"/>
        <v>0.48579234972677598</v>
      </c>
      <c r="O149">
        <f t="shared" si="10"/>
        <v>0.19579234972677578</v>
      </c>
    </row>
    <row r="150" spans="2:15" x14ac:dyDescent="0.25">
      <c r="B150" s="7">
        <v>26.2</v>
      </c>
      <c r="J150" s="7">
        <v>23.22</v>
      </c>
      <c r="K150">
        <v>1</v>
      </c>
      <c r="L150">
        <f t="shared" si="8"/>
        <v>2E-3</v>
      </c>
      <c r="M150">
        <f t="shared" si="11"/>
        <v>0.2920000000000002</v>
      </c>
      <c r="N150">
        <f t="shared" si="9"/>
        <v>0.48688524590163934</v>
      </c>
      <c r="O150">
        <f t="shared" si="10"/>
        <v>0.19488524590163914</v>
      </c>
    </row>
    <row r="151" spans="2:15" x14ac:dyDescent="0.25">
      <c r="B151" s="7">
        <v>23.38</v>
      </c>
      <c r="J151" s="7">
        <v>23.22</v>
      </c>
      <c r="K151">
        <v>1</v>
      </c>
      <c r="L151">
        <f t="shared" si="8"/>
        <v>2E-3</v>
      </c>
      <c r="M151">
        <f t="shared" si="11"/>
        <v>0.29400000000000021</v>
      </c>
      <c r="N151">
        <f t="shared" si="9"/>
        <v>0.48688524590163934</v>
      </c>
      <c r="O151">
        <f t="shared" si="10"/>
        <v>0.19288524590163914</v>
      </c>
    </row>
    <row r="152" spans="2:15" x14ac:dyDescent="0.25">
      <c r="B152" s="7">
        <v>24.47</v>
      </c>
      <c r="J152" s="7">
        <v>23.22</v>
      </c>
      <c r="K152">
        <v>1</v>
      </c>
      <c r="L152">
        <f t="shared" si="8"/>
        <v>2E-3</v>
      </c>
      <c r="M152">
        <f t="shared" si="11"/>
        <v>0.29600000000000021</v>
      </c>
      <c r="N152">
        <f t="shared" si="9"/>
        <v>0.48688524590163934</v>
      </c>
      <c r="O152">
        <f t="shared" si="10"/>
        <v>0.19088524590163913</v>
      </c>
    </row>
    <row r="153" spans="2:15" x14ac:dyDescent="0.25">
      <c r="B153" s="7">
        <v>23.19</v>
      </c>
      <c r="J153" s="7">
        <v>23.23</v>
      </c>
      <c r="K153">
        <v>1</v>
      </c>
      <c r="L153">
        <f t="shared" si="8"/>
        <v>2E-3</v>
      </c>
      <c r="M153">
        <f t="shared" si="11"/>
        <v>0.29800000000000021</v>
      </c>
      <c r="N153">
        <f t="shared" si="9"/>
        <v>0.4874316939890711</v>
      </c>
      <c r="O153">
        <f t="shared" si="10"/>
        <v>0.18943169398907089</v>
      </c>
    </row>
    <row r="154" spans="2:15" x14ac:dyDescent="0.25">
      <c r="B154" s="7">
        <v>23.29</v>
      </c>
      <c r="J154" s="7">
        <v>23.24</v>
      </c>
      <c r="K154">
        <v>1</v>
      </c>
      <c r="L154">
        <f t="shared" si="8"/>
        <v>2E-3</v>
      </c>
      <c r="M154">
        <f t="shared" si="11"/>
        <v>0.30000000000000021</v>
      </c>
      <c r="N154">
        <f t="shared" si="9"/>
        <v>0.4879781420765027</v>
      </c>
      <c r="O154">
        <f t="shared" si="10"/>
        <v>0.18797814207650249</v>
      </c>
    </row>
    <row r="155" spans="2:15" x14ac:dyDescent="0.25">
      <c r="B155" s="7">
        <v>23.08</v>
      </c>
      <c r="J155" s="7">
        <v>23.26</v>
      </c>
      <c r="K155">
        <v>1</v>
      </c>
      <c r="L155">
        <f t="shared" si="8"/>
        <v>2E-3</v>
      </c>
      <c r="M155">
        <f t="shared" si="11"/>
        <v>0.30200000000000021</v>
      </c>
      <c r="N155">
        <f t="shared" si="9"/>
        <v>0.48907103825136627</v>
      </c>
      <c r="O155">
        <f t="shared" si="10"/>
        <v>0.18707103825136606</v>
      </c>
    </row>
    <row r="156" spans="2:15" x14ac:dyDescent="0.25">
      <c r="B156" s="7">
        <v>28.75</v>
      </c>
      <c r="J156" s="7">
        <v>23.29</v>
      </c>
      <c r="K156">
        <v>1</v>
      </c>
      <c r="L156">
        <f t="shared" si="8"/>
        <v>2E-3</v>
      </c>
      <c r="M156">
        <f t="shared" si="11"/>
        <v>0.30400000000000021</v>
      </c>
      <c r="N156">
        <f t="shared" si="9"/>
        <v>0.49071038251366123</v>
      </c>
      <c r="O156">
        <f t="shared" si="10"/>
        <v>0.18671038251366101</v>
      </c>
    </row>
    <row r="157" spans="2:15" x14ac:dyDescent="0.25">
      <c r="B157" s="7">
        <v>18.27</v>
      </c>
      <c r="J157" s="7">
        <v>23.29</v>
      </c>
      <c r="K157">
        <v>1</v>
      </c>
      <c r="L157">
        <f t="shared" si="8"/>
        <v>2E-3</v>
      </c>
      <c r="M157">
        <f t="shared" si="11"/>
        <v>0.30600000000000022</v>
      </c>
      <c r="N157">
        <f t="shared" si="9"/>
        <v>0.49071038251366123</v>
      </c>
      <c r="O157">
        <f t="shared" si="10"/>
        <v>0.18471038251366101</v>
      </c>
    </row>
    <row r="158" spans="2:15" x14ac:dyDescent="0.25">
      <c r="B158" s="7">
        <v>31.45</v>
      </c>
      <c r="J158" s="7">
        <v>23.31</v>
      </c>
      <c r="K158">
        <v>1</v>
      </c>
      <c r="L158">
        <f t="shared" si="8"/>
        <v>2E-3</v>
      </c>
      <c r="M158">
        <f t="shared" si="11"/>
        <v>0.30800000000000022</v>
      </c>
      <c r="N158">
        <f t="shared" si="9"/>
        <v>0.49180327868852458</v>
      </c>
      <c r="O158">
        <f t="shared" si="10"/>
        <v>0.18380327868852436</v>
      </c>
    </row>
    <row r="159" spans="2:15" x14ac:dyDescent="0.25">
      <c r="B159" s="7">
        <v>24.74</v>
      </c>
      <c r="J159" s="7">
        <v>23.35</v>
      </c>
      <c r="K159">
        <v>1</v>
      </c>
      <c r="L159">
        <f t="shared" si="8"/>
        <v>2E-3</v>
      </c>
      <c r="M159">
        <f t="shared" si="11"/>
        <v>0.31000000000000022</v>
      </c>
      <c r="N159">
        <f t="shared" si="9"/>
        <v>0.49398907103825151</v>
      </c>
      <c r="O159">
        <f t="shared" si="10"/>
        <v>0.1839890710382513</v>
      </c>
    </row>
    <row r="160" spans="2:15" x14ac:dyDescent="0.25">
      <c r="B160" s="7">
        <v>22.51</v>
      </c>
      <c r="J160" s="7">
        <v>23.36</v>
      </c>
      <c r="K160">
        <v>1</v>
      </c>
      <c r="L160">
        <f t="shared" si="8"/>
        <v>2E-3</v>
      </c>
      <c r="M160">
        <f t="shared" si="11"/>
        <v>0.31200000000000022</v>
      </c>
      <c r="N160">
        <f t="shared" si="9"/>
        <v>0.49453551912568305</v>
      </c>
      <c r="O160">
        <f t="shared" si="10"/>
        <v>0.18253551912568283</v>
      </c>
    </row>
    <row r="161" spans="2:15" x14ac:dyDescent="0.25">
      <c r="B161" s="7">
        <v>27.94</v>
      </c>
      <c r="J161" s="7">
        <v>23.37</v>
      </c>
      <c r="K161">
        <v>1</v>
      </c>
      <c r="L161">
        <f t="shared" si="8"/>
        <v>2E-3</v>
      </c>
      <c r="M161">
        <f t="shared" si="11"/>
        <v>0.31400000000000022</v>
      </c>
      <c r="N161">
        <f t="shared" si="9"/>
        <v>0.49508196721311487</v>
      </c>
      <c r="O161">
        <f t="shared" si="10"/>
        <v>0.18108196721311465</v>
      </c>
    </row>
    <row r="162" spans="2:15" x14ac:dyDescent="0.25">
      <c r="B162" s="7">
        <v>26.87</v>
      </c>
      <c r="J162" s="7">
        <v>23.38</v>
      </c>
      <c r="K162">
        <v>1</v>
      </c>
      <c r="L162">
        <f t="shared" si="8"/>
        <v>2E-3</v>
      </c>
      <c r="M162">
        <f t="shared" si="11"/>
        <v>0.31600000000000023</v>
      </c>
      <c r="N162">
        <f t="shared" si="9"/>
        <v>0.49562841530054647</v>
      </c>
      <c r="O162">
        <f t="shared" si="10"/>
        <v>0.17962841530054624</v>
      </c>
    </row>
    <row r="163" spans="2:15" x14ac:dyDescent="0.25">
      <c r="B163" s="7">
        <v>21.81</v>
      </c>
      <c r="J163" s="7">
        <v>23.38</v>
      </c>
      <c r="K163">
        <v>1</v>
      </c>
      <c r="L163">
        <f t="shared" si="8"/>
        <v>2E-3</v>
      </c>
      <c r="M163">
        <f t="shared" si="11"/>
        <v>0.31800000000000023</v>
      </c>
      <c r="N163">
        <f t="shared" si="9"/>
        <v>0.49562841530054647</v>
      </c>
      <c r="O163">
        <f t="shared" si="10"/>
        <v>0.17762841530054624</v>
      </c>
    </row>
    <row r="164" spans="2:15" x14ac:dyDescent="0.25">
      <c r="B164" s="7">
        <v>25.95</v>
      </c>
      <c r="J164" s="7">
        <v>23.39</v>
      </c>
      <c r="K164">
        <v>1</v>
      </c>
      <c r="L164">
        <f t="shared" si="8"/>
        <v>2E-3</v>
      </c>
      <c r="M164">
        <f t="shared" si="11"/>
        <v>0.32000000000000023</v>
      </c>
      <c r="N164">
        <f t="shared" si="9"/>
        <v>0.49617486338797823</v>
      </c>
      <c r="O164">
        <f t="shared" si="10"/>
        <v>0.176174863387978</v>
      </c>
    </row>
    <row r="165" spans="2:15" x14ac:dyDescent="0.25">
      <c r="B165" s="7">
        <v>24.95</v>
      </c>
      <c r="J165" s="7">
        <v>23.39</v>
      </c>
      <c r="K165">
        <v>1</v>
      </c>
      <c r="L165">
        <f t="shared" si="8"/>
        <v>2E-3</v>
      </c>
      <c r="M165">
        <f t="shared" si="11"/>
        <v>0.32200000000000023</v>
      </c>
      <c r="N165">
        <f t="shared" si="9"/>
        <v>0.49617486338797823</v>
      </c>
      <c r="O165">
        <f t="shared" si="10"/>
        <v>0.174174863387978</v>
      </c>
    </row>
    <row r="166" spans="2:15" x14ac:dyDescent="0.25">
      <c r="B166" s="7">
        <v>21.66</v>
      </c>
      <c r="J166" s="7">
        <v>23.39</v>
      </c>
      <c r="K166">
        <v>1</v>
      </c>
      <c r="L166">
        <f t="shared" si="8"/>
        <v>2E-3</v>
      </c>
      <c r="M166">
        <f t="shared" si="11"/>
        <v>0.32400000000000023</v>
      </c>
      <c r="N166">
        <f t="shared" si="9"/>
        <v>0.49617486338797823</v>
      </c>
      <c r="O166">
        <f t="shared" si="10"/>
        <v>0.17217486338797799</v>
      </c>
    </row>
    <row r="167" spans="2:15" x14ac:dyDescent="0.25">
      <c r="B167" s="7">
        <v>24.68</v>
      </c>
      <c r="J167" s="7">
        <v>23.4</v>
      </c>
      <c r="K167">
        <v>1</v>
      </c>
      <c r="L167">
        <f t="shared" si="8"/>
        <v>2E-3</v>
      </c>
      <c r="M167">
        <f t="shared" si="11"/>
        <v>0.32600000000000023</v>
      </c>
      <c r="N167">
        <f t="shared" si="9"/>
        <v>0.49672131147540982</v>
      </c>
      <c r="O167">
        <f t="shared" si="10"/>
        <v>0.17072131147540959</v>
      </c>
    </row>
    <row r="168" spans="2:15" x14ac:dyDescent="0.25">
      <c r="B168" s="7">
        <v>23.38</v>
      </c>
      <c r="J168" s="7">
        <v>23.43</v>
      </c>
      <c r="K168">
        <v>1</v>
      </c>
      <c r="L168">
        <f t="shared" si="8"/>
        <v>2E-3</v>
      </c>
      <c r="M168">
        <f t="shared" si="11"/>
        <v>0.32800000000000024</v>
      </c>
      <c r="N168">
        <f t="shared" si="9"/>
        <v>0.49836065573770494</v>
      </c>
      <c r="O168">
        <f t="shared" si="10"/>
        <v>0.1703606557377047</v>
      </c>
    </row>
    <row r="169" spans="2:15" x14ac:dyDescent="0.25">
      <c r="B169" s="7">
        <v>22.71</v>
      </c>
      <c r="J169" s="7">
        <v>23.43</v>
      </c>
      <c r="K169">
        <v>1</v>
      </c>
      <c r="L169">
        <f t="shared" si="8"/>
        <v>2E-3</v>
      </c>
      <c r="M169">
        <f t="shared" si="11"/>
        <v>0.33000000000000024</v>
      </c>
      <c r="N169">
        <f t="shared" si="9"/>
        <v>0.49836065573770494</v>
      </c>
      <c r="O169">
        <f t="shared" si="10"/>
        <v>0.1683606557377047</v>
      </c>
    </row>
    <row r="170" spans="2:15" x14ac:dyDescent="0.25">
      <c r="B170" s="7">
        <v>17</v>
      </c>
      <c r="J170" s="7">
        <v>23.43</v>
      </c>
      <c r="K170">
        <v>1</v>
      </c>
      <c r="L170">
        <f t="shared" si="8"/>
        <v>2E-3</v>
      </c>
      <c r="M170">
        <f t="shared" si="11"/>
        <v>0.33200000000000024</v>
      </c>
      <c r="N170">
        <f t="shared" si="9"/>
        <v>0.49836065573770494</v>
      </c>
      <c r="O170">
        <f t="shared" si="10"/>
        <v>0.1663606557377047</v>
      </c>
    </row>
    <row r="171" spans="2:15" x14ac:dyDescent="0.25">
      <c r="B171" s="7">
        <v>27.68</v>
      </c>
      <c r="J171" s="7">
        <v>23.44</v>
      </c>
      <c r="K171">
        <v>1</v>
      </c>
      <c r="L171">
        <f t="shared" si="8"/>
        <v>2E-3</v>
      </c>
      <c r="M171">
        <f t="shared" si="11"/>
        <v>0.33400000000000024</v>
      </c>
      <c r="N171">
        <f t="shared" si="9"/>
        <v>0.49890710382513676</v>
      </c>
      <c r="O171">
        <f t="shared" si="10"/>
        <v>0.16490710382513651</v>
      </c>
    </row>
    <row r="172" spans="2:15" x14ac:dyDescent="0.25">
      <c r="B172" s="7">
        <v>28.25</v>
      </c>
      <c r="J172" s="7">
        <v>23.45</v>
      </c>
      <c r="K172">
        <v>1</v>
      </c>
      <c r="L172">
        <f t="shared" si="8"/>
        <v>2E-3</v>
      </c>
      <c r="M172">
        <f t="shared" si="11"/>
        <v>0.33600000000000024</v>
      </c>
      <c r="N172">
        <f t="shared" si="9"/>
        <v>0.49945355191256829</v>
      </c>
      <c r="O172">
        <f t="shared" si="10"/>
        <v>0.16345355191256805</v>
      </c>
    </row>
    <row r="173" spans="2:15" x14ac:dyDescent="0.25">
      <c r="B173" s="7">
        <v>30.42</v>
      </c>
      <c r="J173" s="7">
        <v>23.46</v>
      </c>
      <c r="K173">
        <v>1</v>
      </c>
      <c r="L173">
        <f t="shared" si="8"/>
        <v>2E-3</v>
      </c>
      <c r="M173">
        <f t="shared" si="11"/>
        <v>0.33800000000000024</v>
      </c>
      <c r="N173">
        <f t="shared" si="9"/>
        <v>0.50000000000000011</v>
      </c>
      <c r="O173">
        <f t="shared" si="10"/>
        <v>0.16199999999999987</v>
      </c>
    </row>
    <row r="174" spans="2:15" x14ac:dyDescent="0.25">
      <c r="B174" s="7">
        <v>24.16</v>
      </c>
      <c r="J174" s="7">
        <v>23.47</v>
      </c>
      <c r="K174">
        <v>1</v>
      </c>
      <c r="L174">
        <f t="shared" si="8"/>
        <v>2E-3</v>
      </c>
      <c r="M174">
        <f t="shared" si="11"/>
        <v>0.34000000000000025</v>
      </c>
      <c r="N174">
        <f t="shared" si="9"/>
        <v>0.50054644808743165</v>
      </c>
      <c r="O174">
        <f t="shared" si="10"/>
        <v>0.1605464480874314</v>
      </c>
    </row>
    <row r="175" spans="2:15" x14ac:dyDescent="0.25">
      <c r="B175" s="7">
        <v>15.16</v>
      </c>
      <c r="J175" s="7">
        <v>23.49</v>
      </c>
      <c r="K175">
        <v>1</v>
      </c>
      <c r="L175">
        <f t="shared" si="8"/>
        <v>2E-3</v>
      </c>
      <c r="M175">
        <f t="shared" si="11"/>
        <v>0.34200000000000025</v>
      </c>
      <c r="N175">
        <f t="shared" si="9"/>
        <v>0.50163934426229506</v>
      </c>
      <c r="O175">
        <f t="shared" si="10"/>
        <v>0.15963934426229481</v>
      </c>
    </row>
    <row r="176" spans="2:15" x14ac:dyDescent="0.25">
      <c r="B176" s="7">
        <v>26.77</v>
      </c>
      <c r="J176" s="7">
        <v>23.52</v>
      </c>
      <c r="K176">
        <v>1</v>
      </c>
      <c r="L176">
        <f t="shared" si="8"/>
        <v>2E-3</v>
      </c>
      <c r="M176">
        <f t="shared" si="11"/>
        <v>0.34400000000000025</v>
      </c>
      <c r="N176">
        <f t="shared" si="9"/>
        <v>0.50327868852459023</v>
      </c>
      <c r="O176">
        <f t="shared" si="10"/>
        <v>0.15927868852458998</v>
      </c>
    </row>
    <row r="177" spans="2:15" x14ac:dyDescent="0.25">
      <c r="B177" s="7">
        <v>27.09</v>
      </c>
      <c r="J177" s="7">
        <v>23.53</v>
      </c>
      <c r="K177">
        <v>1</v>
      </c>
      <c r="L177">
        <f t="shared" si="8"/>
        <v>2E-3</v>
      </c>
      <c r="M177">
        <f t="shared" si="11"/>
        <v>0.34600000000000025</v>
      </c>
      <c r="N177">
        <f t="shared" si="9"/>
        <v>0.503825136612022</v>
      </c>
      <c r="O177">
        <f t="shared" si="10"/>
        <v>0.15782513661202174</v>
      </c>
    </row>
    <row r="178" spans="2:15" x14ac:dyDescent="0.25">
      <c r="B178" s="7">
        <v>31.54</v>
      </c>
      <c r="J178" s="7">
        <v>23.55</v>
      </c>
      <c r="K178">
        <v>1</v>
      </c>
      <c r="L178">
        <f t="shared" si="8"/>
        <v>2E-3</v>
      </c>
      <c r="M178">
        <f t="shared" si="11"/>
        <v>0.34800000000000025</v>
      </c>
      <c r="N178">
        <f t="shared" si="9"/>
        <v>0.5049180327868853</v>
      </c>
      <c r="O178">
        <f t="shared" si="10"/>
        <v>0.15691803278688504</v>
      </c>
    </row>
    <row r="179" spans="2:15" x14ac:dyDescent="0.25">
      <c r="B179" s="7">
        <v>18.28</v>
      </c>
      <c r="J179" s="7">
        <v>23.56</v>
      </c>
      <c r="K179">
        <v>1</v>
      </c>
      <c r="L179">
        <f t="shared" si="8"/>
        <v>2E-3</v>
      </c>
      <c r="M179">
        <f t="shared" si="11"/>
        <v>0.35000000000000026</v>
      </c>
      <c r="N179">
        <f t="shared" si="9"/>
        <v>0.50546448087431695</v>
      </c>
      <c r="O179">
        <f t="shared" si="10"/>
        <v>0.15546448087431669</v>
      </c>
    </row>
    <row r="180" spans="2:15" x14ac:dyDescent="0.25">
      <c r="B180" s="7">
        <v>21.93</v>
      </c>
      <c r="J180" s="7">
        <v>23.57</v>
      </c>
      <c r="K180">
        <v>1</v>
      </c>
      <c r="L180">
        <f t="shared" si="8"/>
        <v>2E-3</v>
      </c>
      <c r="M180">
        <f t="shared" si="11"/>
        <v>0.35200000000000026</v>
      </c>
      <c r="N180">
        <f t="shared" si="9"/>
        <v>0.50601092896174871</v>
      </c>
      <c r="O180">
        <f t="shared" si="10"/>
        <v>0.15401092896174845</v>
      </c>
    </row>
    <row r="181" spans="2:15" x14ac:dyDescent="0.25">
      <c r="B181" s="7">
        <v>24.84</v>
      </c>
      <c r="J181" s="7">
        <v>23.59</v>
      </c>
      <c r="K181">
        <v>1</v>
      </c>
      <c r="L181">
        <f t="shared" si="8"/>
        <v>2E-3</v>
      </c>
      <c r="M181">
        <f t="shared" si="11"/>
        <v>0.35400000000000026</v>
      </c>
      <c r="N181">
        <f t="shared" si="9"/>
        <v>0.50710382513661212</v>
      </c>
      <c r="O181">
        <f t="shared" si="10"/>
        <v>0.15310382513661186</v>
      </c>
    </row>
    <row r="182" spans="2:15" x14ac:dyDescent="0.25">
      <c r="B182" s="7">
        <v>25.22</v>
      </c>
      <c r="J182" s="7">
        <v>23.59</v>
      </c>
      <c r="K182">
        <v>1</v>
      </c>
      <c r="L182">
        <f t="shared" si="8"/>
        <v>2E-3</v>
      </c>
      <c r="M182">
        <f t="shared" si="11"/>
        <v>0.35600000000000026</v>
      </c>
      <c r="N182">
        <f t="shared" si="9"/>
        <v>0.50710382513661212</v>
      </c>
      <c r="O182">
        <f t="shared" si="10"/>
        <v>0.15110382513661186</v>
      </c>
    </row>
    <row r="183" spans="2:15" x14ac:dyDescent="0.25">
      <c r="B183" s="7">
        <v>14.31</v>
      </c>
      <c r="J183" s="7">
        <v>23.65</v>
      </c>
      <c r="K183">
        <v>1</v>
      </c>
      <c r="L183">
        <f t="shared" si="8"/>
        <v>2E-3</v>
      </c>
      <c r="M183">
        <f t="shared" si="11"/>
        <v>0.35800000000000026</v>
      </c>
      <c r="N183">
        <f t="shared" si="9"/>
        <v>0.51038251366120213</v>
      </c>
      <c r="O183">
        <f t="shared" si="10"/>
        <v>0.15238251366120187</v>
      </c>
    </row>
    <row r="184" spans="2:15" x14ac:dyDescent="0.25">
      <c r="B184" s="7">
        <v>21.18</v>
      </c>
      <c r="J184" s="7">
        <v>23.66</v>
      </c>
      <c r="K184">
        <v>1</v>
      </c>
      <c r="L184">
        <f t="shared" si="8"/>
        <v>2E-3</v>
      </c>
      <c r="M184">
        <f t="shared" si="11"/>
        <v>0.36000000000000026</v>
      </c>
      <c r="N184">
        <f t="shared" si="9"/>
        <v>0.51092896174863389</v>
      </c>
      <c r="O184">
        <f t="shared" si="10"/>
        <v>0.15092896174863363</v>
      </c>
    </row>
    <row r="185" spans="2:15" x14ac:dyDescent="0.25">
      <c r="B185" s="7">
        <v>25.73</v>
      </c>
      <c r="J185" s="7">
        <v>23.7</v>
      </c>
      <c r="K185">
        <v>1</v>
      </c>
      <c r="L185">
        <f t="shared" si="8"/>
        <v>2E-3</v>
      </c>
      <c r="M185">
        <f t="shared" si="11"/>
        <v>0.36200000000000027</v>
      </c>
      <c r="N185">
        <f t="shared" si="9"/>
        <v>0.51311475409836071</v>
      </c>
      <c r="O185">
        <f t="shared" si="10"/>
        <v>0.15111475409836045</v>
      </c>
    </row>
    <row r="186" spans="2:15" x14ac:dyDescent="0.25">
      <c r="B186" s="7">
        <v>22.4</v>
      </c>
      <c r="J186" s="7">
        <v>23.7</v>
      </c>
      <c r="K186">
        <v>1</v>
      </c>
      <c r="L186">
        <f t="shared" si="8"/>
        <v>2E-3</v>
      </c>
      <c r="M186">
        <f t="shared" si="11"/>
        <v>0.36400000000000027</v>
      </c>
      <c r="N186">
        <f t="shared" si="9"/>
        <v>0.51311475409836071</v>
      </c>
      <c r="O186">
        <f t="shared" si="10"/>
        <v>0.14911475409836045</v>
      </c>
    </row>
    <row r="187" spans="2:15" x14ac:dyDescent="0.25">
      <c r="B187" s="7">
        <v>22.77</v>
      </c>
      <c r="J187" s="7">
        <v>23.73</v>
      </c>
      <c r="K187">
        <v>1</v>
      </c>
      <c r="L187">
        <f t="shared" si="8"/>
        <v>2E-3</v>
      </c>
      <c r="M187">
        <f t="shared" si="11"/>
        <v>0.36600000000000027</v>
      </c>
      <c r="N187">
        <f t="shared" si="9"/>
        <v>0.51475409836065578</v>
      </c>
      <c r="O187">
        <f t="shared" si="10"/>
        <v>0.14875409836065551</v>
      </c>
    </row>
    <row r="188" spans="2:15" x14ac:dyDescent="0.25">
      <c r="B188" s="7">
        <v>29.35</v>
      </c>
      <c r="J188" s="7">
        <v>23.74</v>
      </c>
      <c r="K188">
        <v>1</v>
      </c>
      <c r="L188">
        <f t="shared" si="8"/>
        <v>2E-3</v>
      </c>
      <c r="M188">
        <f t="shared" si="11"/>
        <v>0.36800000000000027</v>
      </c>
      <c r="N188">
        <f t="shared" si="9"/>
        <v>0.51530054644808743</v>
      </c>
      <c r="O188">
        <f t="shared" si="10"/>
        <v>0.14730054644808716</v>
      </c>
    </row>
    <row r="189" spans="2:15" x14ac:dyDescent="0.25">
      <c r="B189" s="7">
        <v>20.54</v>
      </c>
      <c r="J189" s="7">
        <v>23.74</v>
      </c>
      <c r="K189">
        <v>1</v>
      </c>
      <c r="L189">
        <f t="shared" si="8"/>
        <v>2E-3</v>
      </c>
      <c r="M189">
        <f t="shared" si="11"/>
        <v>0.37000000000000027</v>
      </c>
      <c r="N189">
        <f t="shared" si="9"/>
        <v>0.51530054644808743</v>
      </c>
      <c r="O189">
        <f t="shared" si="10"/>
        <v>0.14530054644808715</v>
      </c>
    </row>
    <row r="190" spans="2:15" x14ac:dyDescent="0.25">
      <c r="B190" s="7">
        <v>24.97</v>
      </c>
      <c r="J190" s="7">
        <v>23.77</v>
      </c>
      <c r="K190">
        <v>1</v>
      </c>
      <c r="L190">
        <f t="shared" si="8"/>
        <v>2E-3</v>
      </c>
      <c r="M190">
        <f t="shared" si="11"/>
        <v>0.37200000000000027</v>
      </c>
      <c r="N190">
        <f t="shared" si="9"/>
        <v>0.51693989071038249</v>
      </c>
      <c r="O190">
        <f t="shared" si="10"/>
        <v>0.14493989071038221</v>
      </c>
    </row>
    <row r="191" spans="2:15" x14ac:dyDescent="0.25">
      <c r="B191" s="7">
        <v>24.73</v>
      </c>
      <c r="J191" s="7">
        <v>23.8</v>
      </c>
      <c r="K191">
        <v>1</v>
      </c>
      <c r="L191">
        <f t="shared" si="8"/>
        <v>2E-3</v>
      </c>
      <c r="M191">
        <f t="shared" si="11"/>
        <v>0.37400000000000028</v>
      </c>
      <c r="N191">
        <f t="shared" si="9"/>
        <v>0.51857923497267766</v>
      </c>
      <c r="O191">
        <f t="shared" si="10"/>
        <v>0.14457923497267738</v>
      </c>
    </row>
    <row r="192" spans="2:15" x14ac:dyDescent="0.25">
      <c r="B192" s="7">
        <v>28.35</v>
      </c>
      <c r="J192" s="7">
        <v>23.81</v>
      </c>
      <c r="K192">
        <v>1</v>
      </c>
      <c r="L192">
        <f t="shared" si="8"/>
        <v>2E-3</v>
      </c>
      <c r="M192">
        <f t="shared" si="11"/>
        <v>0.37600000000000028</v>
      </c>
      <c r="N192">
        <f t="shared" si="9"/>
        <v>0.51912568306010931</v>
      </c>
      <c r="O192">
        <f t="shared" si="10"/>
        <v>0.14312568306010903</v>
      </c>
    </row>
    <row r="193" spans="2:15" x14ac:dyDescent="0.25">
      <c r="B193" s="7">
        <v>20.43</v>
      </c>
      <c r="J193" s="7">
        <v>23.82</v>
      </c>
      <c r="K193">
        <v>1</v>
      </c>
      <c r="L193">
        <f t="shared" si="8"/>
        <v>2E-3</v>
      </c>
      <c r="M193">
        <f t="shared" si="11"/>
        <v>0.37800000000000028</v>
      </c>
      <c r="N193">
        <f t="shared" si="9"/>
        <v>0.51967213114754107</v>
      </c>
      <c r="O193">
        <f t="shared" si="10"/>
        <v>0.14167213114754079</v>
      </c>
    </row>
    <row r="194" spans="2:15" x14ac:dyDescent="0.25">
      <c r="B194" s="7">
        <v>27.24</v>
      </c>
      <c r="J194" s="7">
        <v>23.84</v>
      </c>
      <c r="K194">
        <v>1</v>
      </c>
      <c r="L194">
        <f t="shared" si="8"/>
        <v>2E-3</v>
      </c>
      <c r="M194">
        <f t="shared" si="11"/>
        <v>0.38000000000000028</v>
      </c>
      <c r="N194">
        <f t="shared" si="9"/>
        <v>0.52076502732240437</v>
      </c>
      <c r="O194">
        <f t="shared" si="10"/>
        <v>0.14076502732240409</v>
      </c>
    </row>
    <row r="195" spans="2:15" x14ac:dyDescent="0.25">
      <c r="B195" s="7">
        <v>26.47</v>
      </c>
      <c r="J195" s="7">
        <v>23.87</v>
      </c>
      <c r="K195">
        <v>1</v>
      </c>
      <c r="L195">
        <f t="shared" si="8"/>
        <v>2E-3</v>
      </c>
      <c r="M195">
        <f t="shared" si="11"/>
        <v>0.38200000000000028</v>
      </c>
      <c r="N195">
        <f t="shared" si="9"/>
        <v>0.52240437158469955</v>
      </c>
      <c r="O195">
        <f t="shared" si="10"/>
        <v>0.14040437158469926</v>
      </c>
    </row>
    <row r="196" spans="2:15" x14ac:dyDescent="0.25">
      <c r="B196" s="7">
        <v>25.19</v>
      </c>
      <c r="J196" s="7">
        <v>23.89</v>
      </c>
      <c r="K196">
        <v>1</v>
      </c>
      <c r="L196">
        <f t="shared" si="8"/>
        <v>2E-3</v>
      </c>
      <c r="M196">
        <f t="shared" si="11"/>
        <v>0.38400000000000029</v>
      </c>
      <c r="N196">
        <f t="shared" si="9"/>
        <v>0.52349726775956296</v>
      </c>
      <c r="O196">
        <f t="shared" si="10"/>
        <v>0.13949726775956267</v>
      </c>
    </row>
    <row r="197" spans="2:15" x14ac:dyDescent="0.25">
      <c r="B197" s="7">
        <v>26.14</v>
      </c>
      <c r="J197" s="7">
        <v>23.91</v>
      </c>
      <c r="K197">
        <v>1</v>
      </c>
      <c r="L197">
        <f t="shared" si="8"/>
        <v>2E-3</v>
      </c>
      <c r="M197">
        <f t="shared" si="11"/>
        <v>0.38600000000000029</v>
      </c>
      <c r="N197">
        <f t="shared" si="9"/>
        <v>0.52459016393442626</v>
      </c>
      <c r="O197">
        <f t="shared" si="10"/>
        <v>0.13859016393442597</v>
      </c>
    </row>
    <row r="198" spans="2:15" x14ac:dyDescent="0.25">
      <c r="B198" s="7">
        <v>26.84</v>
      </c>
      <c r="J198" s="7">
        <v>23.98</v>
      </c>
      <c r="K198">
        <v>1</v>
      </c>
      <c r="L198">
        <f t="shared" ref="L198:L261" si="12">K198/$E$20</f>
        <v>2E-3</v>
      </c>
      <c r="M198">
        <f t="shared" si="11"/>
        <v>0.38800000000000029</v>
      </c>
      <c r="N198">
        <f t="shared" ref="N198:N261" si="13">(J198-$H$7)/($H$8-$H$7)</f>
        <v>0.52841530054644814</v>
      </c>
      <c r="O198">
        <f t="shared" ref="O198:O261" si="14">ABS(M198-N198)</f>
        <v>0.14041530054644785</v>
      </c>
    </row>
    <row r="199" spans="2:15" x14ac:dyDescent="0.25">
      <c r="B199" s="7">
        <v>25.38</v>
      </c>
      <c r="J199" s="7">
        <v>23.98</v>
      </c>
      <c r="K199">
        <v>1</v>
      </c>
      <c r="L199">
        <f t="shared" si="12"/>
        <v>2E-3</v>
      </c>
      <c r="M199">
        <f t="shared" ref="M199:M262" si="15">M198+L199</f>
        <v>0.39000000000000029</v>
      </c>
      <c r="N199">
        <f t="shared" si="13"/>
        <v>0.52841530054644814</v>
      </c>
      <c r="O199">
        <f t="shared" si="14"/>
        <v>0.13841530054644785</v>
      </c>
    </row>
    <row r="200" spans="2:15" x14ac:dyDescent="0.25">
      <c r="B200" s="7">
        <v>21.54</v>
      </c>
      <c r="J200" s="7">
        <v>24</v>
      </c>
      <c r="K200">
        <v>1</v>
      </c>
      <c r="L200">
        <f t="shared" si="12"/>
        <v>2E-3</v>
      </c>
      <c r="M200">
        <f t="shared" si="15"/>
        <v>0.39200000000000029</v>
      </c>
      <c r="N200">
        <f t="shared" si="13"/>
        <v>0.52950819672131155</v>
      </c>
      <c r="O200">
        <f t="shared" si="14"/>
        <v>0.13750819672131126</v>
      </c>
    </row>
    <row r="201" spans="2:15" x14ac:dyDescent="0.25">
      <c r="B201" s="7">
        <v>21.24</v>
      </c>
      <c r="J201" s="7">
        <v>24.02</v>
      </c>
      <c r="K201">
        <v>1</v>
      </c>
      <c r="L201">
        <f t="shared" si="12"/>
        <v>2E-3</v>
      </c>
      <c r="M201">
        <f t="shared" si="15"/>
        <v>0.39400000000000029</v>
      </c>
      <c r="N201">
        <f t="shared" si="13"/>
        <v>0.53060109289617485</v>
      </c>
      <c r="O201">
        <f t="shared" si="14"/>
        <v>0.13660109289617456</v>
      </c>
    </row>
    <row r="202" spans="2:15" x14ac:dyDescent="0.25">
      <c r="B202" s="7">
        <v>21.57</v>
      </c>
      <c r="J202" s="7">
        <v>24.03</v>
      </c>
      <c r="K202">
        <v>1</v>
      </c>
      <c r="L202">
        <f t="shared" si="12"/>
        <v>2E-3</v>
      </c>
      <c r="M202">
        <f t="shared" si="15"/>
        <v>0.3960000000000003</v>
      </c>
      <c r="N202">
        <f t="shared" si="13"/>
        <v>0.53114754098360673</v>
      </c>
      <c r="O202">
        <f t="shared" si="14"/>
        <v>0.13514754098360643</v>
      </c>
    </row>
    <row r="203" spans="2:15" x14ac:dyDescent="0.25">
      <c r="B203" s="7">
        <v>24.74</v>
      </c>
      <c r="J203" s="7">
        <v>24.06</v>
      </c>
      <c r="K203">
        <v>1</v>
      </c>
      <c r="L203">
        <f t="shared" si="12"/>
        <v>2E-3</v>
      </c>
      <c r="M203">
        <f t="shared" si="15"/>
        <v>0.3980000000000003</v>
      </c>
      <c r="N203">
        <f t="shared" si="13"/>
        <v>0.53278688524590168</v>
      </c>
      <c r="O203">
        <f t="shared" si="14"/>
        <v>0.13478688524590138</v>
      </c>
    </row>
    <row r="204" spans="2:15" x14ac:dyDescent="0.25">
      <c r="B204" s="7">
        <v>28.33</v>
      </c>
      <c r="J204" s="7">
        <v>24.06</v>
      </c>
      <c r="K204">
        <v>1</v>
      </c>
      <c r="L204">
        <f t="shared" si="12"/>
        <v>2E-3</v>
      </c>
      <c r="M204">
        <f t="shared" si="15"/>
        <v>0.4000000000000003</v>
      </c>
      <c r="N204">
        <f t="shared" si="13"/>
        <v>0.53278688524590168</v>
      </c>
      <c r="O204">
        <f t="shared" si="14"/>
        <v>0.13278688524590138</v>
      </c>
    </row>
    <row r="205" spans="2:15" x14ac:dyDescent="0.25">
      <c r="B205" s="7">
        <v>19.28</v>
      </c>
      <c r="J205" s="7">
        <v>24.09</v>
      </c>
      <c r="K205">
        <v>1</v>
      </c>
      <c r="L205">
        <f t="shared" si="12"/>
        <v>2E-3</v>
      </c>
      <c r="M205">
        <f t="shared" si="15"/>
        <v>0.4020000000000003</v>
      </c>
      <c r="N205">
        <f t="shared" si="13"/>
        <v>0.53442622950819674</v>
      </c>
      <c r="O205">
        <f t="shared" si="14"/>
        <v>0.13242622950819644</v>
      </c>
    </row>
    <row r="206" spans="2:15" x14ac:dyDescent="0.25">
      <c r="B206" s="7">
        <v>21.14</v>
      </c>
      <c r="J206" s="7">
        <v>24.15</v>
      </c>
      <c r="K206">
        <v>1</v>
      </c>
      <c r="L206">
        <f t="shared" si="12"/>
        <v>2E-3</v>
      </c>
      <c r="M206">
        <f t="shared" si="15"/>
        <v>0.4040000000000003</v>
      </c>
      <c r="N206">
        <f t="shared" si="13"/>
        <v>0.53770491803278686</v>
      </c>
      <c r="O206">
        <f t="shared" si="14"/>
        <v>0.13370491803278656</v>
      </c>
    </row>
    <row r="207" spans="2:15" x14ac:dyDescent="0.25">
      <c r="B207" s="7">
        <v>27.01</v>
      </c>
      <c r="J207" s="7">
        <v>24.16</v>
      </c>
      <c r="K207">
        <v>1</v>
      </c>
      <c r="L207">
        <f t="shared" si="12"/>
        <v>2E-3</v>
      </c>
      <c r="M207">
        <f t="shared" si="15"/>
        <v>0.40600000000000031</v>
      </c>
      <c r="N207">
        <f t="shared" si="13"/>
        <v>0.53825136612021862</v>
      </c>
      <c r="O207">
        <f t="shared" si="14"/>
        <v>0.13225136612021832</v>
      </c>
    </row>
    <row r="208" spans="2:15" x14ac:dyDescent="0.25">
      <c r="B208" s="7">
        <v>21.4</v>
      </c>
      <c r="J208" s="7">
        <v>24.18</v>
      </c>
      <c r="K208">
        <v>1</v>
      </c>
      <c r="L208">
        <f t="shared" si="12"/>
        <v>2E-3</v>
      </c>
      <c r="M208">
        <f t="shared" si="15"/>
        <v>0.40800000000000031</v>
      </c>
      <c r="N208">
        <f t="shared" si="13"/>
        <v>0.53934426229508203</v>
      </c>
      <c r="O208">
        <f t="shared" si="14"/>
        <v>0.13134426229508173</v>
      </c>
    </row>
    <row r="209" spans="2:15" x14ac:dyDescent="0.25">
      <c r="B209" s="7">
        <v>28.35</v>
      </c>
      <c r="J209" s="7">
        <v>24.2</v>
      </c>
      <c r="K209">
        <v>1</v>
      </c>
      <c r="L209">
        <f t="shared" si="12"/>
        <v>2E-3</v>
      </c>
      <c r="M209">
        <f t="shared" si="15"/>
        <v>0.41000000000000031</v>
      </c>
      <c r="N209">
        <f t="shared" si="13"/>
        <v>0.54043715846994533</v>
      </c>
      <c r="O209">
        <f t="shared" si="14"/>
        <v>0.13043715846994502</v>
      </c>
    </row>
    <row r="210" spans="2:15" x14ac:dyDescent="0.25">
      <c r="B210" s="7">
        <v>22.15</v>
      </c>
      <c r="J210" s="7">
        <v>24.21</v>
      </c>
      <c r="K210">
        <v>1</v>
      </c>
      <c r="L210">
        <f t="shared" si="12"/>
        <v>2E-3</v>
      </c>
      <c r="M210">
        <f t="shared" si="15"/>
        <v>0.41200000000000031</v>
      </c>
      <c r="N210">
        <f t="shared" si="13"/>
        <v>0.54098360655737721</v>
      </c>
      <c r="O210">
        <f t="shared" si="14"/>
        <v>0.1289836065573769</v>
      </c>
    </row>
    <row r="211" spans="2:15" x14ac:dyDescent="0.25">
      <c r="B211" s="7">
        <v>26.78</v>
      </c>
      <c r="J211" s="7">
        <v>24.23</v>
      </c>
      <c r="K211">
        <v>1</v>
      </c>
      <c r="L211">
        <f t="shared" si="12"/>
        <v>2E-3</v>
      </c>
      <c r="M211">
        <f t="shared" si="15"/>
        <v>0.41400000000000031</v>
      </c>
      <c r="N211">
        <f t="shared" si="13"/>
        <v>0.54207650273224051</v>
      </c>
      <c r="O211">
        <f t="shared" si="14"/>
        <v>0.12807650273224019</v>
      </c>
    </row>
    <row r="212" spans="2:15" x14ac:dyDescent="0.25">
      <c r="B212" s="7">
        <v>26.85</v>
      </c>
      <c r="J212" s="7">
        <v>24.25</v>
      </c>
      <c r="K212">
        <v>1</v>
      </c>
      <c r="L212">
        <f t="shared" si="12"/>
        <v>2E-3</v>
      </c>
      <c r="M212">
        <f t="shared" si="15"/>
        <v>0.41600000000000031</v>
      </c>
      <c r="N212">
        <f t="shared" si="13"/>
        <v>0.54316939890710392</v>
      </c>
      <c r="O212">
        <f t="shared" si="14"/>
        <v>0.1271693989071036</v>
      </c>
    </row>
    <row r="213" spans="2:15" x14ac:dyDescent="0.25">
      <c r="B213" s="7">
        <v>20.34</v>
      </c>
      <c r="J213" s="7">
        <v>24.26</v>
      </c>
      <c r="K213">
        <v>1</v>
      </c>
      <c r="L213">
        <f t="shared" si="12"/>
        <v>2E-3</v>
      </c>
      <c r="M213">
        <f t="shared" si="15"/>
        <v>0.41800000000000032</v>
      </c>
      <c r="N213">
        <f t="shared" si="13"/>
        <v>0.54371584699453568</v>
      </c>
      <c r="O213">
        <f t="shared" si="14"/>
        <v>0.12571584699453536</v>
      </c>
    </row>
    <row r="214" spans="2:15" x14ac:dyDescent="0.25">
      <c r="B214" s="7">
        <v>24.8</v>
      </c>
      <c r="J214" s="7">
        <v>24.27</v>
      </c>
      <c r="K214">
        <v>1</v>
      </c>
      <c r="L214">
        <f t="shared" si="12"/>
        <v>2E-3</v>
      </c>
      <c r="M214">
        <f t="shared" si="15"/>
        <v>0.42000000000000032</v>
      </c>
      <c r="N214">
        <f t="shared" si="13"/>
        <v>0.54426229508196722</v>
      </c>
      <c r="O214">
        <f t="shared" si="14"/>
        <v>0.1242622950819669</v>
      </c>
    </row>
    <row r="215" spans="2:15" x14ac:dyDescent="0.25">
      <c r="B215" s="7">
        <v>22.2</v>
      </c>
      <c r="J215" s="7">
        <v>24.27</v>
      </c>
      <c r="K215">
        <v>1</v>
      </c>
      <c r="L215">
        <f t="shared" si="12"/>
        <v>2E-3</v>
      </c>
      <c r="M215">
        <f t="shared" si="15"/>
        <v>0.42200000000000032</v>
      </c>
      <c r="N215">
        <f t="shared" si="13"/>
        <v>0.54426229508196722</v>
      </c>
      <c r="O215">
        <f t="shared" si="14"/>
        <v>0.1222622950819669</v>
      </c>
    </row>
    <row r="216" spans="2:15" x14ac:dyDescent="0.25">
      <c r="B216" s="7">
        <v>23.59</v>
      </c>
      <c r="J216" s="7">
        <v>24.31</v>
      </c>
      <c r="K216">
        <v>1</v>
      </c>
      <c r="L216">
        <f t="shared" si="12"/>
        <v>2E-3</v>
      </c>
      <c r="M216">
        <f t="shared" si="15"/>
        <v>0.42400000000000032</v>
      </c>
      <c r="N216">
        <f t="shared" si="13"/>
        <v>0.54644808743169393</v>
      </c>
      <c r="O216">
        <f t="shared" si="14"/>
        <v>0.12244808743169361</v>
      </c>
    </row>
    <row r="217" spans="2:15" x14ac:dyDescent="0.25">
      <c r="B217" s="7">
        <v>24.35</v>
      </c>
      <c r="J217" s="7">
        <v>24.32</v>
      </c>
      <c r="K217">
        <v>1</v>
      </c>
      <c r="L217">
        <f t="shared" si="12"/>
        <v>2E-3</v>
      </c>
      <c r="M217">
        <f t="shared" si="15"/>
        <v>0.42600000000000032</v>
      </c>
      <c r="N217">
        <f t="shared" si="13"/>
        <v>0.5469945355191258</v>
      </c>
      <c r="O217">
        <f t="shared" si="14"/>
        <v>0.12099453551912548</v>
      </c>
    </row>
    <row r="218" spans="2:15" x14ac:dyDescent="0.25">
      <c r="B218" s="7">
        <v>22.6</v>
      </c>
      <c r="J218" s="7">
        <v>24.33</v>
      </c>
      <c r="K218">
        <v>1</v>
      </c>
      <c r="L218">
        <f t="shared" si="12"/>
        <v>2E-3</v>
      </c>
      <c r="M218">
        <f t="shared" si="15"/>
        <v>0.42800000000000032</v>
      </c>
      <c r="N218">
        <f t="shared" si="13"/>
        <v>0.54754098360655734</v>
      </c>
      <c r="O218">
        <f t="shared" si="14"/>
        <v>0.11954098360655702</v>
      </c>
    </row>
    <row r="219" spans="2:15" x14ac:dyDescent="0.25">
      <c r="B219" s="7">
        <v>20.77</v>
      </c>
      <c r="J219" s="7">
        <v>24.33</v>
      </c>
      <c r="K219">
        <v>1</v>
      </c>
      <c r="L219">
        <f t="shared" si="12"/>
        <v>2E-3</v>
      </c>
      <c r="M219">
        <f t="shared" si="15"/>
        <v>0.43000000000000033</v>
      </c>
      <c r="N219">
        <f t="shared" si="13"/>
        <v>0.54754098360655734</v>
      </c>
      <c r="O219">
        <f t="shared" si="14"/>
        <v>0.11754098360655701</v>
      </c>
    </row>
    <row r="220" spans="2:15" x14ac:dyDescent="0.25">
      <c r="B220" s="7">
        <v>26.32</v>
      </c>
      <c r="J220" s="7">
        <v>24.35</v>
      </c>
      <c r="K220">
        <v>1</v>
      </c>
      <c r="L220">
        <f t="shared" si="12"/>
        <v>2E-3</v>
      </c>
      <c r="M220">
        <f t="shared" si="15"/>
        <v>0.43200000000000033</v>
      </c>
      <c r="N220">
        <f t="shared" si="13"/>
        <v>0.54863387978142086</v>
      </c>
      <c r="O220">
        <f t="shared" si="14"/>
        <v>0.11663387978142054</v>
      </c>
    </row>
    <row r="221" spans="2:15" x14ac:dyDescent="0.25">
      <c r="B221" s="7">
        <v>28.99</v>
      </c>
      <c r="J221" s="7">
        <v>24.37</v>
      </c>
      <c r="K221">
        <v>1</v>
      </c>
      <c r="L221">
        <f t="shared" si="12"/>
        <v>2E-3</v>
      </c>
      <c r="M221">
        <f t="shared" si="15"/>
        <v>0.43400000000000033</v>
      </c>
      <c r="N221">
        <f t="shared" si="13"/>
        <v>0.54972677595628427</v>
      </c>
      <c r="O221">
        <f t="shared" si="14"/>
        <v>0.11572677595628394</v>
      </c>
    </row>
    <row r="222" spans="2:15" x14ac:dyDescent="0.25">
      <c r="B222" s="7">
        <v>29.03</v>
      </c>
      <c r="J222" s="7">
        <v>24.37</v>
      </c>
      <c r="K222">
        <v>1</v>
      </c>
      <c r="L222">
        <f t="shared" si="12"/>
        <v>2E-3</v>
      </c>
      <c r="M222">
        <f t="shared" si="15"/>
        <v>0.43600000000000033</v>
      </c>
      <c r="N222">
        <f t="shared" si="13"/>
        <v>0.54972677595628427</v>
      </c>
      <c r="O222">
        <f t="shared" si="14"/>
        <v>0.11372677595628394</v>
      </c>
    </row>
    <row r="223" spans="2:15" x14ac:dyDescent="0.25">
      <c r="B223" s="7">
        <v>16.43</v>
      </c>
      <c r="J223" s="7">
        <v>24.41</v>
      </c>
      <c r="K223">
        <v>1</v>
      </c>
      <c r="L223">
        <f t="shared" si="12"/>
        <v>2E-3</v>
      </c>
      <c r="M223">
        <f t="shared" si="15"/>
        <v>0.43800000000000033</v>
      </c>
      <c r="N223">
        <f t="shared" si="13"/>
        <v>0.55191256830601099</v>
      </c>
      <c r="O223">
        <f t="shared" si="14"/>
        <v>0.11391256830601065</v>
      </c>
    </row>
    <row r="224" spans="2:15" x14ac:dyDescent="0.25">
      <c r="B224" s="7">
        <v>22.26</v>
      </c>
      <c r="J224" s="7">
        <v>24.45</v>
      </c>
      <c r="K224">
        <v>1</v>
      </c>
      <c r="L224">
        <f t="shared" si="12"/>
        <v>2E-3</v>
      </c>
      <c r="M224">
        <f t="shared" si="15"/>
        <v>0.44000000000000034</v>
      </c>
      <c r="N224">
        <f t="shared" si="13"/>
        <v>0.5540983606557377</v>
      </c>
      <c r="O224">
        <f t="shared" si="14"/>
        <v>0.11409836065573736</v>
      </c>
    </row>
    <row r="225" spans="2:15" x14ac:dyDescent="0.25">
      <c r="B225" s="7">
        <v>25.36</v>
      </c>
      <c r="J225" s="7">
        <v>24.45</v>
      </c>
      <c r="K225">
        <v>1</v>
      </c>
      <c r="L225">
        <f t="shared" si="12"/>
        <v>2E-3</v>
      </c>
      <c r="M225">
        <f t="shared" si="15"/>
        <v>0.44200000000000034</v>
      </c>
      <c r="N225">
        <f t="shared" si="13"/>
        <v>0.5540983606557377</v>
      </c>
      <c r="O225">
        <f t="shared" si="14"/>
        <v>0.11209836065573736</v>
      </c>
    </row>
    <row r="226" spans="2:15" x14ac:dyDescent="0.25">
      <c r="B226" s="7">
        <v>24.64</v>
      </c>
      <c r="J226" s="7">
        <v>24.47</v>
      </c>
      <c r="K226">
        <v>1</v>
      </c>
      <c r="L226">
        <f t="shared" si="12"/>
        <v>2E-3</v>
      </c>
      <c r="M226">
        <f t="shared" si="15"/>
        <v>0.44400000000000034</v>
      </c>
      <c r="N226">
        <f t="shared" si="13"/>
        <v>0.55519125683060111</v>
      </c>
      <c r="O226">
        <f t="shared" si="14"/>
        <v>0.11119125683060077</v>
      </c>
    </row>
    <row r="227" spans="2:15" x14ac:dyDescent="0.25">
      <c r="B227" s="7">
        <v>20.88</v>
      </c>
      <c r="J227" s="7">
        <v>24.51</v>
      </c>
      <c r="K227">
        <v>1</v>
      </c>
      <c r="L227">
        <f t="shared" si="12"/>
        <v>2E-3</v>
      </c>
      <c r="M227">
        <f t="shared" si="15"/>
        <v>0.44600000000000034</v>
      </c>
      <c r="N227">
        <f t="shared" si="13"/>
        <v>0.55737704918032804</v>
      </c>
      <c r="O227">
        <f t="shared" si="14"/>
        <v>0.1113770491803277</v>
      </c>
    </row>
    <row r="228" spans="2:15" x14ac:dyDescent="0.25">
      <c r="B228" s="7">
        <v>25.29</v>
      </c>
      <c r="J228" s="7">
        <v>24.51</v>
      </c>
      <c r="K228">
        <v>1</v>
      </c>
      <c r="L228">
        <f t="shared" si="12"/>
        <v>2E-3</v>
      </c>
      <c r="M228">
        <f t="shared" si="15"/>
        <v>0.44800000000000034</v>
      </c>
      <c r="N228">
        <f t="shared" si="13"/>
        <v>0.55737704918032804</v>
      </c>
      <c r="O228">
        <f t="shared" si="14"/>
        <v>0.1093770491803277</v>
      </c>
    </row>
    <row r="229" spans="2:15" x14ac:dyDescent="0.25">
      <c r="B229" s="7">
        <v>24.57</v>
      </c>
      <c r="J229" s="7">
        <v>24.52</v>
      </c>
      <c r="K229">
        <v>1</v>
      </c>
      <c r="L229">
        <f t="shared" si="12"/>
        <v>2E-3</v>
      </c>
      <c r="M229">
        <f t="shared" si="15"/>
        <v>0.45000000000000034</v>
      </c>
      <c r="N229">
        <f t="shared" si="13"/>
        <v>0.55792349726775958</v>
      </c>
      <c r="O229">
        <f t="shared" si="14"/>
        <v>0.10792349726775924</v>
      </c>
    </row>
    <row r="230" spans="2:15" x14ac:dyDescent="0.25">
      <c r="B230" s="7">
        <v>24.81</v>
      </c>
      <c r="J230" s="7">
        <v>24.54</v>
      </c>
      <c r="K230">
        <v>1</v>
      </c>
      <c r="L230">
        <f t="shared" si="12"/>
        <v>2E-3</v>
      </c>
      <c r="M230">
        <f t="shared" si="15"/>
        <v>0.45200000000000035</v>
      </c>
      <c r="N230">
        <f t="shared" si="13"/>
        <v>0.55901639344262299</v>
      </c>
      <c r="O230">
        <f t="shared" si="14"/>
        <v>0.10701639344262265</v>
      </c>
    </row>
    <row r="231" spans="2:15" x14ac:dyDescent="0.25">
      <c r="B231" s="7">
        <v>17.52</v>
      </c>
      <c r="J231" s="7">
        <v>24.55</v>
      </c>
      <c r="K231">
        <v>1</v>
      </c>
      <c r="L231">
        <f t="shared" si="12"/>
        <v>2E-3</v>
      </c>
      <c r="M231">
        <f t="shared" si="15"/>
        <v>0.45400000000000035</v>
      </c>
      <c r="N231">
        <f t="shared" si="13"/>
        <v>0.55956284153005476</v>
      </c>
      <c r="O231">
        <f t="shared" si="14"/>
        <v>0.10556284153005441</v>
      </c>
    </row>
    <row r="232" spans="2:15" x14ac:dyDescent="0.25">
      <c r="B232" s="7">
        <v>24.6</v>
      </c>
      <c r="J232" s="7">
        <v>24.57</v>
      </c>
      <c r="K232">
        <v>1</v>
      </c>
      <c r="L232">
        <f t="shared" si="12"/>
        <v>2E-3</v>
      </c>
      <c r="M232">
        <f t="shared" si="15"/>
        <v>0.45600000000000035</v>
      </c>
      <c r="N232">
        <f t="shared" si="13"/>
        <v>0.56065573770491806</v>
      </c>
      <c r="O232">
        <f t="shared" si="14"/>
        <v>0.10465573770491771</v>
      </c>
    </row>
    <row r="233" spans="2:15" x14ac:dyDescent="0.25">
      <c r="B233" s="7">
        <v>27.23</v>
      </c>
      <c r="J233" s="7">
        <v>24.6</v>
      </c>
      <c r="K233">
        <v>1</v>
      </c>
      <c r="L233">
        <f t="shared" si="12"/>
        <v>2E-3</v>
      </c>
      <c r="M233">
        <f t="shared" si="15"/>
        <v>0.45800000000000035</v>
      </c>
      <c r="N233">
        <f t="shared" si="13"/>
        <v>0.56229508196721323</v>
      </c>
      <c r="O233">
        <f t="shared" si="14"/>
        <v>0.10429508196721288</v>
      </c>
    </row>
    <row r="234" spans="2:15" x14ac:dyDescent="0.25">
      <c r="B234" s="7">
        <v>21.45</v>
      </c>
      <c r="J234" s="7">
        <v>24.6</v>
      </c>
      <c r="K234">
        <v>1</v>
      </c>
      <c r="L234">
        <f t="shared" si="12"/>
        <v>2E-3</v>
      </c>
      <c r="M234">
        <f t="shared" si="15"/>
        <v>0.46000000000000035</v>
      </c>
      <c r="N234">
        <f t="shared" si="13"/>
        <v>0.56229508196721323</v>
      </c>
      <c r="O234">
        <f t="shared" si="14"/>
        <v>0.10229508196721288</v>
      </c>
    </row>
    <row r="235" spans="2:15" x14ac:dyDescent="0.25">
      <c r="B235" s="7">
        <v>28.08</v>
      </c>
      <c r="J235" s="7">
        <v>24.63</v>
      </c>
      <c r="K235">
        <v>1</v>
      </c>
      <c r="L235">
        <f t="shared" si="12"/>
        <v>2E-3</v>
      </c>
      <c r="M235">
        <f t="shared" si="15"/>
        <v>0.46200000000000035</v>
      </c>
      <c r="N235">
        <f t="shared" si="13"/>
        <v>0.56393442622950818</v>
      </c>
      <c r="O235">
        <f t="shared" si="14"/>
        <v>0.10193442622950782</v>
      </c>
    </row>
    <row r="236" spans="2:15" x14ac:dyDescent="0.25">
      <c r="B236" s="7">
        <v>26.26</v>
      </c>
      <c r="J236" s="7">
        <v>24.64</v>
      </c>
      <c r="K236">
        <v>1</v>
      </c>
      <c r="L236">
        <f t="shared" si="12"/>
        <v>2E-3</v>
      </c>
      <c r="M236">
        <f t="shared" si="15"/>
        <v>0.46400000000000036</v>
      </c>
      <c r="N236">
        <f t="shared" si="13"/>
        <v>0.56448087431693994</v>
      </c>
      <c r="O236">
        <f t="shared" si="14"/>
        <v>0.10048087431693958</v>
      </c>
    </row>
    <row r="237" spans="2:15" x14ac:dyDescent="0.25">
      <c r="B237" s="7">
        <v>27.12</v>
      </c>
      <c r="J237" s="7">
        <v>24.64</v>
      </c>
      <c r="K237">
        <v>1</v>
      </c>
      <c r="L237">
        <f t="shared" si="12"/>
        <v>2E-3</v>
      </c>
      <c r="M237">
        <f t="shared" si="15"/>
        <v>0.46600000000000036</v>
      </c>
      <c r="N237">
        <f t="shared" si="13"/>
        <v>0.56448087431693994</v>
      </c>
      <c r="O237">
        <f t="shared" si="14"/>
        <v>9.8480874316939582E-2</v>
      </c>
    </row>
    <row r="238" spans="2:15" x14ac:dyDescent="0.25">
      <c r="B238" s="7">
        <v>26.42</v>
      </c>
      <c r="J238" s="7">
        <v>24.66</v>
      </c>
      <c r="K238">
        <v>1</v>
      </c>
      <c r="L238">
        <f t="shared" si="12"/>
        <v>2E-3</v>
      </c>
      <c r="M238">
        <f t="shared" si="15"/>
        <v>0.46800000000000036</v>
      </c>
      <c r="N238">
        <f t="shared" si="13"/>
        <v>0.56557377049180335</v>
      </c>
      <c r="O238">
        <f t="shared" si="14"/>
        <v>9.7573770491802991E-2</v>
      </c>
    </row>
    <row r="239" spans="2:15" x14ac:dyDescent="0.25">
      <c r="B239" s="7">
        <v>22.95</v>
      </c>
      <c r="J239" s="7">
        <v>24.68</v>
      </c>
      <c r="K239">
        <v>1</v>
      </c>
      <c r="L239">
        <f t="shared" si="12"/>
        <v>2E-3</v>
      </c>
      <c r="M239">
        <f t="shared" si="15"/>
        <v>0.47000000000000036</v>
      </c>
      <c r="N239">
        <f t="shared" si="13"/>
        <v>0.56666666666666676</v>
      </c>
      <c r="O239">
        <f t="shared" si="14"/>
        <v>9.6666666666666401E-2</v>
      </c>
    </row>
    <row r="240" spans="2:15" x14ac:dyDescent="0.25">
      <c r="B240" s="7">
        <v>21.9</v>
      </c>
      <c r="J240" s="7">
        <v>24.69</v>
      </c>
      <c r="K240">
        <v>1</v>
      </c>
      <c r="L240">
        <f t="shared" si="12"/>
        <v>2E-3</v>
      </c>
      <c r="M240">
        <f t="shared" si="15"/>
        <v>0.47200000000000036</v>
      </c>
      <c r="N240">
        <f t="shared" si="13"/>
        <v>0.56721311475409852</v>
      </c>
      <c r="O240">
        <f t="shared" si="14"/>
        <v>9.521311475409816E-2</v>
      </c>
    </row>
    <row r="241" spans="2:15" x14ac:dyDescent="0.25">
      <c r="B241" s="7">
        <v>24.02</v>
      </c>
      <c r="J241" s="7">
        <v>24.7</v>
      </c>
      <c r="K241">
        <v>1</v>
      </c>
      <c r="L241">
        <f t="shared" si="12"/>
        <v>2E-3</v>
      </c>
      <c r="M241">
        <f t="shared" si="15"/>
        <v>0.47400000000000037</v>
      </c>
      <c r="N241">
        <f t="shared" si="13"/>
        <v>0.56775956284153006</v>
      </c>
      <c r="O241">
        <f t="shared" si="14"/>
        <v>9.3759562841529698E-2</v>
      </c>
    </row>
    <row r="242" spans="2:15" x14ac:dyDescent="0.25">
      <c r="B242" s="7">
        <v>22.61</v>
      </c>
      <c r="J242" s="7">
        <v>24.73</v>
      </c>
      <c r="K242">
        <v>1</v>
      </c>
      <c r="L242">
        <f t="shared" si="12"/>
        <v>2E-3</v>
      </c>
      <c r="M242">
        <f t="shared" si="15"/>
        <v>0.47600000000000037</v>
      </c>
      <c r="N242">
        <f t="shared" si="13"/>
        <v>0.56939890710382524</v>
      </c>
      <c r="O242">
        <f t="shared" si="14"/>
        <v>9.3398907103824869E-2</v>
      </c>
    </row>
    <row r="243" spans="2:15" x14ac:dyDescent="0.25">
      <c r="B243" s="7">
        <v>27.18</v>
      </c>
      <c r="J243" s="7">
        <v>24.74</v>
      </c>
      <c r="K243">
        <v>1</v>
      </c>
      <c r="L243">
        <f t="shared" si="12"/>
        <v>2E-3</v>
      </c>
      <c r="M243">
        <f t="shared" si="15"/>
        <v>0.47800000000000037</v>
      </c>
      <c r="N243">
        <f t="shared" si="13"/>
        <v>0.56994535519125678</v>
      </c>
      <c r="O243">
        <f t="shared" si="14"/>
        <v>9.1945355191256406E-2</v>
      </c>
    </row>
    <row r="244" spans="2:15" x14ac:dyDescent="0.25">
      <c r="B244" s="7">
        <v>25.89</v>
      </c>
      <c r="J244" s="7">
        <v>24.74</v>
      </c>
      <c r="K244">
        <v>1</v>
      </c>
      <c r="L244">
        <f t="shared" si="12"/>
        <v>2E-3</v>
      </c>
      <c r="M244">
        <f t="shared" si="15"/>
        <v>0.48000000000000037</v>
      </c>
      <c r="N244">
        <f t="shared" si="13"/>
        <v>0.56994535519125678</v>
      </c>
      <c r="O244">
        <f t="shared" si="14"/>
        <v>8.9945355191256404E-2</v>
      </c>
    </row>
    <row r="245" spans="2:15" x14ac:dyDescent="0.25">
      <c r="B245" s="7">
        <v>27.81</v>
      </c>
      <c r="J245" s="7">
        <v>24.75</v>
      </c>
      <c r="K245">
        <v>1</v>
      </c>
      <c r="L245">
        <f t="shared" si="12"/>
        <v>2E-3</v>
      </c>
      <c r="M245">
        <f t="shared" si="15"/>
        <v>0.48200000000000037</v>
      </c>
      <c r="N245">
        <f t="shared" si="13"/>
        <v>0.57049180327868854</v>
      </c>
      <c r="O245">
        <f t="shared" si="14"/>
        <v>8.8491803278688164E-2</v>
      </c>
    </row>
    <row r="246" spans="2:15" x14ac:dyDescent="0.25">
      <c r="B246" s="7">
        <v>25.43</v>
      </c>
      <c r="J246" s="7">
        <v>24.75</v>
      </c>
      <c r="K246">
        <v>1</v>
      </c>
      <c r="L246">
        <f t="shared" si="12"/>
        <v>2E-3</v>
      </c>
      <c r="M246">
        <f t="shared" si="15"/>
        <v>0.48400000000000037</v>
      </c>
      <c r="N246">
        <f t="shared" si="13"/>
        <v>0.57049180327868854</v>
      </c>
      <c r="O246">
        <f t="shared" si="14"/>
        <v>8.6491803278688162E-2</v>
      </c>
    </row>
    <row r="247" spans="2:15" x14ac:dyDescent="0.25">
      <c r="B247" s="7">
        <v>28.3</v>
      </c>
      <c r="J247" s="7">
        <v>24.76</v>
      </c>
      <c r="K247">
        <v>1</v>
      </c>
      <c r="L247">
        <f t="shared" si="12"/>
        <v>2E-3</v>
      </c>
      <c r="M247">
        <f t="shared" si="15"/>
        <v>0.48600000000000038</v>
      </c>
      <c r="N247">
        <f t="shared" si="13"/>
        <v>0.57103825136612041</v>
      </c>
      <c r="O247">
        <f t="shared" si="14"/>
        <v>8.5038251366120032E-2</v>
      </c>
    </row>
    <row r="248" spans="2:15" x14ac:dyDescent="0.25">
      <c r="B248" s="7">
        <v>22.49</v>
      </c>
      <c r="J248" s="7">
        <v>24.77</v>
      </c>
      <c r="K248">
        <v>1</v>
      </c>
      <c r="L248">
        <f t="shared" si="12"/>
        <v>2E-3</v>
      </c>
      <c r="M248">
        <f t="shared" si="15"/>
        <v>0.48800000000000038</v>
      </c>
      <c r="N248">
        <f t="shared" si="13"/>
        <v>0.57158469945355195</v>
      </c>
      <c r="O248">
        <f t="shared" si="14"/>
        <v>8.358469945355157E-2</v>
      </c>
    </row>
    <row r="249" spans="2:15" x14ac:dyDescent="0.25">
      <c r="B249" s="7">
        <v>25.96</v>
      </c>
      <c r="J249" s="7">
        <v>24.8</v>
      </c>
      <c r="K249">
        <v>1</v>
      </c>
      <c r="L249">
        <f t="shared" si="12"/>
        <v>2E-3</v>
      </c>
      <c r="M249">
        <f t="shared" si="15"/>
        <v>0.49000000000000038</v>
      </c>
      <c r="N249">
        <f t="shared" si="13"/>
        <v>0.57322404371584712</v>
      </c>
      <c r="O249">
        <f t="shared" si="14"/>
        <v>8.3224043715846741E-2</v>
      </c>
    </row>
    <row r="250" spans="2:15" x14ac:dyDescent="0.25">
      <c r="B250" s="7">
        <v>28.81</v>
      </c>
      <c r="J250" s="7">
        <v>24.8</v>
      </c>
      <c r="K250">
        <v>1</v>
      </c>
      <c r="L250">
        <f t="shared" si="12"/>
        <v>2E-3</v>
      </c>
      <c r="M250">
        <f t="shared" si="15"/>
        <v>0.49200000000000038</v>
      </c>
      <c r="N250">
        <f t="shared" si="13"/>
        <v>0.57322404371584712</v>
      </c>
      <c r="O250">
        <f t="shared" si="14"/>
        <v>8.1224043715846739E-2</v>
      </c>
    </row>
    <row r="251" spans="2:15" x14ac:dyDescent="0.25">
      <c r="B251" s="7">
        <v>24.18</v>
      </c>
      <c r="J251" s="7">
        <v>24.81</v>
      </c>
      <c r="K251">
        <v>1</v>
      </c>
      <c r="L251">
        <f t="shared" si="12"/>
        <v>2E-3</v>
      </c>
      <c r="M251">
        <f t="shared" si="15"/>
        <v>0.49400000000000038</v>
      </c>
      <c r="N251">
        <f t="shared" si="13"/>
        <v>0.57377049180327866</v>
      </c>
      <c r="O251">
        <f t="shared" si="14"/>
        <v>7.9770491803278276E-2</v>
      </c>
    </row>
    <row r="252" spans="2:15" x14ac:dyDescent="0.25">
      <c r="B252" s="7">
        <v>26.04</v>
      </c>
      <c r="J252" s="7">
        <v>24.81</v>
      </c>
      <c r="K252">
        <v>1</v>
      </c>
      <c r="L252">
        <f t="shared" si="12"/>
        <v>2E-3</v>
      </c>
      <c r="M252">
        <f t="shared" si="15"/>
        <v>0.49600000000000039</v>
      </c>
      <c r="N252">
        <f t="shared" si="13"/>
        <v>0.57377049180327866</v>
      </c>
      <c r="O252">
        <f t="shared" si="14"/>
        <v>7.7770491803278274E-2</v>
      </c>
    </row>
    <row r="253" spans="2:15" x14ac:dyDescent="0.25">
      <c r="B253" s="7">
        <v>22.94</v>
      </c>
      <c r="J253" s="7">
        <v>24.83</v>
      </c>
      <c r="K253">
        <v>1</v>
      </c>
      <c r="L253">
        <f t="shared" si="12"/>
        <v>2E-3</v>
      </c>
      <c r="M253">
        <f t="shared" si="15"/>
        <v>0.49800000000000039</v>
      </c>
      <c r="N253">
        <f t="shared" si="13"/>
        <v>0.57486338797814207</v>
      </c>
      <c r="O253">
        <f t="shared" si="14"/>
        <v>7.6863387978141684E-2</v>
      </c>
    </row>
    <row r="254" spans="2:15" x14ac:dyDescent="0.25">
      <c r="B254" s="7">
        <v>23.7</v>
      </c>
      <c r="J254" s="7">
        <v>24.84</v>
      </c>
      <c r="K254">
        <v>1</v>
      </c>
      <c r="L254">
        <f t="shared" si="12"/>
        <v>2E-3</v>
      </c>
      <c r="M254">
        <f t="shared" si="15"/>
        <v>0.50000000000000033</v>
      </c>
      <c r="N254">
        <f t="shared" si="13"/>
        <v>0.57540983606557383</v>
      </c>
      <c r="O254">
        <f t="shared" si="14"/>
        <v>7.5409836065573499E-2</v>
      </c>
    </row>
    <row r="255" spans="2:15" x14ac:dyDescent="0.25">
      <c r="B255" s="7">
        <v>17.739999999999998</v>
      </c>
      <c r="J255" s="7">
        <v>24.84</v>
      </c>
      <c r="K255">
        <v>1</v>
      </c>
      <c r="L255">
        <f t="shared" si="12"/>
        <v>2E-3</v>
      </c>
      <c r="M255">
        <f t="shared" si="15"/>
        <v>0.50200000000000033</v>
      </c>
      <c r="N255">
        <f t="shared" si="13"/>
        <v>0.57540983606557383</v>
      </c>
      <c r="O255">
        <f t="shared" si="14"/>
        <v>7.3409836065573497E-2</v>
      </c>
    </row>
    <row r="256" spans="2:15" x14ac:dyDescent="0.25">
      <c r="B256" s="7">
        <v>25.83</v>
      </c>
      <c r="J256" s="7">
        <v>24.84</v>
      </c>
      <c r="K256">
        <v>1</v>
      </c>
      <c r="L256">
        <f t="shared" si="12"/>
        <v>2E-3</v>
      </c>
      <c r="M256">
        <f t="shared" si="15"/>
        <v>0.50400000000000034</v>
      </c>
      <c r="N256">
        <f t="shared" si="13"/>
        <v>0.57540983606557383</v>
      </c>
      <c r="O256">
        <f t="shared" si="14"/>
        <v>7.1409836065573495E-2</v>
      </c>
    </row>
    <row r="257" spans="2:15" x14ac:dyDescent="0.25">
      <c r="B257" s="7">
        <v>21.62</v>
      </c>
      <c r="J257" s="7">
        <v>24.89</v>
      </c>
      <c r="K257">
        <v>1</v>
      </c>
      <c r="L257">
        <f t="shared" si="12"/>
        <v>2E-3</v>
      </c>
      <c r="M257">
        <f t="shared" si="15"/>
        <v>0.50600000000000034</v>
      </c>
      <c r="N257">
        <f t="shared" si="13"/>
        <v>0.5781420765027323</v>
      </c>
      <c r="O257">
        <f t="shared" si="14"/>
        <v>7.2142076502731967E-2</v>
      </c>
    </row>
    <row r="258" spans="2:15" x14ac:dyDescent="0.25">
      <c r="B258" s="7">
        <v>24.96</v>
      </c>
      <c r="J258" s="7">
        <v>24.91</v>
      </c>
      <c r="K258">
        <v>1</v>
      </c>
      <c r="L258">
        <f t="shared" si="12"/>
        <v>2E-3</v>
      </c>
      <c r="M258">
        <f t="shared" si="15"/>
        <v>0.50800000000000034</v>
      </c>
      <c r="N258">
        <f t="shared" si="13"/>
        <v>0.57923497267759572</v>
      </c>
      <c r="O258">
        <f t="shared" si="14"/>
        <v>7.1234972677595376E-2</v>
      </c>
    </row>
    <row r="259" spans="2:15" x14ac:dyDescent="0.25">
      <c r="B259" s="7">
        <v>24.41</v>
      </c>
      <c r="J259" s="7">
        <v>24.94</v>
      </c>
      <c r="K259">
        <v>1</v>
      </c>
      <c r="L259">
        <f t="shared" si="12"/>
        <v>2E-3</v>
      </c>
      <c r="M259">
        <f t="shared" si="15"/>
        <v>0.51000000000000034</v>
      </c>
      <c r="N259">
        <f t="shared" si="13"/>
        <v>0.58087431693989089</v>
      </c>
      <c r="O259">
        <f t="shared" si="14"/>
        <v>7.0874316939890547E-2</v>
      </c>
    </row>
    <row r="260" spans="2:15" x14ac:dyDescent="0.25">
      <c r="B260" s="7">
        <v>26.2</v>
      </c>
      <c r="J260" s="7">
        <v>24.95</v>
      </c>
      <c r="K260">
        <v>1</v>
      </c>
      <c r="L260">
        <f t="shared" si="12"/>
        <v>2E-3</v>
      </c>
      <c r="M260">
        <f t="shared" si="15"/>
        <v>0.51200000000000034</v>
      </c>
      <c r="N260">
        <f t="shared" si="13"/>
        <v>0.58142076502732243</v>
      </c>
      <c r="O260">
        <f t="shared" si="14"/>
        <v>6.9420765027322084E-2</v>
      </c>
    </row>
    <row r="261" spans="2:15" x14ac:dyDescent="0.25">
      <c r="B261" s="7">
        <v>22.03</v>
      </c>
      <c r="J261" s="7">
        <v>24.96</v>
      </c>
      <c r="K261">
        <v>1</v>
      </c>
      <c r="L261">
        <f t="shared" si="12"/>
        <v>2E-3</v>
      </c>
      <c r="M261">
        <f t="shared" si="15"/>
        <v>0.51400000000000035</v>
      </c>
      <c r="N261">
        <f t="shared" si="13"/>
        <v>0.58196721311475419</v>
      </c>
      <c r="O261">
        <f t="shared" si="14"/>
        <v>6.7967213114753844E-2</v>
      </c>
    </row>
    <row r="262" spans="2:15" x14ac:dyDescent="0.25">
      <c r="B262" s="7">
        <v>27.17</v>
      </c>
      <c r="J262" s="7">
        <v>24.97</v>
      </c>
      <c r="K262">
        <v>1</v>
      </c>
      <c r="L262">
        <f t="shared" ref="L262:L325" si="16">K262/$E$20</f>
        <v>2E-3</v>
      </c>
      <c r="M262">
        <f t="shared" si="15"/>
        <v>0.51600000000000035</v>
      </c>
      <c r="N262">
        <f t="shared" ref="N262:N325" si="17">(J262-$H$7)/($H$8-$H$7)</f>
        <v>0.58251366120218584</v>
      </c>
      <c r="O262">
        <f t="shared" ref="O262:O325" si="18">ABS(M262-N262)</f>
        <v>6.6513661202185492E-2</v>
      </c>
    </row>
    <row r="263" spans="2:15" x14ac:dyDescent="0.25">
      <c r="B263" s="7">
        <v>28.6</v>
      </c>
      <c r="J263" s="7">
        <v>25</v>
      </c>
      <c r="K263">
        <v>1</v>
      </c>
      <c r="L263">
        <f t="shared" si="16"/>
        <v>2E-3</v>
      </c>
      <c r="M263">
        <f t="shared" ref="M263:M326" si="19">M262+L263</f>
        <v>0.51800000000000035</v>
      </c>
      <c r="N263">
        <f t="shared" si="17"/>
        <v>0.5841530054644809</v>
      </c>
      <c r="O263">
        <f t="shared" si="18"/>
        <v>6.6153005464480552E-2</v>
      </c>
    </row>
    <row r="264" spans="2:15" x14ac:dyDescent="0.25">
      <c r="B264" s="7">
        <v>23.7</v>
      </c>
      <c r="J264" s="7">
        <v>25</v>
      </c>
      <c r="K264">
        <v>1</v>
      </c>
      <c r="L264">
        <f t="shared" si="16"/>
        <v>2E-3</v>
      </c>
      <c r="M264">
        <f t="shared" si="19"/>
        <v>0.52000000000000035</v>
      </c>
      <c r="N264">
        <f t="shared" si="17"/>
        <v>0.5841530054644809</v>
      </c>
      <c r="O264">
        <f t="shared" si="18"/>
        <v>6.415300546448055E-2</v>
      </c>
    </row>
    <row r="265" spans="2:15" x14ac:dyDescent="0.25">
      <c r="B265" s="7">
        <v>23.07</v>
      </c>
      <c r="J265" s="7">
        <v>25.03</v>
      </c>
      <c r="K265">
        <v>1</v>
      </c>
      <c r="L265">
        <f t="shared" si="16"/>
        <v>2E-3</v>
      </c>
      <c r="M265">
        <f t="shared" si="19"/>
        <v>0.52200000000000035</v>
      </c>
      <c r="N265">
        <f t="shared" si="17"/>
        <v>0.58579234972677607</v>
      </c>
      <c r="O265">
        <f t="shared" si="18"/>
        <v>6.3792349726775721E-2</v>
      </c>
    </row>
    <row r="266" spans="2:15" x14ac:dyDescent="0.25">
      <c r="B266" s="7">
        <v>21.38</v>
      </c>
      <c r="J266" s="7">
        <v>25.09</v>
      </c>
      <c r="K266">
        <v>1</v>
      </c>
      <c r="L266">
        <f t="shared" si="16"/>
        <v>2E-3</v>
      </c>
      <c r="M266">
        <f t="shared" si="19"/>
        <v>0.52400000000000035</v>
      </c>
      <c r="N266">
        <f t="shared" si="17"/>
        <v>0.5890710382513662</v>
      </c>
      <c r="O266">
        <f t="shared" si="18"/>
        <v>6.5071038251365843E-2</v>
      </c>
    </row>
    <row r="267" spans="2:15" x14ac:dyDescent="0.25">
      <c r="B267" s="7">
        <v>27.6</v>
      </c>
      <c r="J267" s="7">
        <v>25.11</v>
      </c>
      <c r="K267">
        <v>1</v>
      </c>
      <c r="L267">
        <f t="shared" si="16"/>
        <v>2E-3</v>
      </c>
      <c r="M267">
        <f t="shared" si="19"/>
        <v>0.52600000000000036</v>
      </c>
      <c r="N267">
        <f t="shared" si="17"/>
        <v>0.5901639344262295</v>
      </c>
      <c r="O267">
        <f t="shared" si="18"/>
        <v>6.4163934426229141E-2</v>
      </c>
    </row>
    <row r="268" spans="2:15" x14ac:dyDescent="0.25">
      <c r="B268" s="7">
        <v>30.45</v>
      </c>
      <c r="J268" s="7">
        <v>25.11</v>
      </c>
      <c r="K268">
        <v>1</v>
      </c>
      <c r="L268">
        <f t="shared" si="16"/>
        <v>2E-3</v>
      </c>
      <c r="M268">
        <f t="shared" si="19"/>
        <v>0.52800000000000036</v>
      </c>
      <c r="N268">
        <f t="shared" si="17"/>
        <v>0.5901639344262295</v>
      </c>
      <c r="O268">
        <f t="shared" si="18"/>
        <v>6.2163934426229139E-2</v>
      </c>
    </row>
    <row r="269" spans="2:15" x14ac:dyDescent="0.25">
      <c r="B269" s="7">
        <v>23.11</v>
      </c>
      <c r="J269" s="7">
        <v>25.13</v>
      </c>
      <c r="K269">
        <v>1</v>
      </c>
      <c r="L269">
        <f t="shared" si="16"/>
        <v>2E-3</v>
      </c>
      <c r="M269">
        <f t="shared" si="19"/>
        <v>0.53000000000000036</v>
      </c>
      <c r="N269">
        <f t="shared" si="17"/>
        <v>0.59125683060109291</v>
      </c>
      <c r="O269">
        <f t="shared" si="18"/>
        <v>6.1256830601092549E-2</v>
      </c>
    </row>
    <row r="270" spans="2:15" x14ac:dyDescent="0.25">
      <c r="B270" s="7">
        <v>20.64</v>
      </c>
      <c r="J270" s="7">
        <v>25.13</v>
      </c>
      <c r="K270">
        <v>1</v>
      </c>
      <c r="L270">
        <f t="shared" si="16"/>
        <v>2E-3</v>
      </c>
      <c r="M270">
        <f t="shared" si="19"/>
        <v>0.53200000000000036</v>
      </c>
      <c r="N270">
        <f t="shared" si="17"/>
        <v>0.59125683060109291</v>
      </c>
      <c r="O270">
        <f t="shared" si="18"/>
        <v>5.9256830601092547E-2</v>
      </c>
    </row>
    <row r="271" spans="2:15" x14ac:dyDescent="0.25">
      <c r="B271" s="7">
        <v>29.59</v>
      </c>
      <c r="J271" s="7">
        <v>25.19</v>
      </c>
      <c r="K271">
        <v>1</v>
      </c>
      <c r="L271">
        <f t="shared" si="16"/>
        <v>2E-3</v>
      </c>
      <c r="M271">
        <f t="shared" si="19"/>
        <v>0.53400000000000036</v>
      </c>
      <c r="N271">
        <f t="shared" si="17"/>
        <v>0.59453551912568314</v>
      </c>
      <c r="O271">
        <f t="shared" si="18"/>
        <v>6.053551912568278E-2</v>
      </c>
    </row>
    <row r="272" spans="2:15" x14ac:dyDescent="0.25">
      <c r="B272" s="7">
        <v>27.05</v>
      </c>
      <c r="J272" s="7">
        <v>25.2</v>
      </c>
      <c r="K272">
        <v>1</v>
      </c>
      <c r="L272">
        <f t="shared" si="16"/>
        <v>2E-3</v>
      </c>
      <c r="M272">
        <f t="shared" si="19"/>
        <v>0.53600000000000037</v>
      </c>
      <c r="N272">
        <f t="shared" si="17"/>
        <v>0.59508196721311479</v>
      </c>
      <c r="O272">
        <f t="shared" si="18"/>
        <v>5.9081967213114428E-2</v>
      </c>
    </row>
    <row r="273" spans="2:15" x14ac:dyDescent="0.25">
      <c r="B273" s="7">
        <v>27.04</v>
      </c>
      <c r="J273" s="7">
        <v>25.21</v>
      </c>
      <c r="K273">
        <v>1</v>
      </c>
      <c r="L273">
        <f t="shared" si="16"/>
        <v>2E-3</v>
      </c>
      <c r="M273">
        <f t="shared" si="19"/>
        <v>0.53800000000000037</v>
      </c>
      <c r="N273">
        <f t="shared" si="17"/>
        <v>0.59562841530054655</v>
      </c>
      <c r="O273">
        <f t="shared" si="18"/>
        <v>5.7628415300546187E-2</v>
      </c>
    </row>
    <row r="274" spans="2:15" x14ac:dyDescent="0.25">
      <c r="B274" s="7">
        <v>29.04</v>
      </c>
      <c r="J274" s="7">
        <v>25.21</v>
      </c>
      <c r="K274">
        <v>1</v>
      </c>
      <c r="L274">
        <f t="shared" si="16"/>
        <v>2E-3</v>
      </c>
      <c r="M274">
        <f t="shared" si="19"/>
        <v>0.54000000000000037</v>
      </c>
      <c r="N274">
        <f t="shared" si="17"/>
        <v>0.59562841530054655</v>
      </c>
      <c r="O274">
        <f t="shared" si="18"/>
        <v>5.5628415300546186E-2</v>
      </c>
    </row>
    <row r="275" spans="2:15" x14ac:dyDescent="0.25">
      <c r="B275" s="7">
        <v>32.15</v>
      </c>
      <c r="J275" s="7">
        <v>25.22</v>
      </c>
      <c r="K275">
        <v>1</v>
      </c>
      <c r="L275">
        <f t="shared" si="16"/>
        <v>2E-3</v>
      </c>
      <c r="M275">
        <f t="shared" si="19"/>
        <v>0.54200000000000037</v>
      </c>
      <c r="N275">
        <f t="shared" si="17"/>
        <v>0.59617486338797809</v>
      </c>
      <c r="O275">
        <f t="shared" si="18"/>
        <v>5.4174863387977723E-2</v>
      </c>
    </row>
    <row r="276" spans="2:15" x14ac:dyDescent="0.25">
      <c r="B276" s="7">
        <v>25</v>
      </c>
      <c r="J276" s="7">
        <v>25.26</v>
      </c>
      <c r="K276">
        <v>1</v>
      </c>
      <c r="L276">
        <f t="shared" si="16"/>
        <v>2E-3</v>
      </c>
      <c r="M276">
        <f t="shared" si="19"/>
        <v>0.54400000000000037</v>
      </c>
      <c r="N276">
        <f t="shared" si="17"/>
        <v>0.59836065573770503</v>
      </c>
      <c r="O276">
        <f t="shared" si="18"/>
        <v>5.4360655737704655E-2</v>
      </c>
    </row>
    <row r="277" spans="2:15" x14ac:dyDescent="0.25">
      <c r="B277" s="7">
        <v>29.92</v>
      </c>
      <c r="J277" s="7">
        <v>25.27</v>
      </c>
      <c r="K277">
        <v>1</v>
      </c>
      <c r="L277">
        <f t="shared" si="16"/>
        <v>2E-3</v>
      </c>
      <c r="M277">
        <f t="shared" si="19"/>
        <v>0.54600000000000037</v>
      </c>
      <c r="N277">
        <f t="shared" si="17"/>
        <v>0.59890710382513668</v>
      </c>
      <c r="O277">
        <f t="shared" si="18"/>
        <v>5.2907103825136303E-2</v>
      </c>
    </row>
    <row r="278" spans="2:15" x14ac:dyDescent="0.25">
      <c r="B278" s="7">
        <v>25.03</v>
      </c>
      <c r="J278" s="7">
        <v>25.28</v>
      </c>
      <c r="K278">
        <v>1</v>
      </c>
      <c r="L278">
        <f t="shared" si="16"/>
        <v>2E-3</v>
      </c>
      <c r="M278">
        <f t="shared" si="19"/>
        <v>0.54800000000000038</v>
      </c>
      <c r="N278">
        <f t="shared" si="17"/>
        <v>0.59945355191256844</v>
      </c>
      <c r="O278">
        <f t="shared" si="18"/>
        <v>5.1453551912568063E-2</v>
      </c>
    </row>
    <row r="279" spans="2:15" x14ac:dyDescent="0.25">
      <c r="B279" s="7">
        <v>21.79</v>
      </c>
      <c r="J279" s="7">
        <v>25.28</v>
      </c>
      <c r="K279">
        <v>1</v>
      </c>
      <c r="L279">
        <f t="shared" si="16"/>
        <v>2E-3</v>
      </c>
      <c r="M279">
        <f t="shared" si="19"/>
        <v>0.55000000000000038</v>
      </c>
      <c r="N279">
        <f t="shared" si="17"/>
        <v>0.59945355191256844</v>
      </c>
      <c r="O279">
        <f t="shared" si="18"/>
        <v>4.9453551912568061E-2</v>
      </c>
    </row>
    <row r="280" spans="2:15" x14ac:dyDescent="0.25">
      <c r="B280" s="7">
        <v>27.22</v>
      </c>
      <c r="J280" s="7">
        <v>25.28</v>
      </c>
      <c r="K280">
        <v>1</v>
      </c>
      <c r="L280">
        <f t="shared" si="16"/>
        <v>2E-3</v>
      </c>
      <c r="M280">
        <f t="shared" si="19"/>
        <v>0.55200000000000038</v>
      </c>
      <c r="N280">
        <f t="shared" si="17"/>
        <v>0.59945355191256844</v>
      </c>
      <c r="O280">
        <f t="shared" si="18"/>
        <v>4.7453551912568059E-2</v>
      </c>
    </row>
    <row r="281" spans="2:15" x14ac:dyDescent="0.25">
      <c r="B281" s="7">
        <v>24.31</v>
      </c>
      <c r="J281" s="7">
        <v>25.29</v>
      </c>
      <c r="K281">
        <v>1</v>
      </c>
      <c r="L281">
        <f t="shared" si="16"/>
        <v>2E-3</v>
      </c>
      <c r="M281">
        <f t="shared" si="19"/>
        <v>0.55400000000000038</v>
      </c>
      <c r="N281">
        <f t="shared" si="17"/>
        <v>0.6</v>
      </c>
      <c r="O281">
        <f t="shared" si="18"/>
        <v>4.5999999999999597E-2</v>
      </c>
    </row>
    <row r="282" spans="2:15" x14ac:dyDescent="0.25">
      <c r="B282" s="7">
        <v>30.36</v>
      </c>
      <c r="J282" s="7">
        <v>25.34</v>
      </c>
      <c r="K282">
        <v>1</v>
      </c>
      <c r="L282">
        <f t="shared" si="16"/>
        <v>2E-3</v>
      </c>
      <c r="M282">
        <f t="shared" si="19"/>
        <v>0.55600000000000038</v>
      </c>
      <c r="N282">
        <f t="shared" si="17"/>
        <v>0.60273224043715856</v>
      </c>
      <c r="O282">
        <f t="shared" si="18"/>
        <v>4.6732240437158179E-2</v>
      </c>
    </row>
    <row r="283" spans="2:15" x14ac:dyDescent="0.25">
      <c r="B283" s="7">
        <v>23.24</v>
      </c>
      <c r="J283" s="7">
        <v>25.36</v>
      </c>
      <c r="K283">
        <v>1</v>
      </c>
      <c r="L283">
        <f t="shared" si="16"/>
        <v>2E-3</v>
      </c>
      <c r="M283">
        <f t="shared" si="19"/>
        <v>0.55800000000000038</v>
      </c>
      <c r="N283">
        <f t="shared" si="17"/>
        <v>0.60382513661202186</v>
      </c>
      <c r="O283">
        <f t="shared" si="18"/>
        <v>4.5825136612021478E-2</v>
      </c>
    </row>
    <row r="284" spans="2:15" x14ac:dyDescent="0.25">
      <c r="B284" s="7">
        <v>26.95</v>
      </c>
      <c r="J284" s="7">
        <v>25.38</v>
      </c>
      <c r="K284">
        <v>1</v>
      </c>
      <c r="L284">
        <f t="shared" si="16"/>
        <v>2E-3</v>
      </c>
      <c r="M284">
        <f t="shared" si="19"/>
        <v>0.56000000000000039</v>
      </c>
      <c r="N284">
        <f t="shared" si="17"/>
        <v>0.60491803278688527</v>
      </c>
      <c r="O284">
        <f t="shared" si="18"/>
        <v>4.4918032786884887E-2</v>
      </c>
    </row>
    <row r="285" spans="2:15" x14ac:dyDescent="0.25">
      <c r="B285" s="7">
        <v>25.58</v>
      </c>
      <c r="J285" s="7">
        <v>25.43</v>
      </c>
      <c r="K285">
        <v>1</v>
      </c>
      <c r="L285">
        <f t="shared" si="16"/>
        <v>2E-3</v>
      </c>
      <c r="M285">
        <f t="shared" si="19"/>
        <v>0.56200000000000039</v>
      </c>
      <c r="N285">
        <f t="shared" si="17"/>
        <v>0.60765027322404375</v>
      </c>
      <c r="O285">
        <f t="shared" si="18"/>
        <v>4.5650273224043358E-2</v>
      </c>
    </row>
    <row r="286" spans="2:15" x14ac:dyDescent="0.25">
      <c r="B286" s="7">
        <v>25.21</v>
      </c>
      <c r="J286" s="7">
        <v>25.44</v>
      </c>
      <c r="K286">
        <v>1</v>
      </c>
      <c r="L286">
        <f t="shared" si="16"/>
        <v>2E-3</v>
      </c>
      <c r="M286">
        <f t="shared" si="19"/>
        <v>0.56400000000000039</v>
      </c>
      <c r="N286">
        <f t="shared" si="17"/>
        <v>0.60819672131147551</v>
      </c>
      <c r="O286">
        <f t="shared" si="18"/>
        <v>4.4196721311475118E-2</v>
      </c>
    </row>
    <row r="287" spans="2:15" x14ac:dyDescent="0.25">
      <c r="B287" s="7">
        <v>24.54</v>
      </c>
      <c r="J287" s="7">
        <v>25.48</v>
      </c>
      <c r="K287">
        <v>1</v>
      </c>
      <c r="L287">
        <f t="shared" si="16"/>
        <v>2E-3</v>
      </c>
      <c r="M287">
        <f t="shared" si="19"/>
        <v>0.56600000000000039</v>
      </c>
      <c r="N287">
        <f t="shared" si="17"/>
        <v>0.61038251366120233</v>
      </c>
      <c r="O287">
        <f t="shared" si="18"/>
        <v>4.4382513661201939E-2</v>
      </c>
    </row>
    <row r="288" spans="2:15" x14ac:dyDescent="0.25">
      <c r="B288" s="7">
        <v>25.21</v>
      </c>
      <c r="J288" s="7">
        <v>25.5</v>
      </c>
      <c r="K288">
        <v>1</v>
      </c>
      <c r="L288">
        <f t="shared" si="16"/>
        <v>2E-3</v>
      </c>
      <c r="M288">
        <f t="shared" si="19"/>
        <v>0.56800000000000039</v>
      </c>
      <c r="N288">
        <f t="shared" si="17"/>
        <v>0.61147540983606563</v>
      </c>
      <c r="O288">
        <f t="shared" si="18"/>
        <v>4.3475409836065237E-2</v>
      </c>
    </row>
    <row r="289" spans="2:15" x14ac:dyDescent="0.25">
      <c r="B289" s="7">
        <v>29.55</v>
      </c>
      <c r="J289" s="7">
        <v>25.5</v>
      </c>
      <c r="K289">
        <v>1</v>
      </c>
      <c r="L289">
        <f t="shared" si="16"/>
        <v>2E-3</v>
      </c>
      <c r="M289">
        <f t="shared" si="19"/>
        <v>0.5700000000000004</v>
      </c>
      <c r="N289">
        <f t="shared" si="17"/>
        <v>0.61147540983606563</v>
      </c>
      <c r="O289">
        <f t="shared" si="18"/>
        <v>4.1475409836065236E-2</v>
      </c>
    </row>
    <row r="290" spans="2:15" x14ac:dyDescent="0.25">
      <c r="B290" s="7">
        <v>27.26</v>
      </c>
      <c r="J290" s="7">
        <v>25.52</v>
      </c>
      <c r="K290">
        <v>1</v>
      </c>
      <c r="L290">
        <f t="shared" si="16"/>
        <v>2E-3</v>
      </c>
      <c r="M290">
        <f t="shared" si="19"/>
        <v>0.5720000000000004</v>
      </c>
      <c r="N290">
        <f t="shared" si="17"/>
        <v>0.61256830601092904</v>
      </c>
      <c r="O290">
        <f t="shared" si="18"/>
        <v>4.0568306010928645E-2</v>
      </c>
    </row>
    <row r="291" spans="2:15" x14ac:dyDescent="0.25">
      <c r="B291" s="7">
        <v>23.59</v>
      </c>
      <c r="J291" s="7">
        <v>25.52</v>
      </c>
      <c r="K291">
        <v>1</v>
      </c>
      <c r="L291">
        <f t="shared" si="16"/>
        <v>2E-3</v>
      </c>
      <c r="M291">
        <f t="shared" si="19"/>
        <v>0.5740000000000004</v>
      </c>
      <c r="N291">
        <f t="shared" si="17"/>
        <v>0.61256830601092904</v>
      </c>
      <c r="O291">
        <f t="shared" si="18"/>
        <v>3.8568306010928644E-2</v>
      </c>
    </row>
    <row r="292" spans="2:15" x14ac:dyDescent="0.25">
      <c r="B292" s="7">
        <v>23.14</v>
      </c>
      <c r="J292" s="7">
        <v>25.54</v>
      </c>
      <c r="K292">
        <v>1</v>
      </c>
      <c r="L292">
        <f t="shared" si="16"/>
        <v>2E-3</v>
      </c>
      <c r="M292">
        <f t="shared" si="19"/>
        <v>0.5760000000000004</v>
      </c>
      <c r="N292">
        <f t="shared" si="17"/>
        <v>0.61366120218579234</v>
      </c>
      <c r="O292">
        <f t="shared" si="18"/>
        <v>3.7661202185791942E-2</v>
      </c>
    </row>
    <row r="293" spans="2:15" x14ac:dyDescent="0.25">
      <c r="B293" s="7">
        <v>28.34</v>
      </c>
      <c r="J293" s="7">
        <v>25.57</v>
      </c>
      <c r="K293">
        <v>1</v>
      </c>
      <c r="L293">
        <f t="shared" si="16"/>
        <v>2E-3</v>
      </c>
      <c r="M293">
        <f t="shared" si="19"/>
        <v>0.5780000000000004</v>
      </c>
      <c r="N293">
        <f t="shared" si="17"/>
        <v>0.61530054644808752</v>
      </c>
      <c r="O293">
        <f t="shared" si="18"/>
        <v>3.7300546448087113E-2</v>
      </c>
    </row>
    <row r="294" spans="2:15" x14ac:dyDescent="0.25">
      <c r="B294" s="7">
        <v>26.18</v>
      </c>
      <c r="J294" s="7">
        <v>25.58</v>
      </c>
      <c r="K294">
        <v>1</v>
      </c>
      <c r="L294">
        <f t="shared" si="16"/>
        <v>2E-3</v>
      </c>
      <c r="M294">
        <f t="shared" si="19"/>
        <v>0.5800000000000004</v>
      </c>
      <c r="N294">
        <f t="shared" si="17"/>
        <v>0.61584699453551905</v>
      </c>
      <c r="O294">
        <f t="shared" si="18"/>
        <v>3.584699453551865E-2</v>
      </c>
    </row>
    <row r="295" spans="2:15" x14ac:dyDescent="0.25">
      <c r="B295" s="7">
        <v>23.22</v>
      </c>
      <c r="J295" s="7">
        <v>25.6</v>
      </c>
      <c r="K295">
        <v>1</v>
      </c>
      <c r="L295">
        <f t="shared" si="16"/>
        <v>2E-3</v>
      </c>
      <c r="M295">
        <f t="shared" si="19"/>
        <v>0.58200000000000041</v>
      </c>
      <c r="N295">
        <f t="shared" si="17"/>
        <v>0.61693989071038269</v>
      </c>
      <c r="O295">
        <f t="shared" si="18"/>
        <v>3.4939890710382282E-2</v>
      </c>
    </row>
    <row r="296" spans="2:15" x14ac:dyDescent="0.25">
      <c r="B296" s="7">
        <v>27.08</v>
      </c>
      <c r="J296" s="7">
        <v>25.6</v>
      </c>
      <c r="K296">
        <v>1</v>
      </c>
      <c r="L296">
        <f t="shared" si="16"/>
        <v>2E-3</v>
      </c>
      <c r="M296">
        <f t="shared" si="19"/>
        <v>0.58400000000000041</v>
      </c>
      <c r="N296">
        <f t="shared" si="17"/>
        <v>0.61693989071038269</v>
      </c>
      <c r="O296">
        <f t="shared" si="18"/>
        <v>3.293989071038228E-2</v>
      </c>
    </row>
    <row r="297" spans="2:15" x14ac:dyDescent="0.25">
      <c r="B297" s="7">
        <v>28.68</v>
      </c>
      <c r="J297" s="7">
        <v>25.62</v>
      </c>
      <c r="K297">
        <v>1</v>
      </c>
      <c r="L297">
        <f t="shared" si="16"/>
        <v>2E-3</v>
      </c>
      <c r="M297">
        <f t="shared" si="19"/>
        <v>0.58600000000000041</v>
      </c>
      <c r="N297">
        <f t="shared" si="17"/>
        <v>0.61803278688524599</v>
      </c>
      <c r="O297">
        <f t="shared" si="18"/>
        <v>3.2032786885245579E-2</v>
      </c>
    </row>
    <row r="298" spans="2:15" x14ac:dyDescent="0.25">
      <c r="B298" s="7">
        <v>24.27</v>
      </c>
      <c r="J298" s="7">
        <v>25.62</v>
      </c>
      <c r="K298">
        <v>1</v>
      </c>
      <c r="L298">
        <f t="shared" si="16"/>
        <v>2E-3</v>
      </c>
      <c r="M298">
        <f t="shared" si="19"/>
        <v>0.58800000000000041</v>
      </c>
      <c r="N298">
        <f t="shared" si="17"/>
        <v>0.61803278688524599</v>
      </c>
      <c r="O298">
        <f t="shared" si="18"/>
        <v>3.0032786885245577E-2</v>
      </c>
    </row>
    <row r="299" spans="2:15" x14ac:dyDescent="0.25">
      <c r="B299" s="7">
        <v>26.74</v>
      </c>
      <c r="J299" s="7">
        <v>25.68</v>
      </c>
      <c r="K299">
        <v>1</v>
      </c>
      <c r="L299">
        <f t="shared" si="16"/>
        <v>2E-3</v>
      </c>
      <c r="M299">
        <f t="shared" si="19"/>
        <v>0.59000000000000041</v>
      </c>
      <c r="N299">
        <f t="shared" si="17"/>
        <v>0.62131147540983611</v>
      </c>
      <c r="O299">
        <f t="shared" si="18"/>
        <v>3.1311475409835698E-2</v>
      </c>
    </row>
    <row r="300" spans="2:15" x14ac:dyDescent="0.25">
      <c r="B300" s="7">
        <v>28.77</v>
      </c>
      <c r="J300" s="7">
        <v>25.69</v>
      </c>
      <c r="K300">
        <v>1</v>
      </c>
      <c r="L300">
        <f t="shared" si="16"/>
        <v>2E-3</v>
      </c>
      <c r="M300">
        <f t="shared" si="19"/>
        <v>0.59200000000000041</v>
      </c>
      <c r="N300">
        <f t="shared" si="17"/>
        <v>0.62185792349726787</v>
      </c>
      <c r="O300">
        <f t="shared" si="18"/>
        <v>2.9857923497267458E-2</v>
      </c>
    </row>
    <row r="301" spans="2:15" x14ac:dyDescent="0.25">
      <c r="B301" s="7">
        <v>24.45</v>
      </c>
      <c r="J301" s="7">
        <v>25.7</v>
      </c>
      <c r="K301">
        <v>1</v>
      </c>
      <c r="L301">
        <f t="shared" si="16"/>
        <v>2E-3</v>
      </c>
      <c r="M301">
        <f t="shared" si="19"/>
        <v>0.59400000000000042</v>
      </c>
      <c r="N301">
        <f t="shared" si="17"/>
        <v>0.62240437158469952</v>
      </c>
      <c r="O301">
        <f t="shared" si="18"/>
        <v>2.8404371584699106E-2</v>
      </c>
    </row>
    <row r="302" spans="2:15" x14ac:dyDescent="0.25">
      <c r="B302" s="7">
        <v>28.31</v>
      </c>
      <c r="J302" s="7">
        <v>25.7</v>
      </c>
      <c r="K302">
        <v>1</v>
      </c>
      <c r="L302">
        <f t="shared" si="16"/>
        <v>2E-3</v>
      </c>
      <c r="M302">
        <f t="shared" si="19"/>
        <v>0.59600000000000042</v>
      </c>
      <c r="N302">
        <f t="shared" si="17"/>
        <v>0.62240437158469952</v>
      </c>
      <c r="O302">
        <f t="shared" si="18"/>
        <v>2.6404371584699105E-2</v>
      </c>
    </row>
    <row r="303" spans="2:15" x14ac:dyDescent="0.25">
      <c r="B303" s="7">
        <v>23.37</v>
      </c>
      <c r="J303" s="7">
        <v>25.71</v>
      </c>
      <c r="K303">
        <v>1</v>
      </c>
      <c r="L303">
        <f t="shared" si="16"/>
        <v>2E-3</v>
      </c>
      <c r="M303">
        <f t="shared" si="19"/>
        <v>0.59800000000000042</v>
      </c>
      <c r="N303">
        <f t="shared" si="17"/>
        <v>0.62295081967213128</v>
      </c>
      <c r="O303">
        <f t="shared" si="18"/>
        <v>2.4950819672130864E-2</v>
      </c>
    </row>
    <row r="304" spans="2:15" x14ac:dyDescent="0.25">
      <c r="B304" s="7">
        <v>27.01</v>
      </c>
      <c r="J304" s="7">
        <v>25.73</v>
      </c>
      <c r="K304">
        <v>1</v>
      </c>
      <c r="L304">
        <f t="shared" si="16"/>
        <v>2E-3</v>
      </c>
      <c r="M304">
        <f t="shared" si="19"/>
        <v>0.60000000000000042</v>
      </c>
      <c r="N304">
        <f t="shared" si="17"/>
        <v>0.62404371584699458</v>
      </c>
      <c r="O304">
        <f t="shared" si="18"/>
        <v>2.4043715846994163E-2</v>
      </c>
    </row>
    <row r="305" spans="2:15" x14ac:dyDescent="0.25">
      <c r="B305" s="7">
        <v>27.23</v>
      </c>
      <c r="J305" s="7">
        <v>25.73</v>
      </c>
      <c r="K305">
        <v>1</v>
      </c>
      <c r="L305">
        <f t="shared" si="16"/>
        <v>2E-3</v>
      </c>
      <c r="M305">
        <f t="shared" si="19"/>
        <v>0.60200000000000042</v>
      </c>
      <c r="N305">
        <f t="shared" si="17"/>
        <v>0.62404371584699458</v>
      </c>
      <c r="O305">
        <f t="shared" si="18"/>
        <v>2.2043715846994161E-2</v>
      </c>
    </row>
    <row r="306" spans="2:15" x14ac:dyDescent="0.25">
      <c r="B306" s="7">
        <v>22.68</v>
      </c>
      <c r="J306" s="7">
        <v>25.75</v>
      </c>
      <c r="K306">
        <v>1</v>
      </c>
      <c r="L306">
        <f t="shared" si="16"/>
        <v>2E-3</v>
      </c>
      <c r="M306">
        <f t="shared" si="19"/>
        <v>0.60400000000000043</v>
      </c>
      <c r="N306">
        <f t="shared" si="17"/>
        <v>0.625136612021858</v>
      </c>
      <c r="O306">
        <f t="shared" si="18"/>
        <v>2.113661202185757E-2</v>
      </c>
    </row>
    <row r="307" spans="2:15" x14ac:dyDescent="0.25">
      <c r="B307" s="7">
        <v>27.36</v>
      </c>
      <c r="J307" s="7">
        <v>25.76</v>
      </c>
      <c r="K307">
        <v>1</v>
      </c>
      <c r="L307">
        <f t="shared" si="16"/>
        <v>2E-3</v>
      </c>
      <c r="M307">
        <f t="shared" si="19"/>
        <v>0.60600000000000043</v>
      </c>
      <c r="N307">
        <f t="shared" si="17"/>
        <v>0.62568306010928976</v>
      </c>
      <c r="O307">
        <f t="shared" si="18"/>
        <v>1.968306010928933E-2</v>
      </c>
    </row>
    <row r="308" spans="2:15" x14ac:dyDescent="0.25">
      <c r="B308" s="7">
        <v>24.84</v>
      </c>
      <c r="J308" s="7">
        <v>25.78</v>
      </c>
      <c r="K308">
        <v>1</v>
      </c>
      <c r="L308">
        <f t="shared" si="16"/>
        <v>2E-3</v>
      </c>
      <c r="M308">
        <f t="shared" si="19"/>
        <v>0.60800000000000043</v>
      </c>
      <c r="N308">
        <f t="shared" si="17"/>
        <v>0.62677595628415317</v>
      </c>
      <c r="O308">
        <f t="shared" si="18"/>
        <v>1.8775956284152739E-2</v>
      </c>
    </row>
    <row r="309" spans="2:15" x14ac:dyDescent="0.25">
      <c r="B309" s="7">
        <v>24.15</v>
      </c>
      <c r="J309" s="7">
        <v>25.8</v>
      </c>
      <c r="K309">
        <v>1</v>
      </c>
      <c r="L309">
        <f t="shared" si="16"/>
        <v>2E-3</v>
      </c>
      <c r="M309">
        <f t="shared" si="19"/>
        <v>0.61000000000000043</v>
      </c>
      <c r="N309">
        <f t="shared" si="17"/>
        <v>0.62786885245901647</v>
      </c>
      <c r="O309">
        <f t="shared" si="18"/>
        <v>1.7868852459016038E-2</v>
      </c>
    </row>
    <row r="310" spans="2:15" x14ac:dyDescent="0.25">
      <c r="B310" s="7">
        <v>26.55</v>
      </c>
      <c r="J310" s="7">
        <v>25.83</v>
      </c>
      <c r="K310">
        <v>1</v>
      </c>
      <c r="L310">
        <f t="shared" si="16"/>
        <v>2E-3</v>
      </c>
      <c r="M310">
        <f t="shared" si="19"/>
        <v>0.61200000000000043</v>
      </c>
      <c r="N310">
        <f t="shared" si="17"/>
        <v>0.62950819672131142</v>
      </c>
      <c r="O310">
        <f t="shared" si="18"/>
        <v>1.7508196721310987E-2</v>
      </c>
    </row>
    <row r="311" spans="2:15" x14ac:dyDescent="0.25">
      <c r="B311" s="7">
        <v>21.42</v>
      </c>
      <c r="J311" s="7">
        <v>25.83</v>
      </c>
      <c r="K311">
        <v>1</v>
      </c>
      <c r="L311">
        <f t="shared" si="16"/>
        <v>2E-3</v>
      </c>
      <c r="M311">
        <f t="shared" si="19"/>
        <v>0.61400000000000043</v>
      </c>
      <c r="N311">
        <f t="shared" si="17"/>
        <v>0.62950819672131142</v>
      </c>
      <c r="O311">
        <f t="shared" si="18"/>
        <v>1.5508196721310985E-2</v>
      </c>
    </row>
    <row r="312" spans="2:15" x14ac:dyDescent="0.25">
      <c r="B312" s="7">
        <v>30.18</v>
      </c>
      <c r="J312" s="7">
        <v>25.84</v>
      </c>
      <c r="K312">
        <v>1</v>
      </c>
      <c r="L312">
        <f t="shared" si="16"/>
        <v>2E-3</v>
      </c>
      <c r="M312">
        <f t="shared" si="19"/>
        <v>0.61600000000000044</v>
      </c>
      <c r="N312">
        <f t="shared" si="17"/>
        <v>0.63005464480874318</v>
      </c>
      <c r="O312">
        <f t="shared" si="18"/>
        <v>1.4054644808742744E-2</v>
      </c>
    </row>
    <row r="313" spans="2:15" x14ac:dyDescent="0.25">
      <c r="B313" s="7">
        <v>22.73</v>
      </c>
      <c r="J313" s="7">
        <v>25.88</v>
      </c>
      <c r="K313">
        <v>1</v>
      </c>
      <c r="L313">
        <f t="shared" si="16"/>
        <v>2E-3</v>
      </c>
      <c r="M313">
        <f t="shared" si="19"/>
        <v>0.61800000000000044</v>
      </c>
      <c r="N313">
        <f t="shared" si="17"/>
        <v>0.63224043715847</v>
      </c>
      <c r="O313">
        <f t="shared" si="18"/>
        <v>1.4240437158469565E-2</v>
      </c>
    </row>
    <row r="314" spans="2:15" x14ac:dyDescent="0.25">
      <c r="B314" s="7">
        <v>23.23</v>
      </c>
      <c r="J314" s="7">
        <v>25.89</v>
      </c>
      <c r="K314">
        <v>1</v>
      </c>
      <c r="L314">
        <f t="shared" si="16"/>
        <v>2E-3</v>
      </c>
      <c r="M314">
        <f t="shared" si="19"/>
        <v>0.62000000000000044</v>
      </c>
      <c r="N314">
        <f t="shared" si="17"/>
        <v>0.63278688524590176</v>
      </c>
      <c r="O314">
        <f t="shared" si="18"/>
        <v>1.2786885245901325E-2</v>
      </c>
    </row>
    <row r="315" spans="2:15" x14ac:dyDescent="0.25">
      <c r="B315" s="7">
        <v>24.09</v>
      </c>
      <c r="J315" s="7">
        <v>25.9</v>
      </c>
      <c r="K315">
        <v>1</v>
      </c>
      <c r="L315">
        <f t="shared" si="16"/>
        <v>2E-3</v>
      </c>
      <c r="M315">
        <f t="shared" si="19"/>
        <v>0.62200000000000044</v>
      </c>
      <c r="N315">
        <f t="shared" si="17"/>
        <v>0.6333333333333333</v>
      </c>
      <c r="O315">
        <f t="shared" si="18"/>
        <v>1.1333333333332862E-2</v>
      </c>
    </row>
    <row r="316" spans="2:15" x14ac:dyDescent="0.25">
      <c r="B316" s="7">
        <v>23.55</v>
      </c>
      <c r="J316" s="7">
        <v>25.91</v>
      </c>
      <c r="K316">
        <v>1</v>
      </c>
      <c r="L316">
        <f t="shared" si="16"/>
        <v>2E-3</v>
      </c>
      <c r="M316">
        <f t="shared" si="19"/>
        <v>0.62400000000000044</v>
      </c>
      <c r="N316">
        <f t="shared" si="17"/>
        <v>0.63387978142076506</v>
      </c>
      <c r="O316">
        <f t="shared" si="18"/>
        <v>9.8797814207646217E-3</v>
      </c>
    </row>
    <row r="317" spans="2:15" x14ac:dyDescent="0.25">
      <c r="B317" s="7">
        <v>22.21</v>
      </c>
      <c r="J317" s="7">
        <v>25.92</v>
      </c>
      <c r="K317">
        <v>1</v>
      </c>
      <c r="L317">
        <f t="shared" si="16"/>
        <v>2E-3</v>
      </c>
      <c r="M317">
        <f t="shared" si="19"/>
        <v>0.62600000000000044</v>
      </c>
      <c r="N317">
        <f t="shared" si="17"/>
        <v>0.63442622950819694</v>
      </c>
      <c r="O317">
        <f t="shared" si="18"/>
        <v>8.4262295081964922E-3</v>
      </c>
    </row>
    <row r="318" spans="2:15" x14ac:dyDescent="0.25">
      <c r="B318" s="7">
        <v>29.15</v>
      </c>
      <c r="J318" s="7">
        <v>25.93</v>
      </c>
      <c r="K318">
        <v>1</v>
      </c>
      <c r="L318">
        <f t="shared" si="16"/>
        <v>2E-3</v>
      </c>
      <c r="M318">
        <f t="shared" si="19"/>
        <v>0.62800000000000045</v>
      </c>
      <c r="N318">
        <f t="shared" si="17"/>
        <v>0.63497267759562848</v>
      </c>
      <c r="O318">
        <f t="shared" si="18"/>
        <v>6.9726775956280296E-3</v>
      </c>
    </row>
    <row r="319" spans="2:15" x14ac:dyDescent="0.25">
      <c r="B319" s="7">
        <v>23.29</v>
      </c>
      <c r="J319" s="7">
        <v>25.94</v>
      </c>
      <c r="K319">
        <v>1</v>
      </c>
      <c r="L319">
        <f t="shared" si="16"/>
        <v>2E-3</v>
      </c>
      <c r="M319">
        <f t="shared" si="19"/>
        <v>0.63000000000000045</v>
      </c>
      <c r="N319">
        <f t="shared" si="17"/>
        <v>0.63551912568306024</v>
      </c>
      <c r="O319">
        <f t="shared" si="18"/>
        <v>5.519125683059789E-3</v>
      </c>
    </row>
    <row r="320" spans="2:15" x14ac:dyDescent="0.25">
      <c r="B320" s="7">
        <v>22.69</v>
      </c>
      <c r="J320" s="7">
        <v>25.95</v>
      </c>
      <c r="K320">
        <v>1</v>
      </c>
      <c r="L320">
        <f t="shared" si="16"/>
        <v>2E-3</v>
      </c>
      <c r="M320">
        <f t="shared" si="19"/>
        <v>0.63200000000000045</v>
      </c>
      <c r="N320">
        <f t="shared" si="17"/>
        <v>0.63606557377049189</v>
      </c>
      <c r="O320">
        <f t="shared" si="18"/>
        <v>4.0655737704914374E-3</v>
      </c>
    </row>
    <row r="321" spans="2:15" x14ac:dyDescent="0.25">
      <c r="B321" s="7">
        <v>24</v>
      </c>
      <c r="J321" s="7">
        <v>25.95</v>
      </c>
      <c r="K321">
        <v>1</v>
      </c>
      <c r="L321">
        <f t="shared" si="16"/>
        <v>2E-3</v>
      </c>
      <c r="M321">
        <f t="shared" si="19"/>
        <v>0.63400000000000045</v>
      </c>
      <c r="N321">
        <f t="shared" si="17"/>
        <v>0.63606557377049189</v>
      </c>
      <c r="O321">
        <f t="shared" si="18"/>
        <v>2.0655737704914356E-3</v>
      </c>
    </row>
    <row r="322" spans="2:15" x14ac:dyDescent="0.25">
      <c r="B322" s="7">
        <v>23.65</v>
      </c>
      <c r="J322" s="7">
        <v>25.96</v>
      </c>
      <c r="K322">
        <v>1</v>
      </c>
      <c r="L322">
        <f t="shared" si="16"/>
        <v>2E-3</v>
      </c>
      <c r="M322">
        <f t="shared" si="19"/>
        <v>0.63600000000000045</v>
      </c>
      <c r="N322">
        <f t="shared" si="17"/>
        <v>0.63661202185792365</v>
      </c>
      <c r="O322">
        <f t="shared" si="18"/>
        <v>6.1202185792319508E-4</v>
      </c>
    </row>
    <row r="323" spans="2:15" x14ac:dyDescent="0.25">
      <c r="B323" s="7">
        <v>29.31</v>
      </c>
      <c r="J323" s="7">
        <v>25.96</v>
      </c>
      <c r="K323">
        <v>1</v>
      </c>
      <c r="L323">
        <f t="shared" si="16"/>
        <v>2E-3</v>
      </c>
      <c r="M323">
        <f t="shared" si="19"/>
        <v>0.63800000000000046</v>
      </c>
      <c r="N323">
        <f t="shared" si="17"/>
        <v>0.63661202185792365</v>
      </c>
      <c r="O323">
        <f t="shared" si="18"/>
        <v>1.3879781420768067E-3</v>
      </c>
    </row>
    <row r="324" spans="2:15" x14ac:dyDescent="0.25">
      <c r="B324" s="7">
        <v>22.23</v>
      </c>
      <c r="J324" s="7">
        <v>26.01</v>
      </c>
      <c r="K324">
        <v>1</v>
      </c>
      <c r="L324">
        <f t="shared" si="16"/>
        <v>2E-3</v>
      </c>
      <c r="M324">
        <f t="shared" si="19"/>
        <v>0.64000000000000046</v>
      </c>
      <c r="N324">
        <f t="shared" si="17"/>
        <v>0.63934426229508212</v>
      </c>
      <c r="O324">
        <f t="shared" si="18"/>
        <v>6.557377049183355E-4</v>
      </c>
    </row>
    <row r="325" spans="2:15" x14ac:dyDescent="0.25">
      <c r="B325" s="7">
        <v>24.32</v>
      </c>
      <c r="J325" s="7">
        <v>26.03</v>
      </c>
      <c r="K325">
        <v>1</v>
      </c>
      <c r="L325">
        <f t="shared" si="16"/>
        <v>2E-3</v>
      </c>
      <c r="M325">
        <f t="shared" si="19"/>
        <v>0.64200000000000046</v>
      </c>
      <c r="N325">
        <f t="shared" si="17"/>
        <v>0.64043715846994553</v>
      </c>
      <c r="O325">
        <f t="shared" si="18"/>
        <v>1.5628415300549259E-3</v>
      </c>
    </row>
    <row r="326" spans="2:15" x14ac:dyDescent="0.25">
      <c r="B326" s="7">
        <v>28.08</v>
      </c>
      <c r="J326" s="7">
        <v>26.04</v>
      </c>
      <c r="K326">
        <v>1</v>
      </c>
      <c r="L326">
        <f t="shared" ref="L326:L389" si="20">K326/$E$20</f>
        <v>2E-3</v>
      </c>
      <c r="M326">
        <f t="shared" si="19"/>
        <v>0.64400000000000046</v>
      </c>
      <c r="N326">
        <f t="shared" ref="N326:N389" si="21">(J326-$H$7)/($H$8-$H$7)</f>
        <v>0.64098360655737707</v>
      </c>
      <c r="O326">
        <f t="shared" ref="O326:O389" si="22">ABS(M326-N326)</f>
        <v>3.0163934426233885E-3</v>
      </c>
    </row>
    <row r="327" spans="2:15" x14ac:dyDescent="0.25">
      <c r="B327" s="7">
        <v>23.47</v>
      </c>
      <c r="J327" s="7">
        <v>26.06</v>
      </c>
      <c r="K327">
        <v>1</v>
      </c>
      <c r="L327">
        <f t="shared" si="20"/>
        <v>2E-3</v>
      </c>
      <c r="M327">
        <f t="shared" ref="M327:M390" si="23">M326+L327</f>
        <v>0.64600000000000046</v>
      </c>
      <c r="N327">
        <f t="shared" si="21"/>
        <v>0.64207650273224048</v>
      </c>
      <c r="O327">
        <f t="shared" si="22"/>
        <v>3.9234972677599789E-3</v>
      </c>
    </row>
    <row r="328" spans="2:15" x14ac:dyDescent="0.25">
      <c r="B328" s="7">
        <v>25.78</v>
      </c>
      <c r="J328" s="7">
        <v>26.09</v>
      </c>
      <c r="K328">
        <v>1</v>
      </c>
      <c r="L328">
        <f t="shared" si="20"/>
        <v>2E-3</v>
      </c>
      <c r="M328">
        <f t="shared" si="23"/>
        <v>0.64800000000000046</v>
      </c>
      <c r="N328">
        <f t="shared" si="21"/>
        <v>0.64371584699453555</v>
      </c>
      <c r="O328">
        <f t="shared" si="22"/>
        <v>4.2841530054649191E-3</v>
      </c>
    </row>
    <row r="329" spans="2:15" x14ac:dyDescent="0.25">
      <c r="B329" s="7">
        <v>23.1</v>
      </c>
      <c r="J329" s="7">
        <v>26.1</v>
      </c>
      <c r="K329">
        <v>1</v>
      </c>
      <c r="L329">
        <f t="shared" si="20"/>
        <v>2E-3</v>
      </c>
      <c r="M329">
        <f t="shared" si="23"/>
        <v>0.65000000000000047</v>
      </c>
      <c r="N329">
        <f t="shared" si="21"/>
        <v>0.64426229508196742</v>
      </c>
      <c r="O329">
        <f t="shared" si="22"/>
        <v>5.7377049180330486E-3</v>
      </c>
    </row>
    <row r="330" spans="2:15" x14ac:dyDescent="0.25">
      <c r="B330" s="7">
        <v>24.52</v>
      </c>
      <c r="J330" s="7">
        <v>26.14</v>
      </c>
      <c r="K330">
        <v>1</v>
      </c>
      <c r="L330">
        <f t="shared" si="20"/>
        <v>2E-3</v>
      </c>
      <c r="M330">
        <f t="shared" si="23"/>
        <v>0.65200000000000047</v>
      </c>
      <c r="N330">
        <f t="shared" si="21"/>
        <v>0.64644808743169413</v>
      </c>
      <c r="O330">
        <f t="shared" si="22"/>
        <v>5.5519125683063386E-3</v>
      </c>
    </row>
    <row r="331" spans="2:15" x14ac:dyDescent="0.25">
      <c r="B331" s="7">
        <v>24.94</v>
      </c>
      <c r="J331" s="7">
        <v>26.18</v>
      </c>
      <c r="K331">
        <v>1</v>
      </c>
      <c r="L331">
        <f t="shared" si="20"/>
        <v>2E-3</v>
      </c>
      <c r="M331">
        <f t="shared" si="23"/>
        <v>0.65400000000000047</v>
      </c>
      <c r="N331">
        <f t="shared" si="21"/>
        <v>0.64863387978142084</v>
      </c>
      <c r="O331">
        <f t="shared" si="22"/>
        <v>5.3661202185796286E-3</v>
      </c>
    </row>
    <row r="332" spans="2:15" x14ac:dyDescent="0.25">
      <c r="B332" s="7">
        <v>31.18</v>
      </c>
      <c r="J332" s="7">
        <v>26.2</v>
      </c>
      <c r="K332">
        <v>1</v>
      </c>
      <c r="L332">
        <f t="shared" si="20"/>
        <v>2E-3</v>
      </c>
      <c r="M332">
        <f t="shared" si="23"/>
        <v>0.65600000000000047</v>
      </c>
      <c r="N332">
        <f t="shared" si="21"/>
        <v>0.64972677595628414</v>
      </c>
      <c r="O332">
        <f t="shared" si="22"/>
        <v>6.27322404371633E-3</v>
      </c>
    </row>
    <row r="333" spans="2:15" x14ac:dyDescent="0.25">
      <c r="B333" s="7">
        <v>29.15</v>
      </c>
      <c r="J333" s="7">
        <v>26.2</v>
      </c>
      <c r="K333">
        <v>1</v>
      </c>
      <c r="L333">
        <f t="shared" si="20"/>
        <v>2E-3</v>
      </c>
      <c r="M333">
        <f t="shared" si="23"/>
        <v>0.65800000000000047</v>
      </c>
      <c r="N333">
        <f t="shared" si="21"/>
        <v>0.64972677595628414</v>
      </c>
      <c r="O333">
        <f t="shared" si="22"/>
        <v>8.2732240437163318E-3</v>
      </c>
    </row>
    <row r="334" spans="2:15" x14ac:dyDescent="0.25">
      <c r="B334" s="7">
        <v>23.49</v>
      </c>
      <c r="J334" s="7">
        <v>26.24</v>
      </c>
      <c r="K334">
        <v>1</v>
      </c>
      <c r="L334">
        <f t="shared" si="20"/>
        <v>2E-3</v>
      </c>
      <c r="M334">
        <f t="shared" si="23"/>
        <v>0.66000000000000048</v>
      </c>
      <c r="N334">
        <f t="shared" si="21"/>
        <v>0.65191256830601096</v>
      </c>
      <c r="O334">
        <f t="shared" si="22"/>
        <v>8.0874316939895108E-3</v>
      </c>
    </row>
    <row r="335" spans="2:15" x14ac:dyDescent="0.25">
      <c r="B335" s="7">
        <v>27.77</v>
      </c>
      <c r="J335" s="7">
        <v>26.26</v>
      </c>
      <c r="K335">
        <v>1</v>
      </c>
      <c r="L335">
        <f t="shared" si="20"/>
        <v>2E-3</v>
      </c>
      <c r="M335">
        <f t="shared" si="23"/>
        <v>0.66200000000000048</v>
      </c>
      <c r="N335">
        <f t="shared" si="21"/>
        <v>0.65300546448087449</v>
      </c>
      <c r="O335">
        <f t="shared" si="22"/>
        <v>8.9945355191259901E-3</v>
      </c>
    </row>
    <row r="336" spans="2:15" x14ac:dyDescent="0.25">
      <c r="B336" s="7">
        <v>28.41</v>
      </c>
      <c r="J336" s="7">
        <v>26.28</v>
      </c>
      <c r="K336">
        <v>1</v>
      </c>
      <c r="L336">
        <f t="shared" si="20"/>
        <v>2E-3</v>
      </c>
      <c r="M336">
        <f t="shared" si="23"/>
        <v>0.66400000000000048</v>
      </c>
      <c r="N336">
        <f t="shared" si="21"/>
        <v>0.65409836065573779</v>
      </c>
      <c r="O336">
        <f t="shared" si="22"/>
        <v>9.9016393442626915E-3</v>
      </c>
    </row>
    <row r="337" spans="2:15" x14ac:dyDescent="0.25">
      <c r="B337" s="7">
        <v>24.84</v>
      </c>
      <c r="J337" s="7">
        <v>26.29</v>
      </c>
      <c r="K337">
        <v>1</v>
      </c>
      <c r="L337">
        <f t="shared" si="20"/>
        <v>2E-3</v>
      </c>
      <c r="M337">
        <f t="shared" si="23"/>
        <v>0.66600000000000048</v>
      </c>
      <c r="N337">
        <f t="shared" si="21"/>
        <v>0.65464480874316944</v>
      </c>
      <c r="O337">
        <f t="shared" si="22"/>
        <v>1.1355191256831043E-2</v>
      </c>
    </row>
    <row r="338" spans="2:15" x14ac:dyDescent="0.25">
      <c r="B338" s="7">
        <v>22.98</v>
      </c>
      <c r="J338" s="7">
        <v>26.32</v>
      </c>
      <c r="K338">
        <v>1</v>
      </c>
      <c r="L338">
        <f t="shared" si="20"/>
        <v>2E-3</v>
      </c>
      <c r="M338">
        <f t="shared" si="23"/>
        <v>0.66800000000000048</v>
      </c>
      <c r="N338">
        <f t="shared" si="21"/>
        <v>0.65628415300546461</v>
      </c>
      <c r="O338">
        <f t="shared" si="22"/>
        <v>1.1715846994535872E-2</v>
      </c>
    </row>
    <row r="339" spans="2:15" x14ac:dyDescent="0.25">
      <c r="B339" s="7">
        <v>20.34</v>
      </c>
      <c r="J339" s="7">
        <v>26.37</v>
      </c>
      <c r="K339">
        <v>1</v>
      </c>
      <c r="L339">
        <f t="shared" si="20"/>
        <v>2E-3</v>
      </c>
      <c r="M339">
        <f t="shared" si="23"/>
        <v>0.67000000000000048</v>
      </c>
      <c r="N339">
        <f t="shared" si="21"/>
        <v>0.65901639344262308</v>
      </c>
      <c r="O339">
        <f t="shared" si="22"/>
        <v>1.0983606557377401E-2</v>
      </c>
    </row>
    <row r="340" spans="2:15" x14ac:dyDescent="0.25">
      <c r="B340" s="7">
        <v>20.309999999999999</v>
      </c>
      <c r="J340" s="7">
        <v>26.42</v>
      </c>
      <c r="K340">
        <v>1</v>
      </c>
      <c r="L340">
        <f t="shared" si="20"/>
        <v>2E-3</v>
      </c>
      <c r="M340">
        <f t="shared" si="23"/>
        <v>0.67200000000000049</v>
      </c>
      <c r="N340">
        <f t="shared" si="21"/>
        <v>0.66174863387978156</v>
      </c>
      <c r="O340">
        <f t="shared" si="22"/>
        <v>1.025136612021893E-2</v>
      </c>
    </row>
    <row r="341" spans="2:15" x14ac:dyDescent="0.25">
      <c r="B341" s="7">
        <v>28.51</v>
      </c>
      <c r="J341" s="7">
        <v>26.44</v>
      </c>
      <c r="K341">
        <v>1</v>
      </c>
      <c r="L341">
        <f t="shared" si="20"/>
        <v>2E-3</v>
      </c>
      <c r="M341">
        <f t="shared" si="23"/>
        <v>0.67400000000000049</v>
      </c>
      <c r="N341">
        <f t="shared" si="21"/>
        <v>0.66284153005464497</v>
      </c>
      <c r="O341">
        <f t="shared" si="22"/>
        <v>1.115846994535552E-2</v>
      </c>
    </row>
    <row r="342" spans="2:15" x14ac:dyDescent="0.25">
      <c r="B342" s="7">
        <v>22.16</v>
      </c>
      <c r="J342" s="7">
        <v>26.44</v>
      </c>
      <c r="K342">
        <v>1</v>
      </c>
      <c r="L342">
        <f t="shared" si="20"/>
        <v>2E-3</v>
      </c>
      <c r="M342">
        <f t="shared" si="23"/>
        <v>0.67600000000000049</v>
      </c>
      <c r="N342">
        <f t="shared" si="21"/>
        <v>0.66284153005464497</v>
      </c>
      <c r="O342">
        <f t="shared" si="22"/>
        <v>1.3158469945355522E-2</v>
      </c>
    </row>
    <row r="343" spans="2:15" x14ac:dyDescent="0.25">
      <c r="B343" s="7">
        <v>29.3</v>
      </c>
      <c r="J343" s="7">
        <v>26.44</v>
      </c>
      <c r="K343">
        <v>1</v>
      </c>
      <c r="L343">
        <f t="shared" si="20"/>
        <v>2E-3</v>
      </c>
      <c r="M343">
        <f t="shared" si="23"/>
        <v>0.67800000000000049</v>
      </c>
      <c r="N343">
        <f t="shared" si="21"/>
        <v>0.66284153005464497</v>
      </c>
      <c r="O343">
        <f t="shared" si="22"/>
        <v>1.5158469945355524E-2</v>
      </c>
    </row>
    <row r="344" spans="2:15" x14ac:dyDescent="0.25">
      <c r="B344" s="7">
        <v>25.75</v>
      </c>
      <c r="J344" s="7">
        <v>26.45</v>
      </c>
      <c r="K344">
        <v>1</v>
      </c>
      <c r="L344">
        <f t="shared" si="20"/>
        <v>2E-3</v>
      </c>
      <c r="M344">
        <f t="shared" si="23"/>
        <v>0.68000000000000049</v>
      </c>
      <c r="N344">
        <f t="shared" si="21"/>
        <v>0.66338797814207651</v>
      </c>
      <c r="O344">
        <f t="shared" si="22"/>
        <v>1.6612021857923986E-2</v>
      </c>
    </row>
    <row r="345" spans="2:15" x14ac:dyDescent="0.25">
      <c r="B345" s="7">
        <v>27.67</v>
      </c>
      <c r="J345" s="7">
        <v>26.46</v>
      </c>
      <c r="K345">
        <v>1</v>
      </c>
      <c r="L345">
        <f t="shared" si="20"/>
        <v>2E-3</v>
      </c>
      <c r="M345">
        <f t="shared" si="23"/>
        <v>0.68200000000000049</v>
      </c>
      <c r="N345">
        <f t="shared" si="21"/>
        <v>0.66393442622950827</v>
      </c>
      <c r="O345">
        <f t="shared" si="22"/>
        <v>1.8065573770492227E-2</v>
      </c>
    </row>
    <row r="346" spans="2:15" x14ac:dyDescent="0.25">
      <c r="B346" s="7">
        <v>28.34</v>
      </c>
      <c r="J346" s="7">
        <v>26.47</v>
      </c>
      <c r="K346">
        <v>1</v>
      </c>
      <c r="L346">
        <f t="shared" si="20"/>
        <v>2E-3</v>
      </c>
      <c r="M346">
        <f t="shared" si="23"/>
        <v>0.6840000000000005</v>
      </c>
      <c r="N346">
        <f t="shared" si="21"/>
        <v>0.66448087431693992</v>
      </c>
      <c r="O346">
        <f t="shared" si="22"/>
        <v>1.9519125683060579E-2</v>
      </c>
    </row>
    <row r="347" spans="2:15" x14ac:dyDescent="0.25">
      <c r="B347" s="7">
        <v>28.4</v>
      </c>
      <c r="J347" s="7">
        <v>26.55</v>
      </c>
      <c r="K347">
        <v>1</v>
      </c>
      <c r="L347">
        <f t="shared" si="20"/>
        <v>2E-3</v>
      </c>
      <c r="M347">
        <f t="shared" si="23"/>
        <v>0.6860000000000005</v>
      </c>
      <c r="N347">
        <f t="shared" si="21"/>
        <v>0.66885245901639356</v>
      </c>
      <c r="O347">
        <f t="shared" si="22"/>
        <v>1.7147540983606935E-2</v>
      </c>
    </row>
    <row r="348" spans="2:15" x14ac:dyDescent="0.25">
      <c r="B348" s="7">
        <v>20.85</v>
      </c>
      <c r="J348" s="7">
        <v>26.56</v>
      </c>
      <c r="K348">
        <v>1</v>
      </c>
      <c r="L348">
        <f t="shared" si="20"/>
        <v>2E-3</v>
      </c>
      <c r="M348">
        <f t="shared" si="23"/>
        <v>0.6880000000000005</v>
      </c>
      <c r="N348">
        <f t="shared" si="21"/>
        <v>0.6693989071038251</v>
      </c>
      <c r="O348">
        <f t="shared" si="22"/>
        <v>1.8601092896175397E-2</v>
      </c>
    </row>
    <row r="349" spans="2:15" x14ac:dyDescent="0.25">
      <c r="B349" s="7">
        <v>21.22</v>
      </c>
      <c r="J349" s="7">
        <v>26.59</v>
      </c>
      <c r="K349">
        <v>1</v>
      </c>
      <c r="L349">
        <f t="shared" si="20"/>
        <v>2E-3</v>
      </c>
      <c r="M349">
        <f t="shared" si="23"/>
        <v>0.6900000000000005</v>
      </c>
      <c r="N349">
        <f t="shared" si="21"/>
        <v>0.67103825136612028</v>
      </c>
      <c r="O349">
        <f t="shared" si="22"/>
        <v>1.8961748633880227E-2</v>
      </c>
    </row>
    <row r="350" spans="2:15" x14ac:dyDescent="0.25">
      <c r="B350" s="7">
        <v>25.57</v>
      </c>
      <c r="J350" s="7">
        <v>26.64</v>
      </c>
      <c r="K350">
        <v>1</v>
      </c>
      <c r="L350">
        <f t="shared" si="20"/>
        <v>2E-3</v>
      </c>
      <c r="M350">
        <f t="shared" si="23"/>
        <v>0.6920000000000005</v>
      </c>
      <c r="N350">
        <f t="shared" si="21"/>
        <v>0.67377049180327875</v>
      </c>
      <c r="O350">
        <f t="shared" si="22"/>
        <v>1.8229508196721755E-2</v>
      </c>
    </row>
    <row r="351" spans="2:15" x14ac:dyDescent="0.25">
      <c r="B351" s="7">
        <v>25.5</v>
      </c>
      <c r="J351" s="7">
        <v>26.65</v>
      </c>
      <c r="K351">
        <v>1</v>
      </c>
      <c r="L351">
        <f t="shared" si="20"/>
        <v>2E-3</v>
      </c>
      <c r="M351">
        <f t="shared" si="23"/>
        <v>0.69400000000000051</v>
      </c>
      <c r="N351">
        <f t="shared" si="21"/>
        <v>0.6743169398907104</v>
      </c>
      <c r="O351">
        <f t="shared" si="22"/>
        <v>1.9683060109290107E-2</v>
      </c>
    </row>
    <row r="352" spans="2:15" x14ac:dyDescent="0.25">
      <c r="B352" s="7">
        <v>28.43</v>
      </c>
      <c r="J352" s="7">
        <v>26.7</v>
      </c>
      <c r="K352">
        <v>1</v>
      </c>
      <c r="L352">
        <f t="shared" si="20"/>
        <v>2E-3</v>
      </c>
      <c r="M352">
        <f t="shared" si="23"/>
        <v>0.69600000000000051</v>
      </c>
      <c r="N352">
        <f t="shared" si="21"/>
        <v>0.67704918032786887</v>
      </c>
      <c r="O352">
        <f t="shared" si="22"/>
        <v>1.8950819672131636E-2</v>
      </c>
    </row>
    <row r="353" spans="2:15" x14ac:dyDescent="0.25">
      <c r="B353" s="7">
        <v>21.46</v>
      </c>
      <c r="J353" s="7">
        <v>26.73</v>
      </c>
      <c r="K353">
        <v>1</v>
      </c>
      <c r="L353">
        <f t="shared" si="20"/>
        <v>2E-3</v>
      </c>
      <c r="M353">
        <f t="shared" si="23"/>
        <v>0.69800000000000051</v>
      </c>
      <c r="N353">
        <f t="shared" si="21"/>
        <v>0.67868852459016404</v>
      </c>
      <c r="O353">
        <f t="shared" si="22"/>
        <v>1.9311475409836465E-2</v>
      </c>
    </row>
    <row r="354" spans="2:15" x14ac:dyDescent="0.25">
      <c r="B354" s="7">
        <v>23.77</v>
      </c>
      <c r="J354" s="7">
        <v>26.74</v>
      </c>
      <c r="K354">
        <v>1</v>
      </c>
      <c r="L354">
        <f t="shared" si="20"/>
        <v>2E-3</v>
      </c>
      <c r="M354">
        <f t="shared" si="23"/>
        <v>0.70000000000000051</v>
      </c>
      <c r="N354">
        <f t="shared" si="21"/>
        <v>0.67923497267759558</v>
      </c>
      <c r="O354">
        <f t="shared" si="22"/>
        <v>2.0765027322404928E-2</v>
      </c>
    </row>
    <row r="355" spans="2:15" x14ac:dyDescent="0.25">
      <c r="B355" s="7">
        <v>29.21</v>
      </c>
      <c r="J355" s="7">
        <v>26.77</v>
      </c>
      <c r="K355">
        <v>1</v>
      </c>
      <c r="L355">
        <f t="shared" si="20"/>
        <v>2E-3</v>
      </c>
      <c r="M355">
        <f t="shared" si="23"/>
        <v>0.70200000000000051</v>
      </c>
      <c r="N355">
        <f t="shared" si="21"/>
        <v>0.68087431693989076</v>
      </c>
      <c r="O355">
        <f t="shared" si="22"/>
        <v>2.1125683060109757E-2</v>
      </c>
    </row>
    <row r="356" spans="2:15" x14ac:dyDescent="0.25">
      <c r="B356" s="7">
        <v>25.7</v>
      </c>
      <c r="J356" s="7">
        <v>26.78</v>
      </c>
      <c r="K356">
        <v>1</v>
      </c>
      <c r="L356">
        <f t="shared" si="20"/>
        <v>2E-3</v>
      </c>
      <c r="M356">
        <f t="shared" si="23"/>
        <v>0.70400000000000051</v>
      </c>
      <c r="N356">
        <f t="shared" si="21"/>
        <v>0.68142076502732252</v>
      </c>
      <c r="O356">
        <f t="shared" si="22"/>
        <v>2.2579234972677997E-2</v>
      </c>
    </row>
    <row r="357" spans="2:15" x14ac:dyDescent="0.25">
      <c r="B357" s="7">
        <v>24.37</v>
      </c>
      <c r="J357" s="7">
        <v>26.84</v>
      </c>
      <c r="K357">
        <v>1</v>
      </c>
      <c r="L357">
        <f t="shared" si="20"/>
        <v>2E-3</v>
      </c>
      <c r="M357">
        <f t="shared" si="23"/>
        <v>0.70600000000000052</v>
      </c>
      <c r="N357">
        <f t="shared" si="21"/>
        <v>0.68469945355191264</v>
      </c>
      <c r="O357">
        <f t="shared" si="22"/>
        <v>2.1300546448087876E-2</v>
      </c>
    </row>
    <row r="358" spans="2:15" x14ac:dyDescent="0.25">
      <c r="B358" s="7">
        <v>26.7</v>
      </c>
      <c r="J358" s="7">
        <v>26.84</v>
      </c>
      <c r="K358">
        <v>1</v>
      </c>
      <c r="L358">
        <f t="shared" si="20"/>
        <v>2E-3</v>
      </c>
      <c r="M358">
        <f t="shared" si="23"/>
        <v>0.70800000000000052</v>
      </c>
      <c r="N358">
        <f t="shared" si="21"/>
        <v>0.68469945355191264</v>
      </c>
      <c r="O358">
        <f t="shared" si="22"/>
        <v>2.3300546448087878E-2</v>
      </c>
    </row>
    <row r="359" spans="2:15" x14ac:dyDescent="0.25">
      <c r="B359" s="7">
        <v>21.5</v>
      </c>
      <c r="J359" s="7">
        <v>26.85</v>
      </c>
      <c r="K359">
        <v>1</v>
      </c>
      <c r="L359">
        <f t="shared" si="20"/>
        <v>2E-3</v>
      </c>
      <c r="M359">
        <f t="shared" si="23"/>
        <v>0.71000000000000052</v>
      </c>
      <c r="N359">
        <f t="shared" si="21"/>
        <v>0.6852459016393444</v>
      </c>
      <c r="O359">
        <f t="shared" si="22"/>
        <v>2.4754098360656118E-2</v>
      </c>
    </row>
    <row r="360" spans="2:15" x14ac:dyDescent="0.25">
      <c r="B360" s="7">
        <v>26.24</v>
      </c>
      <c r="J360" s="7">
        <v>26.86</v>
      </c>
      <c r="K360">
        <v>1</v>
      </c>
      <c r="L360">
        <f t="shared" si="20"/>
        <v>2E-3</v>
      </c>
      <c r="M360">
        <f t="shared" si="23"/>
        <v>0.71200000000000052</v>
      </c>
      <c r="N360">
        <f t="shared" si="21"/>
        <v>0.68579234972677605</v>
      </c>
      <c r="O360">
        <f t="shared" si="22"/>
        <v>2.620765027322447E-2</v>
      </c>
    </row>
    <row r="361" spans="2:15" x14ac:dyDescent="0.25">
      <c r="B361" s="7">
        <v>23.08</v>
      </c>
      <c r="J361" s="7">
        <v>26.87</v>
      </c>
      <c r="K361">
        <v>1</v>
      </c>
      <c r="L361">
        <f t="shared" si="20"/>
        <v>2E-3</v>
      </c>
      <c r="M361">
        <f t="shared" si="23"/>
        <v>0.71400000000000052</v>
      </c>
      <c r="N361">
        <f t="shared" si="21"/>
        <v>0.68633879781420781</v>
      </c>
      <c r="O361">
        <f t="shared" si="22"/>
        <v>2.766120218579271E-2</v>
      </c>
    </row>
    <row r="362" spans="2:15" x14ac:dyDescent="0.25">
      <c r="B362" s="7">
        <v>27.69</v>
      </c>
      <c r="J362" s="7">
        <v>26.87</v>
      </c>
      <c r="K362">
        <v>1</v>
      </c>
      <c r="L362">
        <f t="shared" si="20"/>
        <v>2E-3</v>
      </c>
      <c r="M362">
        <f t="shared" si="23"/>
        <v>0.71600000000000052</v>
      </c>
      <c r="N362">
        <f t="shared" si="21"/>
        <v>0.68633879781420781</v>
      </c>
      <c r="O362">
        <f t="shared" si="22"/>
        <v>2.9661202185792712E-2</v>
      </c>
    </row>
    <row r="363" spans="2:15" x14ac:dyDescent="0.25">
      <c r="B363" s="7">
        <v>25.48</v>
      </c>
      <c r="J363" s="7">
        <v>26.88</v>
      </c>
      <c r="K363">
        <v>1</v>
      </c>
      <c r="L363">
        <f t="shared" si="20"/>
        <v>2E-3</v>
      </c>
      <c r="M363">
        <f t="shared" si="23"/>
        <v>0.71800000000000053</v>
      </c>
      <c r="N363">
        <f t="shared" si="21"/>
        <v>0.68688524590163935</v>
      </c>
      <c r="O363">
        <f t="shared" si="22"/>
        <v>3.1114754098361175E-2</v>
      </c>
    </row>
    <row r="364" spans="2:15" x14ac:dyDescent="0.25">
      <c r="B364" s="7">
        <v>21.94</v>
      </c>
      <c r="J364" s="7">
        <v>26.95</v>
      </c>
      <c r="K364">
        <v>1</v>
      </c>
      <c r="L364">
        <f t="shared" si="20"/>
        <v>2E-3</v>
      </c>
      <c r="M364">
        <f t="shared" si="23"/>
        <v>0.72000000000000053</v>
      </c>
      <c r="N364">
        <f t="shared" si="21"/>
        <v>0.69071038251366124</v>
      </c>
      <c r="O364">
        <f t="shared" si="22"/>
        <v>2.9289617486339292E-2</v>
      </c>
    </row>
    <row r="365" spans="2:15" x14ac:dyDescent="0.25">
      <c r="B365" s="7">
        <v>22.25</v>
      </c>
      <c r="J365" s="7">
        <v>26.99</v>
      </c>
      <c r="K365">
        <v>1</v>
      </c>
      <c r="L365">
        <f t="shared" si="20"/>
        <v>2E-3</v>
      </c>
      <c r="M365">
        <f t="shared" si="23"/>
        <v>0.72200000000000053</v>
      </c>
      <c r="N365">
        <f t="shared" si="21"/>
        <v>0.69289617486338795</v>
      </c>
      <c r="O365">
        <f t="shared" si="22"/>
        <v>2.9103825136612582E-2</v>
      </c>
    </row>
    <row r="366" spans="2:15" x14ac:dyDescent="0.25">
      <c r="B366" s="7">
        <v>23.44</v>
      </c>
      <c r="J366" s="7">
        <v>27.01</v>
      </c>
      <c r="K366">
        <v>1</v>
      </c>
      <c r="L366">
        <f t="shared" si="20"/>
        <v>2E-3</v>
      </c>
      <c r="M366">
        <f t="shared" si="23"/>
        <v>0.72400000000000053</v>
      </c>
      <c r="N366">
        <f t="shared" si="21"/>
        <v>0.69398907103825158</v>
      </c>
      <c r="O366">
        <f t="shared" si="22"/>
        <v>3.0010928961748951E-2</v>
      </c>
    </row>
    <row r="367" spans="2:15" x14ac:dyDescent="0.25">
      <c r="B367" s="7">
        <v>20.27</v>
      </c>
      <c r="J367" s="7">
        <v>27.01</v>
      </c>
      <c r="K367">
        <v>1</v>
      </c>
      <c r="L367">
        <f t="shared" si="20"/>
        <v>2E-3</v>
      </c>
      <c r="M367">
        <f t="shared" si="23"/>
        <v>0.72600000000000053</v>
      </c>
      <c r="N367">
        <f t="shared" si="21"/>
        <v>0.69398907103825158</v>
      </c>
      <c r="O367">
        <f t="shared" si="22"/>
        <v>3.2010928961748952E-2</v>
      </c>
    </row>
    <row r="368" spans="2:15" x14ac:dyDescent="0.25">
      <c r="B368" s="7">
        <v>27.17</v>
      </c>
      <c r="J368" s="7">
        <v>27.01</v>
      </c>
      <c r="K368">
        <v>1</v>
      </c>
      <c r="L368">
        <f t="shared" si="20"/>
        <v>2E-3</v>
      </c>
      <c r="M368">
        <f t="shared" si="23"/>
        <v>0.72800000000000054</v>
      </c>
      <c r="N368">
        <f t="shared" si="21"/>
        <v>0.69398907103825158</v>
      </c>
      <c r="O368">
        <f t="shared" si="22"/>
        <v>3.4010928961748954E-2</v>
      </c>
    </row>
    <row r="369" spans="2:15" x14ac:dyDescent="0.25">
      <c r="B369" s="7">
        <v>22.48</v>
      </c>
      <c r="J369" s="7">
        <v>27.04</v>
      </c>
      <c r="K369">
        <v>1</v>
      </c>
      <c r="L369">
        <f t="shared" si="20"/>
        <v>2E-3</v>
      </c>
      <c r="M369">
        <f t="shared" si="23"/>
        <v>0.73000000000000054</v>
      </c>
      <c r="N369">
        <f t="shared" si="21"/>
        <v>0.69562841530054653</v>
      </c>
      <c r="O369">
        <f t="shared" si="22"/>
        <v>3.4371584699454005E-2</v>
      </c>
    </row>
    <row r="370" spans="2:15" x14ac:dyDescent="0.25">
      <c r="B370" s="7">
        <v>23.18</v>
      </c>
      <c r="J370" s="7">
        <v>27.05</v>
      </c>
      <c r="K370">
        <v>1</v>
      </c>
      <c r="L370">
        <f t="shared" si="20"/>
        <v>2E-3</v>
      </c>
      <c r="M370">
        <f t="shared" si="23"/>
        <v>0.73200000000000054</v>
      </c>
      <c r="N370">
        <f t="shared" si="21"/>
        <v>0.69617486338797829</v>
      </c>
      <c r="O370">
        <f t="shared" si="22"/>
        <v>3.5825136612022246E-2</v>
      </c>
    </row>
    <row r="371" spans="2:15" x14ac:dyDescent="0.25">
      <c r="B371" s="7">
        <v>23.12</v>
      </c>
      <c r="J371" s="7">
        <v>27.06</v>
      </c>
      <c r="K371">
        <v>1</v>
      </c>
      <c r="L371">
        <f t="shared" si="20"/>
        <v>2E-3</v>
      </c>
      <c r="M371">
        <f t="shared" si="23"/>
        <v>0.73400000000000054</v>
      </c>
      <c r="N371">
        <f t="shared" si="21"/>
        <v>0.69672131147540983</v>
      </c>
      <c r="O371">
        <f t="shared" si="22"/>
        <v>3.7278688524590708E-2</v>
      </c>
    </row>
    <row r="372" spans="2:15" x14ac:dyDescent="0.25">
      <c r="B372" s="7">
        <v>21.89</v>
      </c>
      <c r="J372" s="7">
        <v>27.08</v>
      </c>
      <c r="K372">
        <v>1</v>
      </c>
      <c r="L372">
        <f t="shared" si="20"/>
        <v>2E-3</v>
      </c>
      <c r="M372">
        <f t="shared" si="23"/>
        <v>0.73600000000000054</v>
      </c>
      <c r="N372">
        <f t="shared" si="21"/>
        <v>0.69781420765027324</v>
      </c>
      <c r="O372">
        <f t="shared" si="22"/>
        <v>3.8185792349727299E-2</v>
      </c>
    </row>
    <row r="373" spans="2:15" x14ac:dyDescent="0.25">
      <c r="B373" s="7">
        <v>29.69</v>
      </c>
      <c r="J373" s="7">
        <v>27.09</v>
      </c>
      <c r="K373">
        <v>1</v>
      </c>
      <c r="L373">
        <f t="shared" si="20"/>
        <v>2E-3</v>
      </c>
      <c r="M373">
        <f t="shared" si="23"/>
        <v>0.73800000000000054</v>
      </c>
      <c r="N373">
        <f t="shared" si="21"/>
        <v>0.69836065573770501</v>
      </c>
      <c r="O373">
        <f t="shared" si="22"/>
        <v>3.9639344262295539E-2</v>
      </c>
    </row>
    <row r="374" spans="2:15" x14ac:dyDescent="0.25">
      <c r="B374" s="7">
        <v>25.95</v>
      </c>
      <c r="J374" s="7">
        <v>27.09</v>
      </c>
      <c r="K374">
        <v>1</v>
      </c>
      <c r="L374">
        <f t="shared" si="20"/>
        <v>2E-3</v>
      </c>
      <c r="M374">
        <f t="shared" si="23"/>
        <v>0.74000000000000055</v>
      </c>
      <c r="N374">
        <f t="shared" si="21"/>
        <v>0.69836065573770501</v>
      </c>
      <c r="O374">
        <f t="shared" si="22"/>
        <v>4.1639344262295541E-2</v>
      </c>
    </row>
    <row r="375" spans="2:15" x14ac:dyDescent="0.25">
      <c r="B375" s="7">
        <v>26.88</v>
      </c>
      <c r="J375" s="7">
        <v>27.09</v>
      </c>
      <c r="K375">
        <v>1</v>
      </c>
      <c r="L375">
        <f t="shared" si="20"/>
        <v>2E-3</v>
      </c>
      <c r="M375">
        <f t="shared" si="23"/>
        <v>0.74200000000000055</v>
      </c>
      <c r="N375">
        <f t="shared" si="21"/>
        <v>0.69836065573770501</v>
      </c>
      <c r="O375">
        <f t="shared" si="22"/>
        <v>4.3639344262295543E-2</v>
      </c>
    </row>
    <row r="376" spans="2:15" x14ac:dyDescent="0.25">
      <c r="B376" s="7">
        <v>24.51</v>
      </c>
      <c r="J376" s="7">
        <v>27.12</v>
      </c>
      <c r="K376">
        <v>1</v>
      </c>
      <c r="L376">
        <f t="shared" si="20"/>
        <v>2E-3</v>
      </c>
      <c r="M376">
        <f t="shared" si="23"/>
        <v>0.74400000000000055</v>
      </c>
      <c r="N376">
        <f t="shared" si="21"/>
        <v>0.70000000000000018</v>
      </c>
      <c r="O376">
        <f t="shared" si="22"/>
        <v>4.4000000000000372E-2</v>
      </c>
    </row>
    <row r="377" spans="2:15" x14ac:dyDescent="0.25">
      <c r="B377" s="7">
        <v>22.46</v>
      </c>
      <c r="J377" s="7">
        <v>27.12</v>
      </c>
      <c r="K377">
        <v>1</v>
      </c>
      <c r="L377">
        <f t="shared" si="20"/>
        <v>2E-3</v>
      </c>
      <c r="M377">
        <f t="shared" si="23"/>
        <v>0.74600000000000055</v>
      </c>
      <c r="N377">
        <f t="shared" si="21"/>
        <v>0.70000000000000018</v>
      </c>
      <c r="O377">
        <f t="shared" si="22"/>
        <v>4.6000000000000374E-2</v>
      </c>
    </row>
    <row r="378" spans="2:15" x14ac:dyDescent="0.25">
      <c r="B378" s="7">
        <v>29.08</v>
      </c>
      <c r="J378" s="7">
        <v>27.16</v>
      </c>
      <c r="K378">
        <v>1</v>
      </c>
      <c r="L378">
        <f t="shared" si="20"/>
        <v>2E-3</v>
      </c>
      <c r="M378">
        <f t="shared" si="23"/>
        <v>0.74800000000000055</v>
      </c>
      <c r="N378">
        <f t="shared" si="21"/>
        <v>0.70218579234972689</v>
      </c>
      <c r="O378">
        <f t="shared" si="22"/>
        <v>4.5814207650273664E-2</v>
      </c>
    </row>
    <row r="379" spans="2:15" x14ac:dyDescent="0.25">
      <c r="B379" s="7">
        <v>24.66</v>
      </c>
      <c r="J379" s="7">
        <v>27.17</v>
      </c>
      <c r="K379">
        <v>1</v>
      </c>
      <c r="L379">
        <f t="shared" si="20"/>
        <v>2E-3</v>
      </c>
      <c r="M379">
        <f t="shared" si="23"/>
        <v>0.75000000000000056</v>
      </c>
      <c r="N379">
        <f t="shared" si="21"/>
        <v>0.70273224043715865</v>
      </c>
      <c r="O379">
        <f t="shared" si="22"/>
        <v>4.7267759562841904E-2</v>
      </c>
    </row>
    <row r="380" spans="2:15" x14ac:dyDescent="0.25">
      <c r="B380" s="7">
        <v>22.31</v>
      </c>
      <c r="J380" s="7">
        <v>27.17</v>
      </c>
      <c r="K380">
        <v>1</v>
      </c>
      <c r="L380">
        <f t="shared" si="20"/>
        <v>2E-3</v>
      </c>
      <c r="M380">
        <f t="shared" si="23"/>
        <v>0.75200000000000056</v>
      </c>
      <c r="N380">
        <f t="shared" si="21"/>
        <v>0.70273224043715865</v>
      </c>
      <c r="O380">
        <f t="shared" si="22"/>
        <v>4.9267759562841906E-2</v>
      </c>
    </row>
    <row r="381" spans="2:15" x14ac:dyDescent="0.25">
      <c r="B381" s="7">
        <v>22.45</v>
      </c>
      <c r="J381" s="7">
        <v>27.18</v>
      </c>
      <c r="K381">
        <v>1</v>
      </c>
      <c r="L381">
        <f t="shared" si="20"/>
        <v>2E-3</v>
      </c>
      <c r="M381">
        <f t="shared" si="23"/>
        <v>0.75400000000000056</v>
      </c>
      <c r="N381">
        <f t="shared" si="21"/>
        <v>0.70327868852459019</v>
      </c>
      <c r="O381">
        <f t="shared" si="22"/>
        <v>5.0721311475410369E-2</v>
      </c>
    </row>
    <row r="382" spans="2:15" x14ac:dyDescent="0.25">
      <c r="B382" s="7">
        <v>22.83</v>
      </c>
      <c r="J382" s="7">
        <v>27.21</v>
      </c>
      <c r="K382">
        <v>1</v>
      </c>
      <c r="L382">
        <f t="shared" si="20"/>
        <v>2E-3</v>
      </c>
      <c r="M382">
        <f t="shared" si="23"/>
        <v>0.75600000000000056</v>
      </c>
      <c r="N382">
        <f t="shared" si="21"/>
        <v>0.70491803278688536</v>
      </c>
      <c r="O382">
        <f t="shared" si="22"/>
        <v>5.1081967213115198E-2</v>
      </c>
    </row>
    <row r="383" spans="2:15" x14ac:dyDescent="0.25">
      <c r="B383" s="7">
        <v>23.73</v>
      </c>
      <c r="J383" s="7">
        <v>27.22</v>
      </c>
      <c r="K383">
        <v>1</v>
      </c>
      <c r="L383">
        <f t="shared" si="20"/>
        <v>2E-3</v>
      </c>
      <c r="M383">
        <f t="shared" si="23"/>
        <v>0.75800000000000056</v>
      </c>
      <c r="N383">
        <f t="shared" si="21"/>
        <v>0.70546448087431701</v>
      </c>
      <c r="O383">
        <f t="shared" si="22"/>
        <v>5.253551912568355E-2</v>
      </c>
    </row>
    <row r="384" spans="2:15" x14ac:dyDescent="0.25">
      <c r="B384" s="7">
        <v>25.62</v>
      </c>
      <c r="J384" s="7">
        <v>27.22</v>
      </c>
      <c r="K384">
        <v>1</v>
      </c>
      <c r="L384">
        <f t="shared" si="20"/>
        <v>2E-3</v>
      </c>
      <c r="M384">
        <f t="shared" si="23"/>
        <v>0.76000000000000056</v>
      </c>
      <c r="N384">
        <f t="shared" si="21"/>
        <v>0.70546448087431701</v>
      </c>
      <c r="O384">
        <f t="shared" si="22"/>
        <v>5.4535519125683551E-2</v>
      </c>
    </row>
    <row r="385" spans="2:15" x14ac:dyDescent="0.25">
      <c r="B385" s="7">
        <v>21.92</v>
      </c>
      <c r="J385" s="7">
        <v>27.23</v>
      </c>
      <c r="K385">
        <v>1</v>
      </c>
      <c r="L385">
        <f t="shared" si="20"/>
        <v>2E-3</v>
      </c>
      <c r="M385">
        <f t="shared" si="23"/>
        <v>0.76200000000000057</v>
      </c>
      <c r="N385">
        <f t="shared" si="21"/>
        <v>0.70601092896174877</v>
      </c>
      <c r="O385">
        <f t="shared" si="22"/>
        <v>5.5989071038251792E-2</v>
      </c>
    </row>
    <row r="386" spans="2:15" x14ac:dyDescent="0.25">
      <c r="B386" s="7">
        <v>22.06</v>
      </c>
      <c r="J386" s="7">
        <v>27.23</v>
      </c>
      <c r="K386">
        <v>1</v>
      </c>
      <c r="L386">
        <f t="shared" si="20"/>
        <v>2E-3</v>
      </c>
      <c r="M386">
        <f t="shared" si="23"/>
        <v>0.76400000000000057</v>
      </c>
      <c r="N386">
        <f t="shared" si="21"/>
        <v>0.70601092896174877</v>
      </c>
      <c r="O386">
        <f t="shared" si="22"/>
        <v>5.7989071038251794E-2</v>
      </c>
    </row>
    <row r="387" spans="2:15" x14ac:dyDescent="0.25">
      <c r="B387" s="7">
        <v>25.13</v>
      </c>
      <c r="J387" s="7">
        <v>27.23</v>
      </c>
      <c r="K387">
        <v>1</v>
      </c>
      <c r="L387">
        <f t="shared" si="20"/>
        <v>2E-3</v>
      </c>
      <c r="M387">
        <f t="shared" si="23"/>
        <v>0.76600000000000057</v>
      </c>
      <c r="N387">
        <f t="shared" si="21"/>
        <v>0.70601092896174877</v>
      </c>
      <c r="O387">
        <f t="shared" si="22"/>
        <v>5.9989071038251796E-2</v>
      </c>
    </row>
    <row r="388" spans="2:15" x14ac:dyDescent="0.25">
      <c r="B388" s="7">
        <v>21.56</v>
      </c>
      <c r="J388" s="7">
        <v>27.23</v>
      </c>
      <c r="K388">
        <v>1</v>
      </c>
      <c r="L388">
        <f t="shared" si="20"/>
        <v>2E-3</v>
      </c>
      <c r="M388">
        <f t="shared" si="23"/>
        <v>0.76800000000000057</v>
      </c>
      <c r="N388">
        <f t="shared" si="21"/>
        <v>0.70601092896174877</v>
      </c>
      <c r="O388">
        <f t="shared" si="22"/>
        <v>6.1989071038251797E-2</v>
      </c>
    </row>
    <row r="389" spans="2:15" x14ac:dyDescent="0.25">
      <c r="B389" s="7">
        <v>23.39</v>
      </c>
      <c r="J389" s="7">
        <v>27.24</v>
      </c>
      <c r="K389">
        <v>1</v>
      </c>
      <c r="L389">
        <f t="shared" si="20"/>
        <v>2E-3</v>
      </c>
      <c r="M389">
        <f t="shared" si="23"/>
        <v>0.77000000000000057</v>
      </c>
      <c r="N389">
        <f t="shared" si="21"/>
        <v>0.70655737704918031</v>
      </c>
      <c r="O389">
        <f t="shared" si="22"/>
        <v>6.344262295082026E-2</v>
      </c>
    </row>
    <row r="390" spans="2:15" x14ac:dyDescent="0.25">
      <c r="B390" s="7">
        <v>23.22</v>
      </c>
      <c r="J390" s="7">
        <v>27.25</v>
      </c>
      <c r="K390">
        <v>1</v>
      </c>
      <c r="L390">
        <f t="shared" ref="L390:L453" si="24">K390/$E$20</f>
        <v>2E-3</v>
      </c>
      <c r="M390">
        <f t="shared" si="23"/>
        <v>0.77200000000000057</v>
      </c>
      <c r="N390">
        <f t="shared" ref="N390:N453" si="25">(J390-$H$7)/($H$8-$H$7)</f>
        <v>0.70710382513661207</v>
      </c>
      <c r="O390">
        <f t="shared" ref="O390:O453" si="26">ABS(M390-N390)</f>
        <v>6.48961748633885E-2</v>
      </c>
    </row>
    <row r="391" spans="2:15" x14ac:dyDescent="0.25">
      <c r="B391" s="7">
        <v>29.09</v>
      </c>
      <c r="J391" s="7">
        <v>27.26</v>
      </c>
      <c r="K391">
        <v>1</v>
      </c>
      <c r="L391">
        <f t="shared" si="24"/>
        <v>2E-3</v>
      </c>
      <c r="M391">
        <f t="shared" ref="M391:M454" si="27">M390+L391</f>
        <v>0.77400000000000058</v>
      </c>
      <c r="N391">
        <f t="shared" si="25"/>
        <v>0.70765027322404384</v>
      </c>
      <c r="O391">
        <f t="shared" si="26"/>
        <v>6.6349726775956741E-2</v>
      </c>
    </row>
    <row r="392" spans="2:15" x14ac:dyDescent="0.25">
      <c r="B392" s="7">
        <v>25.96</v>
      </c>
      <c r="J392" s="7">
        <v>27.26</v>
      </c>
      <c r="K392">
        <v>1</v>
      </c>
      <c r="L392">
        <f t="shared" si="24"/>
        <v>2E-3</v>
      </c>
      <c r="M392">
        <f t="shared" si="27"/>
        <v>0.77600000000000058</v>
      </c>
      <c r="N392">
        <f t="shared" si="25"/>
        <v>0.70765027322404384</v>
      </c>
      <c r="O392">
        <f t="shared" si="26"/>
        <v>6.8349726775956743E-2</v>
      </c>
    </row>
    <row r="393" spans="2:15" x14ac:dyDescent="0.25">
      <c r="B393" s="7">
        <v>19.989999999999998</v>
      </c>
      <c r="J393" s="7">
        <v>27.28</v>
      </c>
      <c r="K393">
        <v>1</v>
      </c>
      <c r="L393">
        <f t="shared" si="24"/>
        <v>2E-3</v>
      </c>
      <c r="M393">
        <f t="shared" si="27"/>
        <v>0.77800000000000058</v>
      </c>
      <c r="N393">
        <f t="shared" si="25"/>
        <v>0.70874316939890725</v>
      </c>
      <c r="O393">
        <f t="shared" si="26"/>
        <v>6.9256830601093333E-2</v>
      </c>
    </row>
    <row r="394" spans="2:15" x14ac:dyDescent="0.25">
      <c r="B394" s="7">
        <v>23.43</v>
      </c>
      <c r="J394" s="7">
        <v>27.36</v>
      </c>
      <c r="K394">
        <v>1</v>
      </c>
      <c r="L394">
        <f t="shared" si="24"/>
        <v>2E-3</v>
      </c>
      <c r="M394">
        <f t="shared" si="27"/>
        <v>0.78000000000000058</v>
      </c>
      <c r="N394">
        <f t="shared" si="25"/>
        <v>0.71311475409836067</v>
      </c>
      <c r="O394">
        <f t="shared" si="26"/>
        <v>6.6885245901639911E-2</v>
      </c>
    </row>
    <row r="395" spans="2:15" x14ac:dyDescent="0.25">
      <c r="B395" s="7">
        <v>28.92</v>
      </c>
      <c r="J395" s="7">
        <v>27.4</v>
      </c>
      <c r="K395">
        <v>1</v>
      </c>
      <c r="L395">
        <f t="shared" si="24"/>
        <v>2E-3</v>
      </c>
      <c r="M395">
        <f t="shared" si="27"/>
        <v>0.78200000000000058</v>
      </c>
      <c r="N395">
        <f t="shared" si="25"/>
        <v>0.71530054644808749</v>
      </c>
      <c r="O395">
        <f t="shared" si="26"/>
        <v>6.669945355191309E-2</v>
      </c>
    </row>
    <row r="396" spans="2:15" x14ac:dyDescent="0.25">
      <c r="B396" s="7">
        <v>27.09</v>
      </c>
      <c r="J396" s="7">
        <v>27.43</v>
      </c>
      <c r="K396">
        <v>1</v>
      </c>
      <c r="L396">
        <f t="shared" si="24"/>
        <v>2E-3</v>
      </c>
      <c r="M396">
        <f t="shared" si="27"/>
        <v>0.78400000000000059</v>
      </c>
      <c r="N396">
        <f t="shared" si="25"/>
        <v>0.71693989071038255</v>
      </c>
      <c r="O396">
        <f t="shared" si="26"/>
        <v>6.7060109289618031E-2</v>
      </c>
    </row>
    <row r="397" spans="2:15" x14ac:dyDescent="0.25">
      <c r="B397" s="7">
        <v>24.6</v>
      </c>
      <c r="J397" s="7">
        <v>27.5</v>
      </c>
      <c r="K397">
        <v>1</v>
      </c>
      <c r="L397">
        <f t="shared" si="24"/>
        <v>2E-3</v>
      </c>
      <c r="M397">
        <f t="shared" si="27"/>
        <v>0.78600000000000059</v>
      </c>
      <c r="N397">
        <f t="shared" si="25"/>
        <v>0.72076502732240444</v>
      </c>
      <c r="O397">
        <f t="shared" si="26"/>
        <v>6.5234972677596148E-2</v>
      </c>
    </row>
    <row r="398" spans="2:15" x14ac:dyDescent="0.25">
      <c r="B398" s="7">
        <v>24.33</v>
      </c>
      <c r="J398" s="7">
        <v>27.53</v>
      </c>
      <c r="K398">
        <v>1</v>
      </c>
      <c r="L398">
        <f t="shared" si="24"/>
        <v>2E-3</v>
      </c>
      <c r="M398">
        <f t="shared" si="27"/>
        <v>0.78800000000000059</v>
      </c>
      <c r="N398">
        <f t="shared" si="25"/>
        <v>0.72240437158469961</v>
      </c>
      <c r="O398">
        <f t="shared" si="26"/>
        <v>6.5595628415300977E-2</v>
      </c>
    </row>
    <row r="399" spans="2:15" x14ac:dyDescent="0.25">
      <c r="B399" s="7">
        <v>25.52</v>
      </c>
      <c r="J399" s="7">
        <v>27.6</v>
      </c>
      <c r="K399">
        <v>1</v>
      </c>
      <c r="L399">
        <f t="shared" si="24"/>
        <v>2E-3</v>
      </c>
      <c r="M399">
        <f t="shared" si="27"/>
        <v>0.79000000000000059</v>
      </c>
      <c r="N399">
        <f t="shared" si="25"/>
        <v>0.7262295081967215</v>
      </c>
      <c r="O399">
        <f t="shared" si="26"/>
        <v>6.3770491803279095E-2</v>
      </c>
    </row>
    <row r="400" spans="2:15" x14ac:dyDescent="0.25">
      <c r="B400" s="7">
        <v>30.9</v>
      </c>
      <c r="J400" s="7">
        <v>27.6</v>
      </c>
      <c r="K400">
        <v>1</v>
      </c>
      <c r="L400">
        <f t="shared" si="24"/>
        <v>2E-3</v>
      </c>
      <c r="M400">
        <f t="shared" si="27"/>
        <v>0.79200000000000059</v>
      </c>
      <c r="N400">
        <f t="shared" si="25"/>
        <v>0.7262295081967215</v>
      </c>
      <c r="O400">
        <f t="shared" si="26"/>
        <v>6.5770491803279096E-2</v>
      </c>
    </row>
    <row r="401" spans="2:15" x14ac:dyDescent="0.25">
      <c r="B401" s="7">
        <v>25.34</v>
      </c>
      <c r="J401" s="7">
        <v>27.62</v>
      </c>
      <c r="K401">
        <v>1</v>
      </c>
      <c r="L401">
        <f t="shared" si="24"/>
        <v>2E-3</v>
      </c>
      <c r="M401">
        <f t="shared" si="27"/>
        <v>0.79400000000000059</v>
      </c>
      <c r="N401">
        <f t="shared" si="25"/>
        <v>0.7273224043715848</v>
      </c>
      <c r="O401">
        <f t="shared" si="26"/>
        <v>6.6677595628415798E-2</v>
      </c>
    </row>
    <row r="402" spans="2:15" x14ac:dyDescent="0.25">
      <c r="B402" s="7">
        <v>26.64</v>
      </c>
      <c r="J402" s="7">
        <v>27.62</v>
      </c>
      <c r="K402">
        <v>1</v>
      </c>
      <c r="L402">
        <f t="shared" si="24"/>
        <v>2E-3</v>
      </c>
      <c r="M402">
        <f t="shared" si="27"/>
        <v>0.7960000000000006</v>
      </c>
      <c r="N402">
        <f t="shared" si="25"/>
        <v>0.7273224043715848</v>
      </c>
      <c r="O402">
        <f t="shared" si="26"/>
        <v>6.86775956284158E-2</v>
      </c>
    </row>
    <row r="403" spans="2:15" x14ac:dyDescent="0.25">
      <c r="B403" s="7">
        <v>24.06</v>
      </c>
      <c r="J403" s="7">
        <v>27.67</v>
      </c>
      <c r="K403">
        <v>1</v>
      </c>
      <c r="L403">
        <f t="shared" si="24"/>
        <v>2E-3</v>
      </c>
      <c r="M403">
        <f t="shared" si="27"/>
        <v>0.7980000000000006</v>
      </c>
      <c r="N403">
        <f t="shared" si="25"/>
        <v>0.73005464480874338</v>
      </c>
      <c r="O403">
        <f t="shared" si="26"/>
        <v>6.7945355191257217E-2</v>
      </c>
    </row>
    <row r="404" spans="2:15" x14ac:dyDescent="0.25">
      <c r="B404" s="7">
        <v>20.53</v>
      </c>
      <c r="J404" s="7">
        <v>27.68</v>
      </c>
      <c r="K404">
        <v>1</v>
      </c>
      <c r="L404">
        <f t="shared" si="24"/>
        <v>2E-3</v>
      </c>
      <c r="M404">
        <f t="shared" si="27"/>
        <v>0.8000000000000006</v>
      </c>
      <c r="N404">
        <f t="shared" si="25"/>
        <v>0.73060109289617492</v>
      </c>
      <c r="O404">
        <f t="shared" si="26"/>
        <v>6.939890710382568E-2</v>
      </c>
    </row>
    <row r="405" spans="2:15" x14ac:dyDescent="0.25">
      <c r="B405" s="7">
        <v>28.44</v>
      </c>
      <c r="J405" s="7">
        <v>27.69</v>
      </c>
      <c r="K405">
        <v>1</v>
      </c>
      <c r="L405">
        <f t="shared" si="24"/>
        <v>2E-3</v>
      </c>
      <c r="M405">
        <f t="shared" si="27"/>
        <v>0.8020000000000006</v>
      </c>
      <c r="N405">
        <f t="shared" si="25"/>
        <v>0.73114754098360668</v>
      </c>
      <c r="O405">
        <f t="shared" si="26"/>
        <v>7.0852459016393921E-2</v>
      </c>
    </row>
    <row r="406" spans="2:15" x14ac:dyDescent="0.25">
      <c r="B406" s="7">
        <v>24.25</v>
      </c>
      <c r="J406" s="7">
        <v>27.75</v>
      </c>
      <c r="K406">
        <v>1</v>
      </c>
      <c r="L406">
        <f t="shared" si="24"/>
        <v>2E-3</v>
      </c>
      <c r="M406">
        <f t="shared" si="27"/>
        <v>0.8040000000000006</v>
      </c>
      <c r="N406">
        <f t="shared" si="25"/>
        <v>0.7344262295081968</v>
      </c>
      <c r="O406">
        <f t="shared" si="26"/>
        <v>6.9573770491803799E-2</v>
      </c>
    </row>
    <row r="407" spans="2:15" x14ac:dyDescent="0.25">
      <c r="B407" s="7">
        <v>27.01</v>
      </c>
      <c r="J407" s="7">
        <v>27.77</v>
      </c>
      <c r="K407">
        <v>1</v>
      </c>
      <c r="L407">
        <f t="shared" si="24"/>
        <v>2E-3</v>
      </c>
      <c r="M407">
        <f t="shared" si="27"/>
        <v>0.8060000000000006</v>
      </c>
      <c r="N407">
        <f t="shared" si="25"/>
        <v>0.73551912568306022</v>
      </c>
      <c r="O407">
        <f t="shared" si="26"/>
        <v>7.048087431694039E-2</v>
      </c>
    </row>
    <row r="408" spans="2:15" x14ac:dyDescent="0.25">
      <c r="B408" s="7">
        <v>21.43</v>
      </c>
      <c r="J408" s="7">
        <v>27.79</v>
      </c>
      <c r="K408">
        <v>1</v>
      </c>
      <c r="L408">
        <f t="shared" si="24"/>
        <v>2E-3</v>
      </c>
      <c r="M408">
        <f t="shared" si="27"/>
        <v>0.80800000000000061</v>
      </c>
      <c r="N408">
        <f t="shared" si="25"/>
        <v>0.73661202185792352</v>
      </c>
      <c r="O408">
        <f t="shared" si="26"/>
        <v>7.1387978142077091E-2</v>
      </c>
    </row>
    <row r="409" spans="2:15" x14ac:dyDescent="0.25">
      <c r="B409" s="7">
        <v>26.44</v>
      </c>
      <c r="J409" s="7">
        <v>27.81</v>
      </c>
      <c r="K409">
        <v>1</v>
      </c>
      <c r="L409">
        <f t="shared" si="24"/>
        <v>2E-3</v>
      </c>
      <c r="M409">
        <f t="shared" si="27"/>
        <v>0.81000000000000061</v>
      </c>
      <c r="N409">
        <f t="shared" si="25"/>
        <v>0.73770491803278693</v>
      </c>
      <c r="O409">
        <f t="shared" si="26"/>
        <v>7.2295081967213681E-2</v>
      </c>
    </row>
    <row r="410" spans="2:15" x14ac:dyDescent="0.25">
      <c r="B410" s="7">
        <v>27.06</v>
      </c>
      <c r="J410" s="7">
        <v>27.82</v>
      </c>
      <c r="K410">
        <v>1</v>
      </c>
      <c r="L410">
        <f t="shared" si="24"/>
        <v>2E-3</v>
      </c>
      <c r="M410">
        <f t="shared" si="27"/>
        <v>0.81200000000000061</v>
      </c>
      <c r="N410">
        <f t="shared" si="25"/>
        <v>0.73825136612021869</v>
      </c>
      <c r="O410">
        <f t="shared" si="26"/>
        <v>7.3748633879781922E-2</v>
      </c>
    </row>
    <row r="411" spans="2:15" x14ac:dyDescent="0.25">
      <c r="B411" s="7">
        <v>23.98</v>
      </c>
      <c r="J411" s="7">
        <v>27.83</v>
      </c>
      <c r="K411">
        <v>1</v>
      </c>
      <c r="L411">
        <f t="shared" si="24"/>
        <v>2E-3</v>
      </c>
      <c r="M411">
        <f t="shared" si="27"/>
        <v>0.81400000000000061</v>
      </c>
      <c r="N411">
        <f t="shared" si="25"/>
        <v>0.73879781420765023</v>
      </c>
      <c r="O411">
        <f t="shared" si="26"/>
        <v>7.5202185792350384E-2</v>
      </c>
    </row>
    <row r="412" spans="2:15" x14ac:dyDescent="0.25">
      <c r="B412" s="7">
        <v>22.06</v>
      </c>
      <c r="J412" s="7">
        <v>27.85</v>
      </c>
      <c r="K412">
        <v>1</v>
      </c>
      <c r="L412">
        <f t="shared" si="24"/>
        <v>2E-3</v>
      </c>
      <c r="M412">
        <f t="shared" si="27"/>
        <v>0.81600000000000061</v>
      </c>
      <c r="N412">
        <f t="shared" si="25"/>
        <v>0.73989071038251386</v>
      </c>
      <c r="O412">
        <f t="shared" si="26"/>
        <v>7.6109289617486753E-2</v>
      </c>
    </row>
    <row r="413" spans="2:15" x14ac:dyDescent="0.25">
      <c r="B413" s="7">
        <v>20.77</v>
      </c>
      <c r="J413" s="7">
        <v>27.92</v>
      </c>
      <c r="K413">
        <v>1</v>
      </c>
      <c r="L413">
        <f t="shared" si="24"/>
        <v>2E-3</v>
      </c>
      <c r="M413">
        <f t="shared" si="27"/>
        <v>0.81800000000000062</v>
      </c>
      <c r="N413">
        <f t="shared" si="25"/>
        <v>0.74371584699453575</v>
      </c>
      <c r="O413">
        <f t="shared" si="26"/>
        <v>7.428415300546487E-2</v>
      </c>
    </row>
    <row r="414" spans="2:15" x14ac:dyDescent="0.25">
      <c r="B414" s="7">
        <v>23.31</v>
      </c>
      <c r="J414" s="7">
        <v>27.94</v>
      </c>
      <c r="K414">
        <v>1</v>
      </c>
      <c r="L414">
        <f t="shared" si="24"/>
        <v>2E-3</v>
      </c>
      <c r="M414">
        <f t="shared" si="27"/>
        <v>0.82000000000000062</v>
      </c>
      <c r="N414">
        <f t="shared" si="25"/>
        <v>0.74480874316939905</v>
      </c>
      <c r="O414">
        <f t="shared" si="26"/>
        <v>7.5191256830601572E-2</v>
      </c>
    </row>
    <row r="415" spans="2:15" x14ac:dyDescent="0.25">
      <c r="B415" s="7">
        <v>26.37</v>
      </c>
      <c r="J415" s="7">
        <v>27.95</v>
      </c>
      <c r="K415">
        <v>1</v>
      </c>
      <c r="L415">
        <f t="shared" si="24"/>
        <v>2E-3</v>
      </c>
      <c r="M415">
        <f t="shared" si="27"/>
        <v>0.82200000000000062</v>
      </c>
      <c r="N415">
        <f t="shared" si="25"/>
        <v>0.7453551912568307</v>
      </c>
      <c r="O415">
        <f t="shared" si="26"/>
        <v>7.6644808743169923E-2</v>
      </c>
    </row>
    <row r="416" spans="2:15" x14ac:dyDescent="0.25">
      <c r="B416" s="7">
        <v>23.8</v>
      </c>
      <c r="J416" s="7">
        <v>28</v>
      </c>
      <c r="K416">
        <v>1</v>
      </c>
      <c r="L416">
        <f t="shared" si="24"/>
        <v>2E-3</v>
      </c>
      <c r="M416">
        <f t="shared" si="27"/>
        <v>0.82400000000000062</v>
      </c>
      <c r="N416">
        <f t="shared" si="25"/>
        <v>0.74808743169398917</v>
      </c>
      <c r="O416">
        <f t="shared" si="26"/>
        <v>7.5912568306011452E-2</v>
      </c>
    </row>
    <row r="417" spans="2:15" x14ac:dyDescent="0.25">
      <c r="B417" s="7">
        <v>26.73</v>
      </c>
      <c r="J417" s="7">
        <v>28.01</v>
      </c>
      <c r="K417">
        <v>1</v>
      </c>
      <c r="L417">
        <f t="shared" si="24"/>
        <v>2E-3</v>
      </c>
      <c r="M417">
        <f t="shared" si="27"/>
        <v>0.82600000000000062</v>
      </c>
      <c r="N417">
        <f t="shared" si="25"/>
        <v>0.74863387978142093</v>
      </c>
      <c r="O417">
        <f t="shared" si="26"/>
        <v>7.7366120218579693E-2</v>
      </c>
    </row>
    <row r="418" spans="2:15" x14ac:dyDescent="0.25">
      <c r="B418" s="7">
        <v>23.39</v>
      </c>
      <c r="J418" s="7">
        <v>28.03</v>
      </c>
      <c r="K418">
        <v>1</v>
      </c>
      <c r="L418">
        <f t="shared" si="24"/>
        <v>2E-3</v>
      </c>
      <c r="M418">
        <f t="shared" si="27"/>
        <v>0.82800000000000062</v>
      </c>
      <c r="N418">
        <f t="shared" si="25"/>
        <v>0.74972677595628434</v>
      </c>
      <c r="O418">
        <f t="shared" si="26"/>
        <v>7.8273224043716283E-2</v>
      </c>
    </row>
    <row r="419" spans="2:15" x14ac:dyDescent="0.25">
      <c r="B419" s="7">
        <v>24.69</v>
      </c>
      <c r="J419" s="7">
        <v>28.08</v>
      </c>
      <c r="K419">
        <v>1</v>
      </c>
      <c r="L419">
        <f t="shared" si="24"/>
        <v>2E-3</v>
      </c>
      <c r="M419">
        <f t="shared" si="27"/>
        <v>0.83000000000000063</v>
      </c>
      <c r="N419">
        <f t="shared" si="25"/>
        <v>0.75245901639344259</v>
      </c>
      <c r="O419">
        <f t="shared" si="26"/>
        <v>7.7540983606558034E-2</v>
      </c>
    </row>
    <row r="420" spans="2:15" x14ac:dyDescent="0.25">
      <c r="B420" s="7">
        <v>27.5</v>
      </c>
      <c r="J420" s="7">
        <v>28.08</v>
      </c>
      <c r="K420">
        <v>1</v>
      </c>
      <c r="L420">
        <f t="shared" si="24"/>
        <v>2E-3</v>
      </c>
      <c r="M420">
        <f t="shared" si="27"/>
        <v>0.83200000000000063</v>
      </c>
      <c r="N420">
        <f t="shared" si="25"/>
        <v>0.75245901639344259</v>
      </c>
      <c r="O420">
        <f t="shared" si="26"/>
        <v>7.9540983606558036E-2</v>
      </c>
    </row>
    <row r="421" spans="2:15" x14ac:dyDescent="0.25">
      <c r="B421" s="7">
        <v>22.88</v>
      </c>
      <c r="J421" s="7">
        <v>28.09</v>
      </c>
      <c r="K421">
        <v>1</v>
      </c>
      <c r="L421">
        <f t="shared" si="24"/>
        <v>2E-3</v>
      </c>
      <c r="M421">
        <f t="shared" si="27"/>
        <v>0.83400000000000063</v>
      </c>
      <c r="N421">
        <f t="shared" si="25"/>
        <v>0.75300546448087435</v>
      </c>
      <c r="O421">
        <f t="shared" si="26"/>
        <v>8.0994535519126276E-2</v>
      </c>
    </row>
    <row r="422" spans="2:15" x14ac:dyDescent="0.25">
      <c r="B422" s="7">
        <v>22.57</v>
      </c>
      <c r="J422" s="7">
        <v>28.12</v>
      </c>
      <c r="K422">
        <v>1</v>
      </c>
      <c r="L422">
        <f t="shared" si="24"/>
        <v>2E-3</v>
      </c>
      <c r="M422">
        <f t="shared" si="27"/>
        <v>0.83600000000000063</v>
      </c>
      <c r="N422">
        <f t="shared" si="25"/>
        <v>0.75464480874316953</v>
      </c>
      <c r="O422">
        <f t="shared" si="26"/>
        <v>8.1355191256831105E-2</v>
      </c>
    </row>
    <row r="423" spans="2:15" x14ac:dyDescent="0.25">
      <c r="B423" s="7">
        <v>28.77</v>
      </c>
      <c r="J423" s="7">
        <v>28.14</v>
      </c>
      <c r="K423">
        <v>1</v>
      </c>
      <c r="L423">
        <f t="shared" si="24"/>
        <v>2E-3</v>
      </c>
      <c r="M423">
        <f t="shared" si="27"/>
        <v>0.83800000000000063</v>
      </c>
      <c r="N423">
        <f t="shared" si="25"/>
        <v>0.75573770491803294</v>
      </c>
      <c r="O423">
        <f t="shared" si="26"/>
        <v>8.2262295081967696E-2</v>
      </c>
    </row>
    <row r="424" spans="2:15" x14ac:dyDescent="0.25">
      <c r="B424" s="7">
        <v>21.16</v>
      </c>
      <c r="J424" s="7">
        <v>28.16</v>
      </c>
      <c r="K424">
        <v>1</v>
      </c>
      <c r="L424">
        <f t="shared" si="24"/>
        <v>2E-3</v>
      </c>
      <c r="M424">
        <f t="shared" si="27"/>
        <v>0.84000000000000064</v>
      </c>
      <c r="N424">
        <f t="shared" si="25"/>
        <v>0.75683060109289624</v>
      </c>
      <c r="O424">
        <f t="shared" si="26"/>
        <v>8.3169398907104397E-2</v>
      </c>
    </row>
    <row r="425" spans="2:15" x14ac:dyDescent="0.25">
      <c r="B425" s="7">
        <v>20.49</v>
      </c>
      <c r="J425" s="7">
        <v>28.18</v>
      </c>
      <c r="K425">
        <v>1</v>
      </c>
      <c r="L425">
        <f t="shared" si="24"/>
        <v>2E-3</v>
      </c>
      <c r="M425">
        <f t="shared" si="27"/>
        <v>0.84200000000000064</v>
      </c>
      <c r="N425">
        <f t="shared" si="25"/>
        <v>0.75792349726775965</v>
      </c>
      <c r="O425">
        <f t="shared" si="26"/>
        <v>8.4076502732240987E-2</v>
      </c>
    </row>
    <row r="426" spans="2:15" x14ac:dyDescent="0.25">
      <c r="B426" s="7">
        <v>27.62</v>
      </c>
      <c r="J426" s="7">
        <v>28.24</v>
      </c>
      <c r="K426">
        <v>1</v>
      </c>
      <c r="L426">
        <f t="shared" si="24"/>
        <v>2E-3</v>
      </c>
      <c r="M426">
        <f t="shared" si="27"/>
        <v>0.84400000000000064</v>
      </c>
      <c r="N426">
        <f t="shared" si="25"/>
        <v>0.76120218579234977</v>
      </c>
      <c r="O426">
        <f t="shared" si="26"/>
        <v>8.2797814207650866E-2</v>
      </c>
    </row>
    <row r="427" spans="2:15" x14ac:dyDescent="0.25">
      <c r="B427" s="7">
        <v>18.55</v>
      </c>
      <c r="J427" s="7">
        <v>28.25</v>
      </c>
      <c r="K427">
        <v>1</v>
      </c>
      <c r="L427">
        <f t="shared" si="24"/>
        <v>2E-3</v>
      </c>
      <c r="M427">
        <f t="shared" si="27"/>
        <v>0.84600000000000064</v>
      </c>
      <c r="N427">
        <f t="shared" si="25"/>
        <v>0.76174863387978153</v>
      </c>
      <c r="O427">
        <f t="shared" si="26"/>
        <v>8.4251366120219107E-2</v>
      </c>
    </row>
    <row r="428" spans="2:15" x14ac:dyDescent="0.25">
      <c r="B428" s="7">
        <v>25.27</v>
      </c>
      <c r="J428" s="7">
        <v>28.3</v>
      </c>
      <c r="K428">
        <v>1</v>
      </c>
      <c r="L428">
        <f t="shared" si="24"/>
        <v>2E-3</v>
      </c>
      <c r="M428">
        <f t="shared" si="27"/>
        <v>0.84800000000000064</v>
      </c>
      <c r="N428">
        <f t="shared" si="25"/>
        <v>0.76448087431694001</v>
      </c>
      <c r="O428">
        <f t="shared" si="26"/>
        <v>8.3519125683060635E-2</v>
      </c>
    </row>
    <row r="429" spans="2:15" x14ac:dyDescent="0.25">
      <c r="B429" s="7">
        <v>26.84</v>
      </c>
      <c r="J429" s="7">
        <v>28.31</v>
      </c>
      <c r="K429">
        <v>1</v>
      </c>
      <c r="L429">
        <f t="shared" si="24"/>
        <v>2E-3</v>
      </c>
      <c r="M429">
        <f t="shared" si="27"/>
        <v>0.85000000000000064</v>
      </c>
      <c r="N429">
        <f t="shared" si="25"/>
        <v>0.76502732240437166</v>
      </c>
      <c r="O429">
        <f t="shared" si="26"/>
        <v>8.4972677595628987E-2</v>
      </c>
    </row>
    <row r="430" spans="2:15" x14ac:dyDescent="0.25">
      <c r="B430" s="7">
        <v>28.16</v>
      </c>
      <c r="J430" s="7">
        <v>28.33</v>
      </c>
      <c r="K430">
        <v>1</v>
      </c>
      <c r="L430">
        <f t="shared" si="24"/>
        <v>2E-3</v>
      </c>
      <c r="M430">
        <f t="shared" si="27"/>
        <v>0.85200000000000065</v>
      </c>
      <c r="N430">
        <f t="shared" si="25"/>
        <v>0.76612021857923496</v>
      </c>
      <c r="O430">
        <f t="shared" si="26"/>
        <v>8.5879781420765688E-2</v>
      </c>
    </row>
    <row r="431" spans="2:15" x14ac:dyDescent="0.25">
      <c r="B431" s="7">
        <v>30.05</v>
      </c>
      <c r="J431" s="7">
        <v>28.33</v>
      </c>
      <c r="K431">
        <v>1</v>
      </c>
      <c r="L431">
        <f t="shared" si="24"/>
        <v>2E-3</v>
      </c>
      <c r="M431">
        <f t="shared" si="27"/>
        <v>0.85400000000000065</v>
      </c>
      <c r="N431">
        <f t="shared" si="25"/>
        <v>0.76612021857923496</v>
      </c>
      <c r="O431">
        <f t="shared" si="26"/>
        <v>8.787978142076569E-2</v>
      </c>
    </row>
    <row r="432" spans="2:15" x14ac:dyDescent="0.25">
      <c r="B432" s="7">
        <v>30.08</v>
      </c>
      <c r="J432" s="7">
        <v>28.34</v>
      </c>
      <c r="K432">
        <v>1</v>
      </c>
      <c r="L432">
        <f t="shared" si="24"/>
        <v>2E-3</v>
      </c>
      <c r="M432">
        <f t="shared" si="27"/>
        <v>0.85600000000000065</v>
      </c>
      <c r="N432">
        <f t="shared" si="25"/>
        <v>0.76666666666666672</v>
      </c>
      <c r="O432">
        <f t="shared" si="26"/>
        <v>8.9333333333333931E-2</v>
      </c>
    </row>
    <row r="433" spans="2:15" x14ac:dyDescent="0.25">
      <c r="B433" s="7">
        <v>24.26</v>
      </c>
      <c r="J433" s="7">
        <v>28.34</v>
      </c>
      <c r="K433">
        <v>1</v>
      </c>
      <c r="L433">
        <f t="shared" si="24"/>
        <v>2E-3</v>
      </c>
      <c r="M433">
        <f t="shared" si="27"/>
        <v>0.85800000000000065</v>
      </c>
      <c r="N433">
        <f t="shared" si="25"/>
        <v>0.76666666666666672</v>
      </c>
      <c r="O433">
        <f t="shared" si="26"/>
        <v>9.1333333333333933E-2</v>
      </c>
    </row>
    <row r="434" spans="2:15" x14ac:dyDescent="0.25">
      <c r="B434" s="7">
        <v>21.74</v>
      </c>
      <c r="J434" s="7">
        <v>28.35</v>
      </c>
      <c r="K434">
        <v>1</v>
      </c>
      <c r="L434">
        <f t="shared" si="24"/>
        <v>2E-3</v>
      </c>
      <c r="M434">
        <f t="shared" si="27"/>
        <v>0.86000000000000065</v>
      </c>
      <c r="N434">
        <f t="shared" si="25"/>
        <v>0.76721311475409848</v>
      </c>
      <c r="O434">
        <f t="shared" si="26"/>
        <v>9.2786885245902173E-2</v>
      </c>
    </row>
    <row r="435" spans="2:15" x14ac:dyDescent="0.25">
      <c r="B435" s="7">
        <v>28.95</v>
      </c>
      <c r="J435" s="7">
        <v>28.35</v>
      </c>
      <c r="K435">
        <v>1</v>
      </c>
      <c r="L435">
        <f t="shared" si="24"/>
        <v>2E-3</v>
      </c>
      <c r="M435">
        <f t="shared" si="27"/>
        <v>0.86200000000000065</v>
      </c>
      <c r="N435">
        <f t="shared" si="25"/>
        <v>0.76721311475409848</v>
      </c>
      <c r="O435">
        <f t="shared" si="26"/>
        <v>9.4786885245902175E-2</v>
      </c>
    </row>
    <row r="436" spans="2:15" x14ac:dyDescent="0.25">
      <c r="B436" s="7">
        <v>25.28</v>
      </c>
      <c r="J436" s="7">
        <v>28.4</v>
      </c>
      <c r="K436">
        <v>1</v>
      </c>
      <c r="L436">
        <f t="shared" si="24"/>
        <v>2E-3</v>
      </c>
      <c r="M436">
        <f t="shared" si="27"/>
        <v>0.86400000000000066</v>
      </c>
      <c r="N436">
        <f t="shared" si="25"/>
        <v>0.76994535519125684</v>
      </c>
      <c r="O436">
        <f t="shared" si="26"/>
        <v>9.4054644808743815E-2</v>
      </c>
    </row>
    <row r="437" spans="2:15" x14ac:dyDescent="0.25">
      <c r="B437" s="7">
        <v>27.12</v>
      </c>
      <c r="J437" s="7">
        <v>28.41</v>
      </c>
      <c r="K437">
        <v>1</v>
      </c>
      <c r="L437">
        <f t="shared" si="24"/>
        <v>2E-3</v>
      </c>
      <c r="M437">
        <f t="shared" si="27"/>
        <v>0.86600000000000066</v>
      </c>
      <c r="N437">
        <f t="shared" si="25"/>
        <v>0.7704918032786886</v>
      </c>
      <c r="O437">
        <f t="shared" si="26"/>
        <v>9.5508196721312055E-2</v>
      </c>
    </row>
    <row r="438" spans="2:15" x14ac:dyDescent="0.25">
      <c r="B438" s="7">
        <v>25.09</v>
      </c>
      <c r="J438" s="7">
        <v>28.43</v>
      </c>
      <c r="K438">
        <v>1</v>
      </c>
      <c r="L438">
        <f t="shared" si="24"/>
        <v>2E-3</v>
      </c>
      <c r="M438">
        <f t="shared" si="27"/>
        <v>0.86800000000000066</v>
      </c>
      <c r="N438">
        <f t="shared" si="25"/>
        <v>0.77158469945355201</v>
      </c>
      <c r="O438">
        <f t="shared" si="26"/>
        <v>9.6415300546448646E-2</v>
      </c>
    </row>
    <row r="439" spans="2:15" x14ac:dyDescent="0.25">
      <c r="B439" s="7">
        <v>22.45</v>
      </c>
      <c r="J439" s="7">
        <v>28.44</v>
      </c>
      <c r="K439">
        <v>1</v>
      </c>
      <c r="L439">
        <f t="shared" si="24"/>
        <v>2E-3</v>
      </c>
      <c r="M439">
        <f t="shared" si="27"/>
        <v>0.87000000000000066</v>
      </c>
      <c r="N439">
        <f t="shared" si="25"/>
        <v>0.77213114754098378</v>
      </c>
      <c r="O439">
        <f t="shared" si="26"/>
        <v>9.7868852459016886E-2</v>
      </c>
    </row>
    <row r="440" spans="2:15" x14ac:dyDescent="0.25">
      <c r="B440" s="7">
        <v>22.46</v>
      </c>
      <c r="J440" s="7">
        <v>28.47</v>
      </c>
      <c r="K440">
        <v>1</v>
      </c>
      <c r="L440">
        <f t="shared" si="24"/>
        <v>2E-3</v>
      </c>
      <c r="M440">
        <f t="shared" si="27"/>
        <v>0.87200000000000066</v>
      </c>
      <c r="N440">
        <f t="shared" si="25"/>
        <v>0.77377049180327873</v>
      </c>
      <c r="O440">
        <f t="shared" si="26"/>
        <v>9.8229508196721937E-2</v>
      </c>
    </row>
    <row r="441" spans="2:15" x14ac:dyDescent="0.25">
      <c r="B441" s="7">
        <v>28.18</v>
      </c>
      <c r="J441" s="7">
        <v>28.51</v>
      </c>
      <c r="K441">
        <v>1</v>
      </c>
      <c r="L441">
        <f t="shared" si="24"/>
        <v>2E-3</v>
      </c>
      <c r="M441">
        <f t="shared" si="27"/>
        <v>0.87400000000000067</v>
      </c>
      <c r="N441">
        <f t="shared" si="25"/>
        <v>0.77595628415300566</v>
      </c>
      <c r="O441">
        <f t="shared" si="26"/>
        <v>9.8043715846995005E-2</v>
      </c>
    </row>
    <row r="442" spans="2:15" x14ac:dyDescent="0.25">
      <c r="B442" s="7">
        <v>28.59</v>
      </c>
      <c r="J442" s="7">
        <v>28.51</v>
      </c>
      <c r="K442">
        <v>1</v>
      </c>
      <c r="L442">
        <f t="shared" si="24"/>
        <v>2E-3</v>
      </c>
      <c r="M442">
        <f t="shared" si="27"/>
        <v>0.87600000000000067</v>
      </c>
      <c r="N442">
        <f t="shared" si="25"/>
        <v>0.77595628415300566</v>
      </c>
      <c r="O442">
        <f t="shared" si="26"/>
        <v>0.10004371584699501</v>
      </c>
    </row>
    <row r="443" spans="2:15" x14ac:dyDescent="0.25">
      <c r="B443" s="7">
        <v>24.03</v>
      </c>
      <c r="J443" s="7">
        <v>28.54</v>
      </c>
      <c r="K443">
        <v>1</v>
      </c>
      <c r="L443">
        <f t="shared" si="24"/>
        <v>2E-3</v>
      </c>
      <c r="M443">
        <f t="shared" si="27"/>
        <v>0.87800000000000067</v>
      </c>
      <c r="N443">
        <f t="shared" si="25"/>
        <v>0.77759562841530061</v>
      </c>
      <c r="O443">
        <f t="shared" si="26"/>
        <v>0.10040437158470006</v>
      </c>
    </row>
    <row r="444" spans="2:15" x14ac:dyDescent="0.25">
      <c r="B444" s="7">
        <v>30.52</v>
      </c>
      <c r="J444" s="7">
        <v>28.59</v>
      </c>
      <c r="K444">
        <v>1</v>
      </c>
      <c r="L444">
        <f t="shared" si="24"/>
        <v>2E-3</v>
      </c>
      <c r="M444">
        <f t="shared" si="27"/>
        <v>0.88000000000000067</v>
      </c>
      <c r="N444">
        <f t="shared" si="25"/>
        <v>0.78032786885245908</v>
      </c>
      <c r="O444">
        <f t="shared" si="26"/>
        <v>9.9672131147541587E-2</v>
      </c>
    </row>
    <row r="445" spans="2:15" x14ac:dyDescent="0.25">
      <c r="B445" s="7">
        <v>21.88</v>
      </c>
      <c r="J445" s="7">
        <v>28.6</v>
      </c>
      <c r="K445">
        <v>1</v>
      </c>
      <c r="L445">
        <f t="shared" si="24"/>
        <v>2E-3</v>
      </c>
      <c r="M445">
        <f t="shared" si="27"/>
        <v>0.88200000000000067</v>
      </c>
      <c r="N445">
        <f t="shared" si="25"/>
        <v>0.78087431693989084</v>
      </c>
      <c r="O445">
        <f t="shared" si="26"/>
        <v>0.10112568306010983</v>
      </c>
    </row>
    <row r="446" spans="2:15" x14ac:dyDescent="0.25">
      <c r="B446" s="7">
        <v>27.26</v>
      </c>
      <c r="J446" s="7">
        <v>28.68</v>
      </c>
      <c r="K446">
        <v>1</v>
      </c>
      <c r="L446">
        <f t="shared" si="24"/>
        <v>2E-3</v>
      </c>
      <c r="M446">
        <f t="shared" si="27"/>
        <v>0.88400000000000067</v>
      </c>
      <c r="N446">
        <f t="shared" si="25"/>
        <v>0.78524590163934438</v>
      </c>
      <c r="O446">
        <f t="shared" si="26"/>
        <v>9.8754098360656295E-2</v>
      </c>
    </row>
    <row r="447" spans="2:15" x14ac:dyDescent="0.25">
      <c r="B447" s="7">
        <v>26.59</v>
      </c>
      <c r="J447" s="7">
        <v>28.69</v>
      </c>
      <c r="K447">
        <v>1</v>
      </c>
      <c r="L447">
        <f t="shared" si="24"/>
        <v>2E-3</v>
      </c>
      <c r="M447">
        <f t="shared" si="27"/>
        <v>0.88600000000000068</v>
      </c>
      <c r="N447">
        <f t="shared" si="25"/>
        <v>0.78579234972677614</v>
      </c>
      <c r="O447">
        <f t="shared" si="26"/>
        <v>0.10020765027322454</v>
      </c>
    </row>
    <row r="448" spans="2:15" x14ac:dyDescent="0.25">
      <c r="B448" s="7">
        <v>20.53</v>
      </c>
      <c r="J448" s="7">
        <v>28.75</v>
      </c>
      <c r="K448">
        <v>1</v>
      </c>
      <c r="L448">
        <f t="shared" si="24"/>
        <v>2E-3</v>
      </c>
      <c r="M448">
        <f t="shared" si="27"/>
        <v>0.88800000000000068</v>
      </c>
      <c r="N448">
        <f t="shared" si="25"/>
        <v>0.78907103825136626</v>
      </c>
      <c r="O448">
        <f t="shared" si="26"/>
        <v>9.8928961748634414E-2</v>
      </c>
    </row>
    <row r="449" spans="2:15" x14ac:dyDescent="0.25">
      <c r="B449" s="7">
        <v>23.82</v>
      </c>
      <c r="J449" s="7">
        <v>28.77</v>
      </c>
      <c r="K449">
        <v>1</v>
      </c>
      <c r="L449">
        <f t="shared" si="24"/>
        <v>2E-3</v>
      </c>
      <c r="M449">
        <f t="shared" si="27"/>
        <v>0.89000000000000068</v>
      </c>
      <c r="N449">
        <f t="shared" si="25"/>
        <v>0.79016393442622956</v>
      </c>
      <c r="O449">
        <f t="shared" si="26"/>
        <v>9.9836065573771116E-2</v>
      </c>
    </row>
    <row r="450" spans="2:15" x14ac:dyDescent="0.25">
      <c r="B450" s="7">
        <v>24.21</v>
      </c>
      <c r="J450" s="7">
        <v>28.77</v>
      </c>
      <c r="K450">
        <v>1</v>
      </c>
      <c r="L450">
        <f t="shared" si="24"/>
        <v>2E-3</v>
      </c>
      <c r="M450">
        <f t="shared" si="27"/>
        <v>0.89200000000000068</v>
      </c>
      <c r="N450">
        <f t="shared" si="25"/>
        <v>0.79016393442622956</v>
      </c>
      <c r="O450">
        <f t="shared" si="26"/>
        <v>0.10183606557377112</v>
      </c>
    </row>
    <row r="451" spans="2:15" x14ac:dyDescent="0.25">
      <c r="B451" s="7">
        <v>18.920000000000002</v>
      </c>
      <c r="J451" s="7">
        <v>28.81</v>
      </c>
      <c r="K451">
        <v>1</v>
      </c>
      <c r="L451">
        <f t="shared" si="24"/>
        <v>2E-3</v>
      </c>
      <c r="M451">
        <f t="shared" si="27"/>
        <v>0.89400000000000068</v>
      </c>
      <c r="N451">
        <f t="shared" si="25"/>
        <v>0.79234972677595628</v>
      </c>
      <c r="O451">
        <f t="shared" si="26"/>
        <v>0.10165027322404441</v>
      </c>
    </row>
    <row r="452" spans="2:15" x14ac:dyDescent="0.25">
      <c r="B452" s="7">
        <v>19.489999999999998</v>
      </c>
      <c r="J452" s="7">
        <v>28.82</v>
      </c>
      <c r="K452">
        <v>1</v>
      </c>
      <c r="L452">
        <f t="shared" si="24"/>
        <v>2E-3</v>
      </c>
      <c r="M452">
        <f t="shared" si="27"/>
        <v>0.89600000000000068</v>
      </c>
      <c r="N452">
        <f t="shared" si="25"/>
        <v>0.79289617486338804</v>
      </c>
      <c r="O452">
        <f t="shared" si="26"/>
        <v>0.10310382513661265</v>
      </c>
    </row>
    <row r="453" spans="2:15" x14ac:dyDescent="0.25">
      <c r="B453" s="7">
        <v>22.69</v>
      </c>
      <c r="J453" s="7">
        <v>28.83</v>
      </c>
      <c r="K453">
        <v>1</v>
      </c>
      <c r="L453">
        <f t="shared" si="24"/>
        <v>2E-3</v>
      </c>
      <c r="M453">
        <f t="shared" si="27"/>
        <v>0.89800000000000069</v>
      </c>
      <c r="N453">
        <f t="shared" si="25"/>
        <v>0.79344262295081969</v>
      </c>
      <c r="O453">
        <f t="shared" si="26"/>
        <v>0.104557377049181</v>
      </c>
    </row>
    <row r="454" spans="2:15" x14ac:dyDescent="0.25">
      <c r="B454" s="7">
        <v>28.09</v>
      </c>
      <c r="J454" s="7">
        <v>28.91</v>
      </c>
      <c r="K454">
        <v>1</v>
      </c>
      <c r="L454">
        <f t="shared" ref="L454:L504" si="28">K454/$E$20</f>
        <v>2E-3</v>
      </c>
      <c r="M454">
        <f t="shared" si="27"/>
        <v>0.90000000000000069</v>
      </c>
      <c r="N454">
        <f t="shared" ref="N454:N504" si="29">(J454-$H$7)/($H$8-$H$7)</f>
        <v>0.79781420765027333</v>
      </c>
      <c r="O454">
        <f t="shared" ref="O454:O504" si="30">ABS(M454-N454)</f>
        <v>0.10218579234972736</v>
      </c>
    </row>
    <row r="455" spans="2:15" x14ac:dyDescent="0.25">
      <c r="B455" s="7">
        <v>23.56</v>
      </c>
      <c r="J455" s="7">
        <v>28.92</v>
      </c>
      <c r="K455">
        <v>1</v>
      </c>
      <c r="L455">
        <f t="shared" si="28"/>
        <v>2E-3</v>
      </c>
      <c r="M455">
        <f t="shared" ref="M455:M504" si="31">M454+L455</f>
        <v>0.90200000000000069</v>
      </c>
      <c r="N455">
        <f t="shared" si="29"/>
        <v>0.79836065573770509</v>
      </c>
      <c r="O455">
        <f t="shared" si="30"/>
        <v>0.1036393442622956</v>
      </c>
    </row>
    <row r="456" spans="2:15" x14ac:dyDescent="0.25">
      <c r="B456" s="7">
        <v>25.7</v>
      </c>
      <c r="J456" s="7">
        <v>28.95</v>
      </c>
      <c r="K456">
        <v>1</v>
      </c>
      <c r="L456">
        <f t="shared" si="28"/>
        <v>2E-3</v>
      </c>
      <c r="M456">
        <f t="shared" si="31"/>
        <v>0.90400000000000069</v>
      </c>
      <c r="N456">
        <f t="shared" si="29"/>
        <v>0.8</v>
      </c>
      <c r="O456">
        <f t="shared" si="30"/>
        <v>0.10400000000000065</v>
      </c>
    </row>
    <row r="457" spans="2:15" x14ac:dyDescent="0.25">
      <c r="B457" s="7">
        <v>19.88</v>
      </c>
      <c r="J457" s="7">
        <v>28.99</v>
      </c>
      <c r="K457">
        <v>1</v>
      </c>
      <c r="L457">
        <f t="shared" si="28"/>
        <v>2E-3</v>
      </c>
      <c r="M457">
        <f t="shared" si="31"/>
        <v>0.90600000000000069</v>
      </c>
      <c r="N457">
        <f t="shared" si="29"/>
        <v>0.80218579234972676</v>
      </c>
      <c r="O457">
        <f t="shared" si="30"/>
        <v>0.10381420765027394</v>
      </c>
    </row>
    <row r="458" spans="2:15" x14ac:dyDescent="0.25">
      <c r="B458" s="7">
        <v>24.33</v>
      </c>
      <c r="J458" s="7">
        <v>29.02</v>
      </c>
      <c r="K458">
        <v>1</v>
      </c>
      <c r="L458">
        <f t="shared" si="28"/>
        <v>2E-3</v>
      </c>
      <c r="M458">
        <f t="shared" si="31"/>
        <v>0.9080000000000007</v>
      </c>
      <c r="N458">
        <f t="shared" si="29"/>
        <v>0.80382513661202193</v>
      </c>
      <c r="O458">
        <f t="shared" si="30"/>
        <v>0.10417486338797877</v>
      </c>
    </row>
    <row r="459" spans="2:15" x14ac:dyDescent="0.25">
      <c r="B459" s="7">
        <v>29.42</v>
      </c>
      <c r="J459" s="7">
        <v>29.03</v>
      </c>
      <c r="K459">
        <v>1</v>
      </c>
      <c r="L459">
        <f t="shared" si="28"/>
        <v>2E-3</v>
      </c>
      <c r="M459">
        <f t="shared" si="31"/>
        <v>0.9100000000000007</v>
      </c>
      <c r="N459">
        <f t="shared" si="29"/>
        <v>0.80437158469945369</v>
      </c>
      <c r="O459">
        <f t="shared" si="30"/>
        <v>0.10562841530054701</v>
      </c>
    </row>
    <row r="460" spans="2:15" x14ac:dyDescent="0.25">
      <c r="B460" s="7">
        <v>26.09</v>
      </c>
      <c r="J460" s="7">
        <v>29.04</v>
      </c>
      <c r="K460">
        <v>1</v>
      </c>
      <c r="L460">
        <f t="shared" si="28"/>
        <v>2E-3</v>
      </c>
      <c r="M460">
        <f t="shared" si="31"/>
        <v>0.9120000000000007</v>
      </c>
      <c r="N460">
        <f t="shared" si="29"/>
        <v>0.80491803278688534</v>
      </c>
      <c r="O460">
        <f t="shared" si="30"/>
        <v>0.10708196721311536</v>
      </c>
    </row>
    <row r="461" spans="2:15" x14ac:dyDescent="0.25">
      <c r="B461" s="7">
        <v>27.75</v>
      </c>
      <c r="J461" s="7">
        <v>29.08</v>
      </c>
      <c r="K461">
        <v>1</v>
      </c>
      <c r="L461">
        <f t="shared" si="28"/>
        <v>2E-3</v>
      </c>
      <c r="M461">
        <f t="shared" si="31"/>
        <v>0.9140000000000007</v>
      </c>
      <c r="N461">
        <f t="shared" si="29"/>
        <v>0.80710382513661205</v>
      </c>
      <c r="O461">
        <f t="shared" si="30"/>
        <v>0.10689617486338865</v>
      </c>
    </row>
    <row r="462" spans="2:15" x14ac:dyDescent="0.25">
      <c r="B462" s="7">
        <v>25</v>
      </c>
      <c r="J462" s="7">
        <v>29.09</v>
      </c>
      <c r="K462">
        <v>1</v>
      </c>
      <c r="L462">
        <f t="shared" si="28"/>
        <v>2E-3</v>
      </c>
      <c r="M462">
        <f t="shared" si="31"/>
        <v>0.9160000000000007</v>
      </c>
      <c r="N462">
        <f t="shared" si="29"/>
        <v>0.80765027322404381</v>
      </c>
      <c r="O462">
        <f t="shared" si="30"/>
        <v>0.10834972677595689</v>
      </c>
    </row>
    <row r="463" spans="2:15" x14ac:dyDescent="0.25">
      <c r="B463" s="7">
        <v>28.03</v>
      </c>
      <c r="J463" s="7">
        <v>29.1</v>
      </c>
      <c r="K463">
        <v>1</v>
      </c>
      <c r="L463">
        <f t="shared" si="28"/>
        <v>2E-3</v>
      </c>
      <c r="M463">
        <f t="shared" si="31"/>
        <v>0.9180000000000007</v>
      </c>
      <c r="N463">
        <f t="shared" si="29"/>
        <v>0.80819672131147557</v>
      </c>
      <c r="O463">
        <f t="shared" si="30"/>
        <v>0.10980327868852513</v>
      </c>
    </row>
    <row r="464" spans="2:15" x14ac:dyDescent="0.25">
      <c r="B464" s="7">
        <v>20.43</v>
      </c>
      <c r="J464" s="7">
        <v>29.15</v>
      </c>
      <c r="K464">
        <v>1</v>
      </c>
      <c r="L464">
        <f t="shared" si="28"/>
        <v>2E-3</v>
      </c>
      <c r="M464">
        <f t="shared" si="31"/>
        <v>0.92000000000000071</v>
      </c>
      <c r="N464">
        <f t="shared" si="29"/>
        <v>0.81092896174863394</v>
      </c>
      <c r="O464">
        <f t="shared" si="30"/>
        <v>0.10907103825136677</v>
      </c>
    </row>
    <row r="465" spans="2:15" x14ac:dyDescent="0.25">
      <c r="B465" s="7">
        <v>29.75</v>
      </c>
      <c r="J465" s="7">
        <v>29.15</v>
      </c>
      <c r="K465">
        <v>1</v>
      </c>
      <c r="L465">
        <f t="shared" si="28"/>
        <v>2E-3</v>
      </c>
      <c r="M465">
        <f t="shared" si="31"/>
        <v>0.92200000000000071</v>
      </c>
      <c r="N465">
        <f t="shared" si="29"/>
        <v>0.81092896174863394</v>
      </c>
      <c r="O465">
        <f t="shared" si="30"/>
        <v>0.11107103825136677</v>
      </c>
    </row>
    <row r="466" spans="2:15" x14ac:dyDescent="0.25">
      <c r="B466" s="7">
        <v>23.43</v>
      </c>
      <c r="J466" s="7">
        <v>29.16</v>
      </c>
      <c r="K466">
        <v>1</v>
      </c>
      <c r="L466">
        <f t="shared" si="28"/>
        <v>2E-3</v>
      </c>
      <c r="M466">
        <f t="shared" si="31"/>
        <v>0.92400000000000071</v>
      </c>
      <c r="N466">
        <f t="shared" si="29"/>
        <v>0.8114754098360657</v>
      </c>
      <c r="O466">
        <f t="shared" si="30"/>
        <v>0.11252459016393501</v>
      </c>
    </row>
    <row r="467" spans="2:15" x14ac:dyDescent="0.25">
      <c r="B467" s="7">
        <v>28.69</v>
      </c>
      <c r="J467" s="7">
        <v>29.21</v>
      </c>
      <c r="K467">
        <v>1</v>
      </c>
      <c r="L467">
        <f t="shared" si="28"/>
        <v>2E-3</v>
      </c>
      <c r="M467">
        <f t="shared" si="31"/>
        <v>0.92600000000000071</v>
      </c>
      <c r="N467">
        <f t="shared" si="29"/>
        <v>0.81420765027322417</v>
      </c>
      <c r="O467">
        <f t="shared" si="30"/>
        <v>0.11179234972677654</v>
      </c>
    </row>
    <row r="468" spans="2:15" x14ac:dyDescent="0.25">
      <c r="B468" s="7">
        <v>26.44</v>
      </c>
      <c r="J468" s="7">
        <v>29.24</v>
      </c>
      <c r="K468">
        <v>1</v>
      </c>
      <c r="L468">
        <f t="shared" si="28"/>
        <v>2E-3</v>
      </c>
      <c r="M468">
        <f t="shared" si="31"/>
        <v>0.92800000000000071</v>
      </c>
      <c r="N468">
        <f t="shared" si="29"/>
        <v>0.81584699453551912</v>
      </c>
      <c r="O468">
        <f t="shared" si="30"/>
        <v>0.11215300546448159</v>
      </c>
    </row>
    <row r="469" spans="2:15" x14ac:dyDescent="0.25">
      <c r="B469" s="7">
        <v>24.7</v>
      </c>
      <c r="J469" s="7">
        <v>29.25</v>
      </c>
      <c r="K469">
        <v>1</v>
      </c>
      <c r="L469">
        <f t="shared" si="28"/>
        <v>2E-3</v>
      </c>
      <c r="M469">
        <f t="shared" si="31"/>
        <v>0.93000000000000071</v>
      </c>
      <c r="N469">
        <f t="shared" si="29"/>
        <v>0.81639344262295088</v>
      </c>
      <c r="O469">
        <f t="shared" si="30"/>
        <v>0.11360655737704983</v>
      </c>
    </row>
    <row r="470" spans="2:15" x14ac:dyDescent="0.25">
      <c r="B470" s="7">
        <v>25.88</v>
      </c>
      <c r="J470" s="7">
        <v>29.3</v>
      </c>
      <c r="K470">
        <v>1</v>
      </c>
      <c r="L470">
        <f t="shared" si="28"/>
        <v>2E-3</v>
      </c>
      <c r="M470">
        <f t="shared" si="31"/>
        <v>0.93200000000000072</v>
      </c>
      <c r="N470">
        <f t="shared" si="29"/>
        <v>0.81912568306010947</v>
      </c>
      <c r="O470">
        <f t="shared" si="30"/>
        <v>0.11287431693989125</v>
      </c>
    </row>
    <row r="471" spans="2:15" x14ac:dyDescent="0.25">
      <c r="B471" s="7">
        <v>23.81</v>
      </c>
      <c r="J471" s="7">
        <v>29.31</v>
      </c>
      <c r="K471">
        <v>1</v>
      </c>
      <c r="L471">
        <f t="shared" si="28"/>
        <v>2E-3</v>
      </c>
      <c r="M471">
        <f t="shared" si="31"/>
        <v>0.93400000000000072</v>
      </c>
      <c r="N471">
        <f t="shared" si="29"/>
        <v>0.81967213114754101</v>
      </c>
      <c r="O471">
        <f t="shared" si="30"/>
        <v>0.11432786885245971</v>
      </c>
    </row>
    <row r="472" spans="2:15" x14ac:dyDescent="0.25">
      <c r="B472" s="7">
        <v>21.78</v>
      </c>
      <c r="J472" s="7">
        <v>29.33</v>
      </c>
      <c r="K472">
        <v>1</v>
      </c>
      <c r="L472">
        <f t="shared" si="28"/>
        <v>2E-3</v>
      </c>
      <c r="M472">
        <f t="shared" si="31"/>
        <v>0.93600000000000072</v>
      </c>
      <c r="N472">
        <f t="shared" si="29"/>
        <v>0.82076502732240442</v>
      </c>
      <c r="O472">
        <f t="shared" si="30"/>
        <v>0.1152349726775963</v>
      </c>
    </row>
    <row r="473" spans="2:15" x14ac:dyDescent="0.25">
      <c r="B473" s="7">
        <v>25.6</v>
      </c>
      <c r="J473" s="7">
        <v>29.35</v>
      </c>
      <c r="K473">
        <v>1</v>
      </c>
      <c r="L473">
        <f t="shared" si="28"/>
        <v>2E-3</v>
      </c>
      <c r="M473">
        <f t="shared" si="31"/>
        <v>0.93800000000000072</v>
      </c>
      <c r="N473">
        <f t="shared" si="29"/>
        <v>0.82185792349726794</v>
      </c>
      <c r="O473">
        <f t="shared" si="30"/>
        <v>0.11614207650273278</v>
      </c>
    </row>
    <row r="474" spans="2:15" x14ac:dyDescent="0.25">
      <c r="B474" s="7">
        <v>30.06</v>
      </c>
      <c r="J474" s="7">
        <v>29.39</v>
      </c>
      <c r="K474">
        <v>1</v>
      </c>
      <c r="L474">
        <f t="shared" si="28"/>
        <v>2E-3</v>
      </c>
      <c r="M474">
        <f t="shared" si="31"/>
        <v>0.94000000000000072</v>
      </c>
      <c r="N474">
        <f t="shared" si="29"/>
        <v>0.82404371584699465</v>
      </c>
      <c r="O474">
        <f t="shared" si="30"/>
        <v>0.11595628415300607</v>
      </c>
    </row>
    <row r="475" spans="2:15" x14ac:dyDescent="0.25">
      <c r="B475" s="7">
        <v>27.25</v>
      </c>
      <c r="J475" s="7">
        <v>29.42</v>
      </c>
      <c r="K475">
        <v>1</v>
      </c>
      <c r="L475">
        <f t="shared" si="28"/>
        <v>2E-3</v>
      </c>
      <c r="M475">
        <f t="shared" si="31"/>
        <v>0.94200000000000073</v>
      </c>
      <c r="N475">
        <f t="shared" si="29"/>
        <v>0.82568306010928982</v>
      </c>
      <c r="O475">
        <f t="shared" si="30"/>
        <v>0.1163169398907109</v>
      </c>
    </row>
    <row r="476" spans="2:15" x14ac:dyDescent="0.25">
      <c r="B476" s="7">
        <v>30.01</v>
      </c>
      <c r="J476" s="7">
        <v>29.55</v>
      </c>
      <c r="K476">
        <v>1</v>
      </c>
      <c r="L476">
        <f t="shared" si="28"/>
        <v>2E-3</v>
      </c>
      <c r="M476">
        <f t="shared" si="31"/>
        <v>0.94400000000000073</v>
      </c>
      <c r="N476">
        <f t="shared" si="29"/>
        <v>0.83278688524590183</v>
      </c>
      <c r="O476">
        <f t="shared" si="30"/>
        <v>0.1112131147540989</v>
      </c>
    </row>
    <row r="477" spans="2:15" x14ac:dyDescent="0.25">
      <c r="B477" s="7">
        <v>25.68</v>
      </c>
      <c r="J477" s="7">
        <v>29.59</v>
      </c>
      <c r="K477">
        <v>1</v>
      </c>
      <c r="L477">
        <f t="shared" si="28"/>
        <v>2E-3</v>
      </c>
      <c r="M477">
        <f t="shared" si="31"/>
        <v>0.94600000000000073</v>
      </c>
      <c r="N477">
        <f t="shared" si="29"/>
        <v>0.83497267759562854</v>
      </c>
      <c r="O477">
        <f t="shared" si="30"/>
        <v>0.11102732240437219</v>
      </c>
    </row>
    <row r="478" spans="2:15" x14ac:dyDescent="0.25">
      <c r="B478" s="7">
        <v>24.23</v>
      </c>
      <c r="J478" s="7">
        <v>29.69</v>
      </c>
      <c r="K478">
        <v>1</v>
      </c>
      <c r="L478">
        <f t="shared" si="28"/>
        <v>2E-3</v>
      </c>
      <c r="M478">
        <f t="shared" si="31"/>
        <v>0.94800000000000073</v>
      </c>
      <c r="N478">
        <f t="shared" si="29"/>
        <v>0.84043715846994549</v>
      </c>
      <c r="O478">
        <f t="shared" si="30"/>
        <v>0.10756284153005524</v>
      </c>
    </row>
    <row r="479" spans="2:15" x14ac:dyDescent="0.25">
      <c r="B479" s="7">
        <v>25.44</v>
      </c>
      <c r="J479" s="7">
        <v>29.73</v>
      </c>
      <c r="K479">
        <v>1</v>
      </c>
      <c r="L479">
        <f t="shared" si="28"/>
        <v>2E-3</v>
      </c>
      <c r="M479">
        <f t="shared" si="31"/>
        <v>0.95000000000000073</v>
      </c>
      <c r="N479">
        <f t="shared" si="29"/>
        <v>0.84262295081967231</v>
      </c>
      <c r="O479">
        <f t="shared" si="30"/>
        <v>0.10737704918032842</v>
      </c>
    </row>
    <row r="480" spans="2:15" x14ac:dyDescent="0.25">
      <c r="B480" s="7">
        <v>25.5</v>
      </c>
      <c r="J480" s="7">
        <v>29.75</v>
      </c>
      <c r="K480">
        <v>1</v>
      </c>
      <c r="L480">
        <f t="shared" si="28"/>
        <v>2E-3</v>
      </c>
      <c r="M480">
        <f t="shared" si="31"/>
        <v>0.95200000000000073</v>
      </c>
      <c r="N480">
        <f t="shared" si="29"/>
        <v>0.84371584699453561</v>
      </c>
      <c r="O480">
        <f t="shared" si="30"/>
        <v>0.10828415300546512</v>
      </c>
    </row>
    <row r="481" spans="2:15" x14ac:dyDescent="0.25">
      <c r="B481" s="7">
        <v>28.12</v>
      </c>
      <c r="J481" s="7">
        <v>29.8</v>
      </c>
      <c r="K481">
        <v>1</v>
      </c>
      <c r="L481">
        <f t="shared" si="28"/>
        <v>2E-3</v>
      </c>
      <c r="M481">
        <f t="shared" si="31"/>
        <v>0.95400000000000074</v>
      </c>
      <c r="N481">
        <f t="shared" si="29"/>
        <v>0.84644808743169409</v>
      </c>
      <c r="O481">
        <f t="shared" si="30"/>
        <v>0.10755191256830665</v>
      </c>
    </row>
    <row r="482" spans="2:15" x14ac:dyDescent="0.25">
      <c r="B482" s="7">
        <v>23.26</v>
      </c>
      <c r="J482" s="7">
        <v>29.92</v>
      </c>
      <c r="K482">
        <v>1</v>
      </c>
      <c r="L482">
        <f t="shared" si="28"/>
        <v>2E-3</v>
      </c>
      <c r="M482">
        <f t="shared" si="31"/>
        <v>0.95600000000000074</v>
      </c>
      <c r="N482">
        <f t="shared" si="29"/>
        <v>0.85300546448087455</v>
      </c>
      <c r="O482">
        <f t="shared" si="30"/>
        <v>0.10299453551912618</v>
      </c>
    </row>
    <row r="483" spans="2:15" x14ac:dyDescent="0.25">
      <c r="B483" s="7">
        <v>17.93</v>
      </c>
      <c r="J483" s="7">
        <v>30.01</v>
      </c>
      <c r="K483">
        <v>1</v>
      </c>
      <c r="L483">
        <f t="shared" si="28"/>
        <v>2E-3</v>
      </c>
      <c r="M483">
        <f t="shared" si="31"/>
        <v>0.95800000000000074</v>
      </c>
      <c r="N483">
        <f t="shared" si="29"/>
        <v>0.85792349726775974</v>
      </c>
      <c r="O483">
        <f t="shared" si="30"/>
        <v>0.100076502732241</v>
      </c>
    </row>
    <row r="484" spans="2:15" x14ac:dyDescent="0.25">
      <c r="B484" s="7">
        <v>26.28</v>
      </c>
      <c r="J484" s="7">
        <v>30.05</v>
      </c>
      <c r="K484">
        <v>1</v>
      </c>
      <c r="L484">
        <f t="shared" si="28"/>
        <v>2E-3</v>
      </c>
      <c r="M484">
        <f t="shared" si="31"/>
        <v>0.96000000000000074</v>
      </c>
      <c r="N484">
        <f t="shared" si="29"/>
        <v>0.86010928961748645</v>
      </c>
      <c r="O484">
        <f t="shared" si="30"/>
        <v>9.9890710382514292E-2</v>
      </c>
    </row>
    <row r="485" spans="2:15" x14ac:dyDescent="0.25">
      <c r="B485" s="7">
        <v>31.96</v>
      </c>
      <c r="J485" s="7">
        <v>30.06</v>
      </c>
      <c r="K485">
        <v>1</v>
      </c>
      <c r="L485">
        <f t="shared" si="28"/>
        <v>2E-3</v>
      </c>
      <c r="M485">
        <f t="shared" si="31"/>
        <v>0.96200000000000074</v>
      </c>
      <c r="N485">
        <f t="shared" si="29"/>
        <v>0.8606557377049181</v>
      </c>
      <c r="O485">
        <f t="shared" si="30"/>
        <v>0.10134426229508264</v>
      </c>
    </row>
    <row r="486" spans="2:15" x14ac:dyDescent="0.25">
      <c r="B486" s="7">
        <v>22.31</v>
      </c>
      <c r="J486" s="7">
        <v>30.08</v>
      </c>
      <c r="K486">
        <v>1</v>
      </c>
      <c r="L486">
        <f t="shared" si="28"/>
        <v>2E-3</v>
      </c>
      <c r="M486">
        <f t="shared" si="31"/>
        <v>0.96400000000000075</v>
      </c>
      <c r="N486">
        <f t="shared" si="29"/>
        <v>0.8617486338797814</v>
      </c>
      <c r="O486">
        <f t="shared" si="30"/>
        <v>0.10225136612021934</v>
      </c>
    </row>
    <row r="487" spans="2:15" x14ac:dyDescent="0.25">
      <c r="B487" s="7">
        <v>24.63</v>
      </c>
      <c r="J487" s="7">
        <v>30.13</v>
      </c>
      <c r="K487">
        <v>1</v>
      </c>
      <c r="L487">
        <f t="shared" si="28"/>
        <v>2E-3</v>
      </c>
      <c r="M487">
        <f t="shared" si="31"/>
        <v>0.96600000000000075</v>
      </c>
      <c r="N487">
        <f t="shared" si="29"/>
        <v>0.86448087431693998</v>
      </c>
      <c r="O487">
        <f t="shared" si="30"/>
        <v>0.10151912568306076</v>
      </c>
    </row>
    <row r="488" spans="2:15" x14ac:dyDescent="0.25">
      <c r="B488" s="7">
        <v>25.11</v>
      </c>
      <c r="J488" s="7">
        <v>30.18</v>
      </c>
      <c r="K488">
        <v>1</v>
      </c>
      <c r="L488">
        <f t="shared" si="28"/>
        <v>2E-3</v>
      </c>
      <c r="M488">
        <f t="shared" si="31"/>
        <v>0.96800000000000075</v>
      </c>
      <c r="N488">
        <f t="shared" si="29"/>
        <v>0.86721311475409846</v>
      </c>
      <c r="O488">
        <f t="shared" si="30"/>
        <v>0.10078688524590229</v>
      </c>
    </row>
    <row r="489" spans="2:15" x14ac:dyDescent="0.25">
      <c r="B489" s="7">
        <v>31.69</v>
      </c>
      <c r="J489" s="7">
        <v>30.36</v>
      </c>
      <c r="K489">
        <v>1</v>
      </c>
      <c r="L489">
        <f t="shared" si="28"/>
        <v>2E-3</v>
      </c>
      <c r="M489">
        <f t="shared" si="31"/>
        <v>0.97000000000000075</v>
      </c>
      <c r="N489">
        <f t="shared" si="29"/>
        <v>0.87704918032786883</v>
      </c>
      <c r="O489">
        <f t="shared" si="30"/>
        <v>9.2950819672131924E-2</v>
      </c>
    </row>
    <row r="490" spans="2:15" x14ac:dyDescent="0.25">
      <c r="B490" s="7">
        <v>23.74</v>
      </c>
      <c r="J490" s="7">
        <v>30.42</v>
      </c>
      <c r="K490">
        <v>1</v>
      </c>
      <c r="L490">
        <f t="shared" si="28"/>
        <v>2E-3</v>
      </c>
      <c r="M490">
        <f t="shared" si="31"/>
        <v>0.97200000000000075</v>
      </c>
      <c r="N490">
        <f t="shared" si="29"/>
        <v>0.88032786885245917</v>
      </c>
      <c r="O490">
        <f t="shared" si="30"/>
        <v>9.167213114754158E-2</v>
      </c>
    </row>
    <row r="491" spans="2:15" x14ac:dyDescent="0.25">
      <c r="B491" s="7">
        <v>22.59</v>
      </c>
      <c r="J491" s="7">
        <v>30.45</v>
      </c>
      <c r="K491">
        <v>1</v>
      </c>
      <c r="L491">
        <f t="shared" si="28"/>
        <v>2E-3</v>
      </c>
      <c r="M491">
        <f t="shared" si="31"/>
        <v>0.97400000000000075</v>
      </c>
      <c r="N491">
        <f t="shared" si="29"/>
        <v>0.88196721311475423</v>
      </c>
      <c r="O491">
        <f t="shared" si="30"/>
        <v>9.203278688524652E-2</v>
      </c>
    </row>
    <row r="492" spans="2:15" x14ac:dyDescent="0.25">
      <c r="B492" s="7">
        <v>26.03</v>
      </c>
      <c r="J492" s="7">
        <v>30.52</v>
      </c>
      <c r="K492">
        <v>1</v>
      </c>
      <c r="L492">
        <f t="shared" si="28"/>
        <v>2E-3</v>
      </c>
      <c r="M492">
        <f t="shared" si="31"/>
        <v>0.97600000000000076</v>
      </c>
      <c r="N492">
        <f t="shared" si="29"/>
        <v>0.88579234972677612</v>
      </c>
      <c r="O492">
        <f t="shared" si="30"/>
        <v>9.0207650273224638E-2</v>
      </c>
    </row>
    <row r="493" spans="2:15" x14ac:dyDescent="0.25">
      <c r="B493" s="7">
        <v>23.35</v>
      </c>
      <c r="J493" s="7">
        <v>30.56</v>
      </c>
      <c r="K493">
        <v>1</v>
      </c>
      <c r="L493">
        <f t="shared" si="28"/>
        <v>2E-3</v>
      </c>
      <c r="M493">
        <f t="shared" si="31"/>
        <v>0.97800000000000076</v>
      </c>
      <c r="N493">
        <f t="shared" si="29"/>
        <v>0.88797814207650283</v>
      </c>
      <c r="O493">
        <f t="shared" si="30"/>
        <v>9.0021857923497928E-2</v>
      </c>
    </row>
    <row r="494" spans="2:15" x14ac:dyDescent="0.25">
      <c r="B494" s="7">
        <v>28.54</v>
      </c>
      <c r="J494" s="7">
        <v>30.9</v>
      </c>
      <c r="K494">
        <v>1</v>
      </c>
      <c r="L494">
        <f t="shared" si="28"/>
        <v>2E-3</v>
      </c>
      <c r="M494">
        <f t="shared" si="31"/>
        <v>0.98000000000000076</v>
      </c>
      <c r="N494">
        <f t="shared" si="29"/>
        <v>0.90655737704918027</v>
      </c>
      <c r="O494">
        <f t="shared" si="30"/>
        <v>7.3442622950820491E-2</v>
      </c>
    </row>
    <row r="495" spans="2:15" x14ac:dyDescent="0.25">
      <c r="B495" s="7">
        <v>28.83</v>
      </c>
      <c r="J495" s="7">
        <v>31.18</v>
      </c>
      <c r="K495">
        <v>1</v>
      </c>
      <c r="L495">
        <f t="shared" si="28"/>
        <v>2E-3</v>
      </c>
      <c r="M495">
        <f t="shared" si="31"/>
        <v>0.98200000000000076</v>
      </c>
      <c r="N495">
        <f t="shared" si="29"/>
        <v>0.92185792349726781</v>
      </c>
      <c r="O495">
        <f t="shared" si="30"/>
        <v>6.0142076502732955E-2</v>
      </c>
    </row>
    <row r="496" spans="2:15" x14ac:dyDescent="0.25">
      <c r="B496" s="7">
        <v>25.52</v>
      </c>
      <c r="J496" s="7">
        <v>31.45</v>
      </c>
      <c r="K496">
        <v>1</v>
      </c>
      <c r="L496">
        <f t="shared" si="28"/>
        <v>2E-3</v>
      </c>
      <c r="M496">
        <f t="shared" si="31"/>
        <v>0.98400000000000076</v>
      </c>
      <c r="N496">
        <f t="shared" si="29"/>
        <v>0.93661202185792369</v>
      </c>
      <c r="O496">
        <f t="shared" si="30"/>
        <v>4.738797814207707E-2</v>
      </c>
    </row>
    <row r="497" spans="2:15" x14ac:dyDescent="0.25">
      <c r="B497" s="7">
        <v>25.92</v>
      </c>
      <c r="J497" s="7">
        <v>31.45</v>
      </c>
      <c r="K497">
        <v>1</v>
      </c>
      <c r="L497">
        <f t="shared" si="28"/>
        <v>2E-3</v>
      </c>
      <c r="M497">
        <f t="shared" si="31"/>
        <v>0.98600000000000076</v>
      </c>
      <c r="N497">
        <f t="shared" si="29"/>
        <v>0.93661202185792369</v>
      </c>
      <c r="O497">
        <f t="shared" si="30"/>
        <v>4.9387978142077071E-2</v>
      </c>
    </row>
    <row r="498" spans="2:15" x14ac:dyDescent="0.25">
      <c r="B498" s="7">
        <v>20.92</v>
      </c>
      <c r="J498" s="7">
        <v>31.54</v>
      </c>
      <c r="K498">
        <v>1</v>
      </c>
      <c r="L498">
        <f t="shared" si="28"/>
        <v>2E-3</v>
      </c>
      <c r="M498">
        <f t="shared" si="31"/>
        <v>0.98800000000000077</v>
      </c>
      <c r="N498">
        <f t="shared" si="29"/>
        <v>0.94153005464480877</v>
      </c>
      <c r="O498">
        <f t="shared" si="30"/>
        <v>4.6469945355191999E-2</v>
      </c>
    </row>
    <row r="499" spans="2:15" x14ac:dyDescent="0.25">
      <c r="B499" s="7">
        <v>28.91</v>
      </c>
      <c r="J499" s="7">
        <v>31.68</v>
      </c>
      <c r="K499">
        <v>1</v>
      </c>
      <c r="L499">
        <f t="shared" si="28"/>
        <v>2E-3</v>
      </c>
      <c r="M499">
        <f t="shared" si="31"/>
        <v>0.99000000000000077</v>
      </c>
      <c r="N499">
        <f t="shared" si="29"/>
        <v>0.94918032786885242</v>
      </c>
      <c r="O499">
        <f t="shared" si="30"/>
        <v>4.0819672131148343E-2</v>
      </c>
    </row>
    <row r="500" spans="2:15" x14ac:dyDescent="0.25">
      <c r="B500" s="7">
        <v>20</v>
      </c>
      <c r="J500" s="7">
        <v>31.69</v>
      </c>
      <c r="K500">
        <v>1</v>
      </c>
      <c r="L500">
        <f t="shared" si="28"/>
        <v>2E-3</v>
      </c>
      <c r="M500">
        <f t="shared" si="31"/>
        <v>0.99200000000000077</v>
      </c>
      <c r="N500">
        <f t="shared" si="29"/>
        <v>0.94972677595628441</v>
      </c>
      <c r="O500">
        <f t="shared" si="30"/>
        <v>4.2273224043716362E-2</v>
      </c>
    </row>
    <row r="501" spans="2:15" x14ac:dyDescent="0.25">
      <c r="B501" s="7">
        <v>25.91</v>
      </c>
      <c r="J501" s="7">
        <v>31.96</v>
      </c>
      <c r="K501">
        <v>1</v>
      </c>
      <c r="L501">
        <f t="shared" si="28"/>
        <v>2E-3</v>
      </c>
      <c r="M501">
        <f t="shared" si="31"/>
        <v>0.99400000000000077</v>
      </c>
      <c r="N501">
        <f t="shared" si="29"/>
        <v>0.96448087431693996</v>
      </c>
      <c r="O501">
        <f t="shared" si="30"/>
        <v>2.951912568306081E-2</v>
      </c>
    </row>
    <row r="502" spans="2:15" x14ac:dyDescent="0.25">
      <c r="B502" s="7">
        <v>19.5</v>
      </c>
      <c r="J502" s="7">
        <v>32.090000000000003</v>
      </c>
      <c r="K502">
        <v>1</v>
      </c>
      <c r="L502">
        <f t="shared" si="28"/>
        <v>2E-3</v>
      </c>
      <c r="M502">
        <f t="shared" si="31"/>
        <v>0.99600000000000077</v>
      </c>
      <c r="N502">
        <f t="shared" si="29"/>
        <v>0.97158469945355208</v>
      </c>
      <c r="O502">
        <f t="shared" si="30"/>
        <v>2.4415300546448693E-2</v>
      </c>
    </row>
    <row r="503" spans="2:15" x14ac:dyDescent="0.25">
      <c r="B503" s="7">
        <v>24.89</v>
      </c>
      <c r="J503" s="7">
        <v>32.15</v>
      </c>
      <c r="K503">
        <v>1</v>
      </c>
      <c r="L503">
        <f t="shared" si="28"/>
        <v>2E-3</v>
      </c>
      <c r="M503">
        <f t="shared" si="31"/>
        <v>0.99800000000000078</v>
      </c>
      <c r="N503">
        <f t="shared" si="29"/>
        <v>0.97486338797814198</v>
      </c>
      <c r="O503">
        <f t="shared" si="30"/>
        <v>2.3136612021858793E-2</v>
      </c>
    </row>
    <row r="504" spans="2:15" x14ac:dyDescent="0.25">
      <c r="B504" s="7">
        <v>23.53</v>
      </c>
      <c r="J504" s="7">
        <v>32.61</v>
      </c>
      <c r="K504">
        <v>1</v>
      </c>
      <c r="L504">
        <f t="shared" si="28"/>
        <v>2E-3</v>
      </c>
      <c r="M504">
        <f t="shared" si="31"/>
        <v>1.0000000000000007</v>
      </c>
      <c r="N504">
        <f t="shared" si="29"/>
        <v>1</v>
      </c>
      <c r="O504">
        <f t="shared" si="30"/>
        <v>6.6613381477509392E-16</v>
      </c>
    </row>
    <row r="505" spans="2:15" x14ac:dyDescent="0.25">
      <c r="N505" s="14" t="s">
        <v>52</v>
      </c>
      <c r="O505" s="14">
        <f>MAX(O5:O504)</f>
        <v>0.27722404371584697</v>
      </c>
    </row>
    <row r="506" spans="2:15" x14ac:dyDescent="0.25">
      <c r="M506" s="16" t="s">
        <v>51</v>
      </c>
      <c r="N506" s="16">
        <f>1.358/SQRT($E$20)</f>
        <v>6.0731606268894289E-2</v>
      </c>
    </row>
    <row r="508" spans="2:15" x14ac:dyDescent="0.25">
      <c r="M508" t="s">
        <v>53</v>
      </c>
    </row>
  </sheetData>
  <sortState ref="J5:J504">
    <sortCondition ref="J5"/>
  </sortState>
  <mergeCells count="1">
    <mergeCell ref="J2:N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uniforme</vt:lpstr>
      <vt:lpstr>triangular</vt:lpstr>
      <vt:lpstr>exponencial</vt:lpstr>
      <vt:lpstr>expo</vt:lpstr>
      <vt:lpstr>triang</vt:lpstr>
      <vt:lpstr>unif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USER-6</dc:creator>
  <cp:lastModifiedBy>USER-6</cp:lastModifiedBy>
  <dcterms:created xsi:type="dcterms:W3CDTF">2017-07-06T14:40:04Z</dcterms:created>
  <dcterms:modified xsi:type="dcterms:W3CDTF">2017-07-13T14:38:11Z</dcterms:modified>
</cp:coreProperties>
</file>