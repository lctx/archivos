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 activeTab="3"/>
  </bookViews>
  <sheets>
    <sheet name="uniforme" sheetId="1" r:id="rId1"/>
    <sheet name="triangular" sheetId="2" r:id="rId2"/>
    <sheet name="exponencial" sheetId="3" r:id="rId3"/>
    <sheet name="Hoja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4" l="1"/>
  <c r="H7" i="4"/>
  <c r="M7" i="4"/>
  <c r="M8" i="4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M105" i="4" s="1"/>
  <c r="M106" i="4" s="1"/>
  <c r="M107" i="4" s="1"/>
  <c r="M108" i="4" s="1"/>
  <c r="M109" i="4" s="1"/>
  <c r="M110" i="4" s="1"/>
  <c r="M111" i="4" s="1"/>
  <c r="M112" i="4" s="1"/>
  <c r="M113" i="4" s="1"/>
  <c r="M114" i="4" s="1"/>
  <c r="M115" i="4" s="1"/>
  <c r="M116" i="4" s="1"/>
  <c r="M117" i="4" s="1"/>
  <c r="M118" i="4" s="1"/>
  <c r="M119" i="4" s="1"/>
  <c r="M120" i="4" s="1"/>
  <c r="M121" i="4" s="1"/>
  <c r="M122" i="4" s="1"/>
  <c r="M123" i="4" s="1"/>
  <c r="M124" i="4" s="1"/>
  <c r="M125" i="4" s="1"/>
  <c r="M126" i="4" s="1"/>
  <c r="M127" i="4" s="1"/>
  <c r="M128" i="4" s="1"/>
  <c r="M129" i="4" s="1"/>
  <c r="M130" i="4" s="1"/>
  <c r="M131" i="4" s="1"/>
  <c r="M132" i="4" s="1"/>
  <c r="M133" i="4" s="1"/>
  <c r="M134" i="4" s="1"/>
  <c r="M135" i="4" s="1"/>
  <c r="M136" i="4" s="1"/>
  <c r="M137" i="4" s="1"/>
  <c r="M138" i="4" s="1"/>
  <c r="M139" i="4" s="1"/>
  <c r="M140" i="4" s="1"/>
  <c r="M141" i="4" s="1"/>
  <c r="M142" i="4" s="1"/>
  <c r="M143" i="4" s="1"/>
  <c r="M144" i="4" s="1"/>
  <c r="M145" i="4" s="1"/>
  <c r="M146" i="4" s="1"/>
  <c r="M147" i="4" s="1"/>
  <c r="M148" i="4" s="1"/>
  <c r="M149" i="4" s="1"/>
  <c r="M150" i="4" s="1"/>
  <c r="M151" i="4" s="1"/>
  <c r="M152" i="4" s="1"/>
  <c r="M153" i="4" s="1"/>
  <c r="M154" i="4" s="1"/>
  <c r="M155" i="4" s="1"/>
  <c r="M156" i="4" s="1"/>
  <c r="M157" i="4" s="1"/>
  <c r="M158" i="4" s="1"/>
  <c r="M159" i="4" s="1"/>
  <c r="M160" i="4" s="1"/>
  <c r="M161" i="4" s="1"/>
  <c r="M162" i="4" s="1"/>
  <c r="M163" i="4" s="1"/>
  <c r="M164" i="4" s="1"/>
  <c r="M165" i="4" s="1"/>
  <c r="M166" i="4" s="1"/>
  <c r="M167" i="4" s="1"/>
  <c r="M168" i="4" s="1"/>
  <c r="M169" i="4" s="1"/>
  <c r="M170" i="4" s="1"/>
  <c r="M171" i="4" s="1"/>
  <c r="M172" i="4" s="1"/>
  <c r="M173" i="4" s="1"/>
  <c r="M174" i="4" s="1"/>
  <c r="M175" i="4" s="1"/>
  <c r="M176" i="4" s="1"/>
  <c r="M177" i="4" s="1"/>
  <c r="M178" i="4" s="1"/>
  <c r="M179" i="4" s="1"/>
  <c r="M180" i="4" s="1"/>
  <c r="M181" i="4" s="1"/>
  <c r="M182" i="4" s="1"/>
  <c r="M183" i="4" s="1"/>
  <c r="M184" i="4" s="1"/>
  <c r="M185" i="4" s="1"/>
  <c r="M186" i="4" s="1"/>
  <c r="M187" i="4" s="1"/>
  <c r="M188" i="4" s="1"/>
  <c r="M189" i="4" s="1"/>
  <c r="M190" i="4" s="1"/>
  <c r="M191" i="4" s="1"/>
  <c r="M192" i="4" s="1"/>
  <c r="M193" i="4" s="1"/>
  <c r="M194" i="4" s="1"/>
  <c r="M195" i="4" s="1"/>
  <c r="M196" i="4" s="1"/>
  <c r="M197" i="4" s="1"/>
  <c r="M198" i="4" s="1"/>
  <c r="M199" i="4" s="1"/>
  <c r="M200" i="4" s="1"/>
  <c r="M201" i="4" s="1"/>
  <c r="M202" i="4" s="1"/>
  <c r="M203" i="4" s="1"/>
  <c r="M204" i="4" s="1"/>
  <c r="M205" i="4" s="1"/>
  <c r="M206" i="4" s="1"/>
  <c r="M207" i="4" s="1"/>
  <c r="M208" i="4" s="1"/>
  <c r="M209" i="4" s="1"/>
  <c r="M210" i="4" s="1"/>
  <c r="M211" i="4" s="1"/>
  <c r="M212" i="4" s="1"/>
  <c r="M213" i="4" s="1"/>
  <c r="M214" i="4" s="1"/>
  <c r="M215" i="4" s="1"/>
  <c r="M216" i="4" s="1"/>
  <c r="M217" i="4" s="1"/>
  <c r="M218" i="4" s="1"/>
  <c r="M219" i="4" s="1"/>
  <c r="M220" i="4" s="1"/>
  <c r="M221" i="4" s="1"/>
  <c r="M222" i="4" s="1"/>
  <c r="M223" i="4" s="1"/>
  <c r="M224" i="4" s="1"/>
  <c r="M225" i="4" s="1"/>
  <c r="M226" i="4" s="1"/>
  <c r="M227" i="4" s="1"/>
  <c r="M228" i="4" s="1"/>
  <c r="M229" i="4" s="1"/>
  <c r="M230" i="4" s="1"/>
  <c r="M231" i="4" s="1"/>
  <c r="M232" i="4" s="1"/>
  <c r="M233" i="4" s="1"/>
  <c r="M234" i="4" s="1"/>
  <c r="M235" i="4" s="1"/>
  <c r="M236" i="4" s="1"/>
  <c r="M237" i="4" s="1"/>
  <c r="M238" i="4" s="1"/>
  <c r="M239" i="4" s="1"/>
  <c r="M240" i="4" s="1"/>
  <c r="M241" i="4" s="1"/>
  <c r="M242" i="4" s="1"/>
  <c r="M243" i="4" s="1"/>
  <c r="M244" i="4" s="1"/>
  <c r="M245" i="4" s="1"/>
  <c r="M246" i="4" s="1"/>
  <c r="M247" i="4" s="1"/>
  <c r="M248" i="4" s="1"/>
  <c r="M249" i="4" s="1"/>
  <c r="M250" i="4" s="1"/>
  <c r="M251" i="4" s="1"/>
  <c r="M252" i="4" s="1"/>
  <c r="M253" i="4" s="1"/>
  <c r="M254" i="4" s="1"/>
  <c r="M255" i="4" s="1"/>
  <c r="M256" i="4" s="1"/>
  <c r="M257" i="4" s="1"/>
  <c r="M258" i="4" s="1"/>
  <c r="M259" i="4" s="1"/>
  <c r="M260" i="4" s="1"/>
  <c r="M261" i="4" s="1"/>
  <c r="M262" i="4" s="1"/>
  <c r="M263" i="4" s="1"/>
  <c r="M264" i="4" s="1"/>
  <c r="M265" i="4" s="1"/>
  <c r="M266" i="4" s="1"/>
  <c r="M267" i="4" s="1"/>
  <c r="M268" i="4" s="1"/>
  <c r="M269" i="4" s="1"/>
  <c r="M270" i="4" s="1"/>
  <c r="M271" i="4" s="1"/>
  <c r="M272" i="4" s="1"/>
  <c r="M273" i="4" s="1"/>
  <c r="M274" i="4" s="1"/>
  <c r="M275" i="4" s="1"/>
  <c r="M276" i="4" s="1"/>
  <c r="M277" i="4" s="1"/>
  <c r="M278" i="4" s="1"/>
  <c r="M279" i="4" s="1"/>
  <c r="M280" i="4" s="1"/>
  <c r="M281" i="4" s="1"/>
  <c r="M282" i="4" s="1"/>
  <c r="M283" i="4" s="1"/>
  <c r="M284" i="4" s="1"/>
  <c r="M285" i="4" s="1"/>
  <c r="M286" i="4" s="1"/>
  <c r="M287" i="4" s="1"/>
  <c r="M288" i="4" s="1"/>
  <c r="M289" i="4" s="1"/>
  <c r="M290" i="4" s="1"/>
  <c r="M291" i="4" s="1"/>
  <c r="M292" i="4" s="1"/>
  <c r="M293" i="4" s="1"/>
  <c r="M294" i="4" s="1"/>
  <c r="M295" i="4" s="1"/>
  <c r="M296" i="4" s="1"/>
  <c r="M297" i="4" s="1"/>
  <c r="M298" i="4" s="1"/>
  <c r="M299" i="4" s="1"/>
  <c r="M300" i="4" s="1"/>
  <c r="M301" i="4" s="1"/>
  <c r="M302" i="4" s="1"/>
  <c r="M303" i="4" s="1"/>
  <c r="M304" i="4" s="1"/>
  <c r="M305" i="4" s="1"/>
  <c r="M306" i="4" s="1"/>
  <c r="M307" i="4" s="1"/>
  <c r="M308" i="4" s="1"/>
  <c r="M309" i="4" s="1"/>
  <c r="M310" i="4" s="1"/>
  <c r="M311" i="4" s="1"/>
  <c r="M312" i="4" s="1"/>
  <c r="M313" i="4" s="1"/>
  <c r="M314" i="4" s="1"/>
  <c r="M315" i="4" s="1"/>
  <c r="M316" i="4" s="1"/>
  <c r="M317" i="4" s="1"/>
  <c r="M318" i="4" s="1"/>
  <c r="M319" i="4" s="1"/>
  <c r="M320" i="4" s="1"/>
  <c r="M321" i="4" s="1"/>
  <c r="M322" i="4" s="1"/>
  <c r="M323" i="4" s="1"/>
  <c r="M324" i="4" s="1"/>
  <c r="M325" i="4" s="1"/>
  <c r="M326" i="4" s="1"/>
  <c r="M327" i="4" s="1"/>
  <c r="M328" i="4" s="1"/>
  <c r="M329" i="4" s="1"/>
  <c r="M330" i="4" s="1"/>
  <c r="M331" i="4" s="1"/>
  <c r="M332" i="4" s="1"/>
  <c r="M333" i="4" s="1"/>
  <c r="M334" i="4" s="1"/>
  <c r="M335" i="4" s="1"/>
  <c r="M336" i="4" s="1"/>
  <c r="M337" i="4" s="1"/>
  <c r="M338" i="4" s="1"/>
  <c r="M339" i="4" s="1"/>
  <c r="M340" i="4" s="1"/>
  <c r="M341" i="4" s="1"/>
  <c r="M342" i="4" s="1"/>
  <c r="M343" i="4" s="1"/>
  <c r="M344" i="4" s="1"/>
  <c r="M345" i="4" s="1"/>
  <c r="M346" i="4" s="1"/>
  <c r="M347" i="4" s="1"/>
  <c r="M348" i="4" s="1"/>
  <c r="M349" i="4" s="1"/>
  <c r="M350" i="4" s="1"/>
  <c r="M351" i="4" s="1"/>
  <c r="M352" i="4" s="1"/>
  <c r="M353" i="4" s="1"/>
  <c r="M354" i="4" s="1"/>
  <c r="M355" i="4" s="1"/>
  <c r="M356" i="4" s="1"/>
  <c r="M357" i="4" s="1"/>
  <c r="M358" i="4" s="1"/>
  <c r="M359" i="4" s="1"/>
  <c r="M360" i="4" s="1"/>
  <c r="M361" i="4" s="1"/>
  <c r="M362" i="4" s="1"/>
  <c r="M363" i="4" s="1"/>
  <c r="M364" i="4" s="1"/>
  <c r="M365" i="4" s="1"/>
  <c r="M366" i="4" s="1"/>
  <c r="M367" i="4" s="1"/>
  <c r="M368" i="4" s="1"/>
  <c r="M369" i="4" s="1"/>
  <c r="M370" i="4" s="1"/>
  <c r="M371" i="4" s="1"/>
  <c r="M372" i="4" s="1"/>
  <c r="M373" i="4" s="1"/>
  <c r="M374" i="4" s="1"/>
  <c r="M375" i="4" s="1"/>
  <c r="M376" i="4" s="1"/>
  <c r="M377" i="4" s="1"/>
  <c r="M378" i="4" s="1"/>
  <c r="M379" i="4" s="1"/>
  <c r="M380" i="4" s="1"/>
  <c r="M381" i="4" s="1"/>
  <c r="M382" i="4" s="1"/>
  <c r="M383" i="4" s="1"/>
  <c r="M384" i="4" s="1"/>
  <c r="M385" i="4" s="1"/>
  <c r="M386" i="4" s="1"/>
  <c r="M387" i="4" s="1"/>
  <c r="M388" i="4" s="1"/>
  <c r="M389" i="4" s="1"/>
  <c r="M390" i="4" s="1"/>
  <c r="M391" i="4" s="1"/>
  <c r="M392" i="4" s="1"/>
  <c r="M393" i="4" s="1"/>
  <c r="M394" i="4" s="1"/>
  <c r="M395" i="4" s="1"/>
  <c r="M396" i="4" s="1"/>
  <c r="M397" i="4" s="1"/>
  <c r="M398" i="4" s="1"/>
  <c r="M399" i="4" s="1"/>
  <c r="M400" i="4" s="1"/>
  <c r="M401" i="4" s="1"/>
  <c r="M402" i="4" s="1"/>
  <c r="M403" i="4" s="1"/>
  <c r="M404" i="4" s="1"/>
  <c r="M405" i="4" s="1"/>
  <c r="M406" i="4" s="1"/>
  <c r="M407" i="4" s="1"/>
  <c r="M408" i="4" s="1"/>
  <c r="M409" i="4" s="1"/>
  <c r="M410" i="4" s="1"/>
  <c r="M411" i="4" s="1"/>
  <c r="M412" i="4" s="1"/>
  <c r="M413" i="4" s="1"/>
  <c r="M414" i="4" s="1"/>
  <c r="M415" i="4" s="1"/>
  <c r="M416" i="4" s="1"/>
  <c r="M417" i="4" s="1"/>
  <c r="M418" i="4" s="1"/>
  <c r="M419" i="4" s="1"/>
  <c r="M420" i="4" s="1"/>
  <c r="M421" i="4" s="1"/>
  <c r="M422" i="4" s="1"/>
  <c r="M423" i="4" s="1"/>
  <c r="M424" i="4" s="1"/>
  <c r="M425" i="4" s="1"/>
  <c r="M426" i="4" s="1"/>
  <c r="M427" i="4" s="1"/>
  <c r="M428" i="4" s="1"/>
  <c r="M429" i="4" s="1"/>
  <c r="M430" i="4" s="1"/>
  <c r="M431" i="4" s="1"/>
  <c r="M432" i="4" s="1"/>
  <c r="M433" i="4" s="1"/>
  <c r="M434" i="4" s="1"/>
  <c r="M435" i="4" s="1"/>
  <c r="M436" i="4" s="1"/>
  <c r="M437" i="4" s="1"/>
  <c r="M438" i="4" s="1"/>
  <c r="M439" i="4" s="1"/>
  <c r="M440" i="4" s="1"/>
  <c r="M441" i="4" s="1"/>
  <c r="M442" i="4" s="1"/>
  <c r="M443" i="4" s="1"/>
  <c r="M444" i="4" s="1"/>
  <c r="M445" i="4" s="1"/>
  <c r="M446" i="4" s="1"/>
  <c r="M447" i="4" s="1"/>
  <c r="M448" i="4" s="1"/>
  <c r="M449" i="4" s="1"/>
  <c r="M450" i="4" s="1"/>
  <c r="M451" i="4" s="1"/>
  <c r="M452" i="4" s="1"/>
  <c r="M453" i="4" s="1"/>
  <c r="M454" i="4" s="1"/>
  <c r="M455" i="4" s="1"/>
  <c r="M456" i="4" s="1"/>
  <c r="M457" i="4" s="1"/>
  <c r="M458" i="4" s="1"/>
  <c r="M459" i="4" s="1"/>
  <c r="M460" i="4" s="1"/>
  <c r="M461" i="4" s="1"/>
  <c r="M462" i="4" s="1"/>
  <c r="M463" i="4" s="1"/>
  <c r="M464" i="4" s="1"/>
  <c r="M465" i="4" s="1"/>
  <c r="M466" i="4" s="1"/>
  <c r="M467" i="4" s="1"/>
  <c r="M468" i="4" s="1"/>
  <c r="M469" i="4" s="1"/>
  <c r="M470" i="4" s="1"/>
  <c r="M471" i="4" s="1"/>
  <c r="M472" i="4" s="1"/>
  <c r="M473" i="4" s="1"/>
  <c r="M474" i="4" s="1"/>
  <c r="M475" i="4" s="1"/>
  <c r="M476" i="4" s="1"/>
  <c r="M477" i="4" s="1"/>
  <c r="M478" i="4" s="1"/>
  <c r="M479" i="4" s="1"/>
  <c r="M480" i="4" s="1"/>
  <c r="M481" i="4" s="1"/>
  <c r="M482" i="4" s="1"/>
  <c r="M483" i="4" s="1"/>
  <c r="M484" i="4" s="1"/>
  <c r="M485" i="4" s="1"/>
  <c r="M486" i="4" s="1"/>
  <c r="M487" i="4" s="1"/>
  <c r="M488" i="4" s="1"/>
  <c r="M489" i="4" s="1"/>
  <c r="M490" i="4" s="1"/>
  <c r="M491" i="4" s="1"/>
  <c r="M492" i="4" s="1"/>
  <c r="M493" i="4" s="1"/>
  <c r="M494" i="4" s="1"/>
  <c r="M495" i="4" s="1"/>
  <c r="M496" i="4" s="1"/>
  <c r="M497" i="4" s="1"/>
  <c r="M498" i="4" s="1"/>
  <c r="M499" i="4" s="1"/>
  <c r="M500" i="4" s="1"/>
  <c r="M501" i="4" s="1"/>
  <c r="M502" i="4" s="1"/>
  <c r="M503" i="4" s="1"/>
  <c r="M504" i="4" s="1"/>
  <c r="M6" i="4"/>
  <c r="M5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5" i="4"/>
  <c r="C6" i="3" l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5" i="3"/>
  <c r="E15" i="2"/>
  <c r="E16" i="2"/>
  <c r="E17" i="2"/>
  <c r="E18" i="2"/>
  <c r="E19" i="2"/>
  <c r="E20" i="2"/>
  <c r="E21" i="2"/>
  <c r="E22" i="2"/>
  <c r="E23" i="2"/>
  <c r="E14" i="2"/>
  <c r="E9" i="2"/>
  <c r="E10" i="2"/>
  <c r="E11" i="2"/>
  <c r="E12" i="2"/>
  <c r="E13" i="2"/>
  <c r="E8" i="2"/>
  <c r="C14" i="2"/>
  <c r="C15" i="2"/>
  <c r="C16" i="2"/>
  <c r="C17" i="2"/>
  <c r="C18" i="2"/>
  <c r="C19" i="2"/>
  <c r="C20" i="2"/>
  <c r="C21" i="2"/>
  <c r="C22" i="2"/>
  <c r="C23" i="2"/>
  <c r="C11" i="2"/>
  <c r="C12" i="2"/>
  <c r="C13" i="2"/>
  <c r="C9" i="2"/>
  <c r="C10" i="2"/>
  <c r="C8" i="2"/>
  <c r="B10" i="2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9" i="2"/>
  <c r="B8" i="2"/>
  <c r="E9" i="1"/>
  <c r="E10" i="1"/>
  <c r="E11" i="1"/>
  <c r="E12" i="1"/>
  <c r="E13" i="1"/>
  <c r="E14" i="1"/>
  <c r="E15" i="1"/>
  <c r="E16" i="1"/>
  <c r="E17" i="1"/>
  <c r="E18" i="1"/>
  <c r="E8" i="1"/>
  <c r="D9" i="1"/>
  <c r="D10" i="1"/>
  <c r="D11" i="1"/>
  <c r="D12" i="1"/>
  <c r="D13" i="1"/>
  <c r="D14" i="1"/>
  <c r="D15" i="1"/>
  <c r="D16" i="1"/>
  <c r="D17" i="1"/>
  <c r="D18" i="1"/>
  <c r="D8" i="1"/>
  <c r="C10" i="1"/>
  <c r="C11" i="1" s="1"/>
  <c r="C12" i="1" s="1"/>
  <c r="C13" i="1" s="1"/>
  <c r="C14" i="1" s="1"/>
  <c r="C15" i="1" s="1"/>
  <c r="C16" i="1" s="1"/>
  <c r="C17" i="1" s="1"/>
  <c r="C18" i="1" s="1"/>
  <c r="C9" i="1"/>
  <c r="C8" i="1"/>
</calcChain>
</file>

<file path=xl/sharedStrings.xml><?xml version="1.0" encoding="utf-8"?>
<sst xmlns="http://schemas.openxmlformats.org/spreadsheetml/2006/main" count="54" uniqueCount="46">
  <si>
    <t>parametros</t>
  </si>
  <si>
    <t>a=</t>
  </si>
  <si>
    <t>b=</t>
  </si>
  <si>
    <t>x</t>
  </si>
  <si>
    <t>fx</t>
  </si>
  <si>
    <t>acumulado</t>
  </si>
  <si>
    <t>a</t>
  </si>
  <si>
    <t>b</t>
  </si>
  <si>
    <t>c</t>
  </si>
  <si>
    <t>minimo</t>
  </si>
  <si>
    <t>maximo</t>
  </si>
  <si>
    <t>moda</t>
  </si>
  <si>
    <t>ok</t>
  </si>
  <si>
    <t>formula</t>
  </si>
  <si>
    <t>acumulada</t>
  </si>
  <si>
    <t>parametro</t>
  </si>
  <si>
    <t>lambda</t>
  </si>
  <si>
    <t>FX</t>
  </si>
  <si>
    <t>DATOS</t>
  </si>
  <si>
    <t>Columna1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</si>
  <si>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</si>
  <si>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</si>
  <si>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</si>
  <si>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</si>
  <si>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</si>
  <si>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</si>
  <si>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</si>
  <si>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</si>
  <si>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</si>
  <si>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</si>
  <si>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</si>
  <si>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</si>
  <si>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</si>
  <si>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>Clase</t>
  </si>
  <si>
    <t>y mayor...</t>
  </si>
  <si>
    <t>Frecuencia</t>
  </si>
  <si>
    <t>prueba de ajuste</t>
  </si>
  <si>
    <t>po</t>
  </si>
  <si>
    <t>poa</t>
  </si>
  <si>
    <t>prob obs</t>
  </si>
  <si>
    <t>probObsAcum</t>
  </si>
  <si>
    <t>fo</t>
  </si>
  <si>
    <t>frecObs</t>
  </si>
  <si>
    <t>pea</t>
  </si>
  <si>
    <t>ProbEspAcum</t>
  </si>
  <si>
    <t>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</si>
</sst>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Continuous"/>
    </xf>
    <xf numFmtId="0" fontId="0" fillId="5" borderId="0" xfId="0" applyFill="1" applyBorder="1" applyAlignment="1">
      <alignment horizont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uniforme!$D$8:$D$18</c:f>
              <c:numCache>
                <c:formatCode>General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A-45B9-9FD8-2F614928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519904"/>
        <c:axId val="568516952"/>
      </c:areaChart>
      <c:catAx>
        <c:axId val="56851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6952"/>
        <c:crosses val="autoZero"/>
        <c:auto val="1"/>
        <c:lblAlgn val="ctr"/>
        <c:lblOffset val="100"/>
        <c:noMultiLvlLbl val="0"/>
      </c:catAx>
      <c:valAx>
        <c:axId val="5685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triangular!$C$8:$C$23</c:f>
              <c:numCache>
                <c:formatCode>General</c:formatCode>
                <c:ptCount val="16"/>
                <c:pt idx="0">
                  <c:v>0</c:v>
                </c:pt>
                <c:pt idx="1">
                  <c:v>2.6666666666666668E-2</c:v>
                </c:pt>
                <c:pt idx="2">
                  <c:v>5.3333333333333337E-2</c:v>
                </c:pt>
                <c:pt idx="3">
                  <c:v>0.08</c:v>
                </c:pt>
                <c:pt idx="4">
                  <c:v>0.10666666666666667</c:v>
                </c:pt>
                <c:pt idx="5">
                  <c:v>0.13333333333333333</c:v>
                </c:pt>
                <c:pt idx="6">
                  <c:v>0.12</c:v>
                </c:pt>
                <c:pt idx="7">
                  <c:v>0.10666666666666667</c:v>
                </c:pt>
                <c:pt idx="8">
                  <c:v>9.3333333333333338E-2</c:v>
                </c:pt>
                <c:pt idx="9">
                  <c:v>0.08</c:v>
                </c:pt>
                <c:pt idx="10">
                  <c:v>6.6666666666666666E-2</c:v>
                </c:pt>
                <c:pt idx="11">
                  <c:v>5.3333333333333337E-2</c:v>
                </c:pt>
                <c:pt idx="12">
                  <c:v>0.04</c:v>
                </c:pt>
                <c:pt idx="13">
                  <c:v>2.6666666666666668E-2</c:v>
                </c:pt>
                <c:pt idx="14">
                  <c:v>1.3333333333333334E-2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4-460F-B696-18BDEA390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879720"/>
        <c:axId val="290646000"/>
      </c:lineChart>
      <c:catAx>
        <c:axId val="28987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90646000"/>
        <c:crosses val="autoZero"/>
        <c:auto val="1"/>
        <c:lblAlgn val="ctr"/>
        <c:lblOffset val="100"/>
        <c:noMultiLvlLbl val="0"/>
      </c:catAx>
      <c:valAx>
        <c:axId val="2906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8987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triangular!$E$8:$E$23</c:f>
              <c:numCache>
                <c:formatCode>General</c:formatCode>
                <c:ptCount val="16"/>
                <c:pt idx="0">
                  <c:v>0</c:v>
                </c:pt>
                <c:pt idx="1">
                  <c:v>1.3333333333333334E-2</c:v>
                </c:pt>
                <c:pt idx="2">
                  <c:v>5.3333333333333337E-2</c:v>
                </c:pt>
                <c:pt idx="3">
                  <c:v>0.12</c:v>
                </c:pt>
                <c:pt idx="4">
                  <c:v>0.21333333333333335</c:v>
                </c:pt>
                <c:pt idx="5">
                  <c:v>0.33333333333333331</c:v>
                </c:pt>
                <c:pt idx="6">
                  <c:v>0.45999999999999996</c:v>
                </c:pt>
                <c:pt idx="7">
                  <c:v>0.57333333333333325</c:v>
                </c:pt>
                <c:pt idx="8">
                  <c:v>0.67333333333333334</c:v>
                </c:pt>
                <c:pt idx="9">
                  <c:v>0.76</c:v>
                </c:pt>
                <c:pt idx="10">
                  <c:v>0.83333333333333337</c:v>
                </c:pt>
                <c:pt idx="11">
                  <c:v>0.89333333333333331</c:v>
                </c:pt>
                <c:pt idx="12">
                  <c:v>0.94</c:v>
                </c:pt>
                <c:pt idx="13">
                  <c:v>0.97333333333333338</c:v>
                </c:pt>
                <c:pt idx="14">
                  <c:v>0.99333333333333329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1-4516-B29E-A82C8158F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038408"/>
        <c:axId val="573040048"/>
      </c:lineChart>
      <c:catAx>
        <c:axId val="57303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40048"/>
        <c:crosses val="autoZero"/>
        <c:auto val="1"/>
        <c:lblAlgn val="ctr"/>
        <c:lblOffset val="100"/>
        <c:noMultiLvlLbl val="0"/>
      </c:catAx>
      <c:valAx>
        <c:axId val="5730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exponencial!$B$5:$B$35</c:f>
              <c:numCache>
                <c:formatCode>General</c:formatCode>
                <c:ptCount val="31"/>
                <c:pt idx="0">
                  <c:v>3</c:v>
                </c:pt>
                <c:pt idx="1">
                  <c:v>2.2224546620451537</c:v>
                </c:pt>
                <c:pt idx="2">
                  <c:v>1.6464349082820791</c:v>
                </c:pt>
                <c:pt idx="3">
                  <c:v>1.2197089792217974</c:v>
                </c:pt>
                <c:pt idx="4">
                  <c:v>0.90358263573660613</c:v>
                </c:pt>
                <c:pt idx="5">
                  <c:v>0.66939048044528948</c:v>
                </c:pt>
                <c:pt idx="6">
                  <c:v>0.49589666466475968</c:v>
                </c:pt>
                <c:pt idx="7">
                  <c:v>0.36736928475894581</c:v>
                </c:pt>
                <c:pt idx="8">
                  <c:v>0.27215385986823742</c:v>
                </c:pt>
                <c:pt idx="9">
                  <c:v>0.20161653821924927</c:v>
                </c:pt>
                <c:pt idx="10">
                  <c:v>0.14936120510359183</c:v>
                </c:pt>
                <c:pt idx="11">
                  <c:v>0.11064950220371998</c:v>
                </c:pt>
                <c:pt idx="12">
                  <c:v>8.1971167341877704E-2</c:v>
                </c:pt>
                <c:pt idx="13">
                  <c:v>6.0725734337413143E-2</c:v>
                </c:pt>
                <c:pt idx="14">
                  <c:v>4.4986730461433151E-2</c:v>
                </c:pt>
                <c:pt idx="15">
                  <c:v>3.3326989614726917E-2</c:v>
                </c:pt>
                <c:pt idx="16">
                  <c:v>2.468924114706007E-2</c:v>
                </c:pt>
                <c:pt idx="17">
                  <c:v>1.8290239696546914E-2</c:v>
                </c:pt>
                <c:pt idx="18">
                  <c:v>1.3549742827837998E-2</c:v>
                </c:pt>
                <c:pt idx="19">
                  <c:v>1.0037896372413825E-2</c:v>
                </c:pt>
                <c:pt idx="20">
                  <c:v>7.4362565299990755E-3</c:v>
                </c:pt>
                <c:pt idx="21">
                  <c:v>5.5089143310867172E-3</c:v>
                </c:pt>
                <c:pt idx="22">
                  <c:v>4.0811041126436786E-3</c:v>
                </c:pt>
                <c:pt idx="23">
                  <c:v>3.023356287145534E-3</c:v>
                </c:pt>
                <c:pt idx="24">
                  <c:v>2.2397574251300395E-3</c:v>
                </c:pt>
                <c:pt idx="25">
                  <c:v>1.659253110443501E-3</c:v>
                </c:pt>
                <c:pt idx="26">
                  <c:v>1.2292049369393592E-3</c:v>
                </c:pt>
                <c:pt idx="27">
                  <c:v>9.1061741423659865E-4</c:v>
                </c:pt>
                <c:pt idx="28">
                  <c:v>6.746019725365458E-4</c:v>
                </c:pt>
                <c:pt idx="29">
                  <c:v>4.9975743296290065E-4</c:v>
                </c:pt>
                <c:pt idx="30">
                  <c:v>3.7022941226003868E-4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4-478B-89AB-D561E9221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27056"/>
        <c:axId val="566823448"/>
      </c:lineChart>
      <c:catAx>
        <c:axId val="5668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3448"/>
        <c:crosses val="autoZero"/>
        <c:auto val="1"/>
        <c:lblAlgn val="ctr"/>
        <c:lblOffset val="100"/>
        <c:noMultiLvlLbl val="0"/>
      </c:catAx>
      <c:valAx>
        <c:axId val="5668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xVal>
          <c:yVal>
            <c:numRef>
              <c:f>exponencial!$C$5:$C$35</c:f>
              <c:numCache>
                <c:formatCode>General</c:formatCode>
                <c:ptCount val="31"/>
                <c:pt idx="0">
                  <c:v>0</c:v>
                </c:pt>
                <c:pt idx="1">
                  <c:v>0.25918177931828212</c:v>
                </c:pt>
                <c:pt idx="2">
                  <c:v>0.45118836390597361</c:v>
                </c:pt>
                <c:pt idx="3">
                  <c:v>0.59343034025940078</c:v>
                </c:pt>
                <c:pt idx="4">
                  <c:v>0.69880578808779803</c:v>
                </c:pt>
                <c:pt idx="5">
                  <c:v>0.77686983985157021</c:v>
                </c:pt>
                <c:pt idx="6">
                  <c:v>0.83470111177841344</c:v>
                </c:pt>
                <c:pt idx="7">
                  <c:v>0.87754357174701803</c:v>
                </c:pt>
                <c:pt idx="8">
                  <c:v>0.90928204671058754</c:v>
                </c:pt>
                <c:pt idx="9">
                  <c:v>0.93279448726025027</c:v>
                </c:pt>
                <c:pt idx="10">
                  <c:v>0.95021293163213605</c:v>
                </c:pt>
                <c:pt idx="11">
                  <c:v>0.96311683259876002</c:v>
                </c:pt>
                <c:pt idx="12">
                  <c:v>0.97267627755270747</c:v>
                </c:pt>
                <c:pt idx="13">
                  <c:v>0.97975808855419566</c:v>
                </c:pt>
                <c:pt idx="14">
                  <c:v>0.9850044231795223</c:v>
                </c:pt>
                <c:pt idx="15">
                  <c:v>0.98889100346175773</c:v>
                </c:pt>
                <c:pt idx="16">
                  <c:v>0.99177025295097998</c:v>
                </c:pt>
                <c:pt idx="17">
                  <c:v>0.99390325343448438</c:v>
                </c:pt>
                <c:pt idx="18">
                  <c:v>0.99548341905738735</c:v>
                </c:pt>
                <c:pt idx="19">
                  <c:v>0.99665403454252877</c:v>
                </c:pt>
                <c:pt idx="20">
                  <c:v>0.99752124782333362</c:v>
                </c:pt>
                <c:pt idx="21">
                  <c:v>0.9981636952229711</c:v>
                </c:pt>
                <c:pt idx="22">
                  <c:v>0.99863963196245209</c:v>
                </c:pt>
                <c:pt idx="23">
                  <c:v>0.99899221457095144</c:v>
                </c:pt>
                <c:pt idx="24">
                  <c:v>0.99925341419162328</c:v>
                </c:pt>
                <c:pt idx="25">
                  <c:v>0.99944691562985222</c:v>
                </c:pt>
                <c:pt idx="26">
                  <c:v>0.99959026502102022</c:v>
                </c:pt>
                <c:pt idx="27">
                  <c:v>0.9996964608619211</c:v>
                </c:pt>
                <c:pt idx="28">
                  <c:v>0.99977513267582119</c:v>
                </c:pt>
                <c:pt idx="29">
                  <c:v>0.99983341418901239</c:v>
                </c:pt>
                <c:pt idx="30">
                  <c:v>0.99987659019591335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8-41E1-B374-293DD89E9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648376"/>
        <c:axId val="569650672"/>
      </c:scatterChart>
      <c:valAx>
        <c:axId val="56964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50672"/>
        <c:crosses val="autoZero"/>
        <c:crossBetween val="midCat"/>
      </c:valAx>
      <c:valAx>
        <c:axId val="5696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4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Hoja4!$D$23:$D$45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Hoja4!$E$23:$E$45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2-4DD4-9B96-5A443C2D8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0</xdr:row>
      <xdr:rowOff>104775</xdr:rowOff>
    </xdr:from>
    <xdr:to>
      <xdr:col>11</xdr:col>
      <xdr:colOff>466725</xdr:colOff>
      <xdr:row>14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E2C64-A0EB-4FE1-9B47-E954C201F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4</xdr:row>
      <xdr:rowOff>142875</xdr:rowOff>
    </xdr:from>
    <xdr:to>
      <xdr:col>11</xdr:col>
      <xdr:colOff>28575</xdr:colOff>
      <xdr:row>15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63E84D-329B-4193-B4C8-AC4A75EA5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9525</xdr:rowOff>
    </xdr:from>
    <xdr:to>
      <xdr:col>6</xdr:col>
      <xdr:colOff>0</xdr:colOff>
      <xdr:row>41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38BD76-2024-4D04-A458-FBDE82603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133350</xdr:rowOff>
    </xdr:from>
    <xdr:to>
      <xdr:col>10</xdr:col>
      <xdr:colOff>47625</xdr:colOff>
      <xdr:row>18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637398-4715-482A-9E87-AF0912A29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18</xdr:row>
      <xdr:rowOff>19050</xdr:rowOff>
    </xdr:from>
    <xdr:to>
      <xdr:col>10</xdr:col>
      <xdr:colOff>19050</xdr:colOff>
      <xdr:row>32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6F0C45-E4E0-4F53-802A-F5751A84E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5C1C7E-A647-4550-9E3D-A59D6D282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E18"/>
  <sheetViews>
    <sheetView workbookViewId="0">
      <selection activeCell="M15" sqref="M15"/>
    </sheetView>
  </sheetViews>
  <sheetFormatPr baseColWidth="10" defaultRowHeight="15" x14ac:dyDescent="0.25"/>
  <sheetData>
    <row r="4" spans="2:5" x14ac:dyDescent="0.25">
      <c r="B4" t="s">
        <v>0</v>
      </c>
      <c r="C4" t="s">
        <v>1</v>
      </c>
      <c r="D4">
        <v>10000</v>
      </c>
    </row>
    <row r="5" spans="2:5" x14ac:dyDescent="0.25">
      <c r="C5" t="s">
        <v>2</v>
      </c>
      <c r="D5">
        <v>20000</v>
      </c>
    </row>
    <row r="7" spans="2:5" x14ac:dyDescent="0.25">
      <c r="C7" t="s">
        <v>3</v>
      </c>
      <c r="D7" t="s">
        <v>4</v>
      </c>
      <c r="E7" t="s">
        <v>5</v>
      </c>
    </row>
    <row r="8" spans="2:5" x14ac:dyDescent="0.25">
      <c r="C8">
        <f>D4</f>
        <v>10000</v>
      </c>
      <c r="D8">
        <f>1/($D$5-$D$4)</f>
        <v>1E-4</v>
      </c>
      <c r="E8">
        <f>(C8-$D$4)/($D$5-$D$4)</f>
        <v>0</v>
      </c>
    </row>
    <row r="9" spans="2:5" x14ac:dyDescent="0.25">
      <c r="C9">
        <f>C8+1000</f>
        <v>11000</v>
      </c>
      <c r="D9">
        <f t="shared" ref="D9:D18" si="0">1/($D$5-$D$4)</f>
        <v>1E-4</v>
      </c>
      <c r="E9">
        <f t="shared" ref="E9:E18" si="1">(C9-$D$4)/($D$5-$D$4)</f>
        <v>0.1</v>
      </c>
    </row>
    <row r="10" spans="2:5" x14ac:dyDescent="0.25">
      <c r="C10">
        <f t="shared" ref="C10:C20" si="2">C9+1000</f>
        <v>12000</v>
      </c>
      <c r="D10">
        <f t="shared" si="0"/>
        <v>1E-4</v>
      </c>
      <c r="E10">
        <f t="shared" si="1"/>
        <v>0.2</v>
      </c>
    </row>
    <row r="11" spans="2:5" x14ac:dyDescent="0.25">
      <c r="C11">
        <f t="shared" si="2"/>
        <v>13000</v>
      </c>
      <c r="D11">
        <f t="shared" si="0"/>
        <v>1E-4</v>
      </c>
      <c r="E11">
        <f t="shared" si="1"/>
        <v>0.3</v>
      </c>
    </row>
    <row r="12" spans="2:5" x14ac:dyDescent="0.25">
      <c r="C12">
        <f t="shared" si="2"/>
        <v>14000</v>
      </c>
      <c r="D12">
        <f t="shared" si="0"/>
        <v>1E-4</v>
      </c>
      <c r="E12">
        <f t="shared" si="1"/>
        <v>0.4</v>
      </c>
    </row>
    <row r="13" spans="2:5" x14ac:dyDescent="0.25">
      <c r="C13">
        <f t="shared" si="2"/>
        <v>15000</v>
      </c>
      <c r="D13">
        <f t="shared" si="0"/>
        <v>1E-4</v>
      </c>
      <c r="E13">
        <f t="shared" si="1"/>
        <v>0.5</v>
      </c>
    </row>
    <row r="14" spans="2:5" x14ac:dyDescent="0.25">
      <c r="C14">
        <f t="shared" si="2"/>
        <v>16000</v>
      </c>
      <c r="D14">
        <f t="shared" si="0"/>
        <v>1E-4</v>
      </c>
      <c r="E14">
        <f t="shared" si="1"/>
        <v>0.6</v>
      </c>
    </row>
    <row r="15" spans="2:5" x14ac:dyDescent="0.25">
      <c r="C15">
        <f t="shared" si="2"/>
        <v>17000</v>
      </c>
      <c r="D15">
        <f t="shared" si="0"/>
        <v>1E-4</v>
      </c>
      <c r="E15">
        <f t="shared" si="1"/>
        <v>0.7</v>
      </c>
    </row>
    <row r="16" spans="2:5" x14ac:dyDescent="0.25">
      <c r="C16">
        <f t="shared" si="2"/>
        <v>18000</v>
      </c>
      <c r="D16">
        <f t="shared" si="0"/>
        <v>1E-4</v>
      </c>
      <c r="E16">
        <f t="shared" si="1"/>
        <v>0.8</v>
      </c>
    </row>
    <row r="17" spans="3:5" x14ac:dyDescent="0.25">
      <c r="C17">
        <f t="shared" si="2"/>
        <v>19000</v>
      </c>
      <c r="D17">
        <f t="shared" si="0"/>
        <v>1E-4</v>
      </c>
      <c r="E17">
        <f t="shared" si="1"/>
        <v>0.9</v>
      </c>
    </row>
    <row r="18" spans="3:5" x14ac:dyDescent="0.25">
      <c r="C18">
        <f t="shared" si="2"/>
        <v>20000</v>
      </c>
      <c r="D18">
        <f t="shared" si="0"/>
        <v>1E-4</v>
      </c>
      <c r="E18">
        <f t="shared" si="1"/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3"/>
  <sheetViews>
    <sheetView topLeftCell="A4" workbookViewId="0">
      <selection activeCell="G19" sqref="G19"/>
    </sheetView>
  </sheetViews>
  <sheetFormatPr baseColWidth="10" defaultRowHeight="15" x14ac:dyDescent="0.25"/>
  <sheetData>
    <row r="2" spans="1:5" x14ac:dyDescent="0.25">
      <c r="A2" t="s">
        <v>0</v>
      </c>
    </row>
    <row r="3" spans="1:5" x14ac:dyDescent="0.25">
      <c r="A3" t="s">
        <v>9</v>
      </c>
      <c r="B3" t="s">
        <v>6</v>
      </c>
      <c r="C3">
        <v>15</v>
      </c>
    </row>
    <row r="4" spans="1:5" x14ac:dyDescent="0.25">
      <c r="A4" t="s">
        <v>10</v>
      </c>
      <c r="B4" t="s">
        <v>7</v>
      </c>
      <c r="C4">
        <v>30</v>
      </c>
    </row>
    <row r="5" spans="1:5" x14ac:dyDescent="0.25">
      <c r="A5" t="s">
        <v>11</v>
      </c>
      <c r="B5" t="s">
        <v>8</v>
      </c>
      <c r="C5">
        <v>20</v>
      </c>
      <c r="E5" t="s">
        <v>12</v>
      </c>
    </row>
    <row r="6" spans="1:5" x14ac:dyDescent="0.25">
      <c r="E6" t="s">
        <v>13</v>
      </c>
    </row>
    <row r="7" spans="1:5" x14ac:dyDescent="0.25">
      <c r="B7" t="s">
        <v>3</v>
      </c>
      <c r="C7" t="s">
        <v>4</v>
      </c>
      <c r="E7" t="s">
        <v>14</v>
      </c>
    </row>
    <row r="8" spans="1:5" x14ac:dyDescent="0.25">
      <c r="B8" s="1">
        <f>C3</f>
        <v>15</v>
      </c>
      <c r="C8" s="2">
        <f>(2*(B8-$C$3))/($C$4-$C$3)*($C$5-$C$3)</f>
        <v>0</v>
      </c>
      <c r="E8" s="2">
        <f>((B8-$C$3)^2)/(($C$4-$C$3)*($C$5-$C$3))</f>
        <v>0</v>
      </c>
    </row>
    <row r="9" spans="1:5" x14ac:dyDescent="0.25">
      <c r="B9">
        <f>B8+1</f>
        <v>16</v>
      </c>
      <c r="C9" s="2">
        <f>(2*(B9-$C$3))/(($C$4-$C$3)*($C$5-$C$3))</f>
        <v>2.6666666666666668E-2</v>
      </c>
      <c r="E9" s="2">
        <f t="shared" ref="E9:E13" si="0">((B9-$C$3)^2)/(($C$4-$C$3)*($C$5-$C$3))</f>
        <v>1.3333333333333334E-2</v>
      </c>
    </row>
    <row r="10" spans="1:5" x14ac:dyDescent="0.25">
      <c r="B10">
        <f t="shared" ref="B10:B23" si="1">B9+1</f>
        <v>17</v>
      </c>
      <c r="C10" s="2">
        <f>(2*(B10-$C$3))/(($C$4-$C$3)*($C$5-$C$3))</f>
        <v>5.3333333333333337E-2</v>
      </c>
      <c r="E10" s="2">
        <f t="shared" si="0"/>
        <v>5.3333333333333337E-2</v>
      </c>
    </row>
    <row r="11" spans="1:5" x14ac:dyDescent="0.25">
      <c r="B11">
        <f t="shared" si="1"/>
        <v>18</v>
      </c>
      <c r="C11" s="2">
        <f t="shared" ref="C11:E13" si="2">(2*(B11-$C$3))/(($C$4-$C$3)*($C$5-$C$3))</f>
        <v>0.08</v>
      </c>
      <c r="E11" s="2">
        <f t="shared" si="0"/>
        <v>0.12</v>
      </c>
    </row>
    <row r="12" spans="1:5" x14ac:dyDescent="0.25">
      <c r="B12">
        <f t="shared" si="1"/>
        <v>19</v>
      </c>
      <c r="C12" s="2">
        <f t="shared" si="2"/>
        <v>0.10666666666666667</v>
      </c>
      <c r="E12" s="2">
        <f t="shared" si="0"/>
        <v>0.21333333333333335</v>
      </c>
    </row>
    <row r="13" spans="1:5" x14ac:dyDescent="0.25">
      <c r="B13" s="1">
        <f t="shared" si="1"/>
        <v>20</v>
      </c>
      <c r="C13" s="2">
        <f t="shared" si="2"/>
        <v>0.13333333333333333</v>
      </c>
      <c r="D13" s="4"/>
      <c r="E13" s="2">
        <f t="shared" si="0"/>
        <v>0.33333333333333331</v>
      </c>
    </row>
    <row r="14" spans="1:5" x14ac:dyDescent="0.25">
      <c r="B14">
        <f t="shared" si="1"/>
        <v>21</v>
      </c>
      <c r="C14" s="3">
        <f>(2*($C$4-B14))/(($C$4-$C$3)*($C$4-$C$5))</f>
        <v>0.12</v>
      </c>
      <c r="E14" s="2">
        <f>1-(($C$4-B14)^2/(($C$4-$C$3)*($C$4-$C$5)))</f>
        <v>0.45999999999999996</v>
      </c>
    </row>
    <row r="15" spans="1:5" x14ac:dyDescent="0.25">
      <c r="B15">
        <f t="shared" si="1"/>
        <v>22</v>
      </c>
      <c r="C15" s="3">
        <f t="shared" ref="C15:C23" si="3">(2*($C$4-B15))/(($C$4-$C$3)*($C$4-$C$5))</f>
        <v>0.10666666666666667</v>
      </c>
      <c r="E15" s="2">
        <f t="shared" ref="E15:E23" si="4">1-(($C$4-B15)^2/(($C$4-$C$3)*($C$4-$C$5)))</f>
        <v>0.57333333333333325</v>
      </c>
    </row>
    <row r="16" spans="1:5" x14ac:dyDescent="0.25">
      <c r="B16">
        <f t="shared" si="1"/>
        <v>23</v>
      </c>
      <c r="C16" s="3">
        <f t="shared" si="3"/>
        <v>9.3333333333333338E-2</v>
      </c>
      <c r="E16" s="2">
        <f t="shared" si="4"/>
        <v>0.67333333333333334</v>
      </c>
    </row>
    <row r="17" spans="2:5" x14ac:dyDescent="0.25">
      <c r="B17">
        <f t="shared" si="1"/>
        <v>24</v>
      </c>
      <c r="C17" s="3">
        <f t="shared" si="3"/>
        <v>0.08</v>
      </c>
      <c r="E17" s="2">
        <f t="shared" si="4"/>
        <v>0.76</v>
      </c>
    </row>
    <row r="18" spans="2:5" x14ac:dyDescent="0.25">
      <c r="B18">
        <f t="shared" si="1"/>
        <v>25</v>
      </c>
      <c r="C18" s="3">
        <f t="shared" si="3"/>
        <v>6.6666666666666666E-2</v>
      </c>
      <c r="E18" s="2">
        <f t="shared" si="4"/>
        <v>0.83333333333333337</v>
      </c>
    </row>
    <row r="19" spans="2:5" x14ac:dyDescent="0.25">
      <c r="B19">
        <f t="shared" si="1"/>
        <v>26</v>
      </c>
      <c r="C19" s="3">
        <f t="shared" si="3"/>
        <v>5.3333333333333337E-2</v>
      </c>
      <c r="E19" s="2">
        <f t="shared" si="4"/>
        <v>0.89333333333333331</v>
      </c>
    </row>
    <row r="20" spans="2:5" x14ac:dyDescent="0.25">
      <c r="B20">
        <f t="shared" si="1"/>
        <v>27</v>
      </c>
      <c r="C20" s="3">
        <f t="shared" si="3"/>
        <v>0.04</v>
      </c>
      <c r="E20" s="2">
        <f t="shared" si="4"/>
        <v>0.94</v>
      </c>
    </row>
    <row r="21" spans="2:5" x14ac:dyDescent="0.25">
      <c r="B21">
        <f t="shared" si="1"/>
        <v>28</v>
      </c>
      <c r="C21" s="3">
        <f t="shared" si="3"/>
        <v>2.6666666666666668E-2</v>
      </c>
      <c r="E21" s="2">
        <f t="shared" si="4"/>
        <v>0.97333333333333338</v>
      </c>
    </row>
    <row r="22" spans="2:5" x14ac:dyDescent="0.25">
      <c r="B22">
        <f t="shared" si="1"/>
        <v>29</v>
      </c>
      <c r="C22" s="3">
        <f t="shared" si="3"/>
        <v>1.3333333333333334E-2</v>
      </c>
      <c r="E22" s="2">
        <f t="shared" si="4"/>
        <v>0.99333333333333329</v>
      </c>
    </row>
    <row r="23" spans="2:5" x14ac:dyDescent="0.25">
      <c r="B23" s="1">
        <f t="shared" si="1"/>
        <v>30</v>
      </c>
      <c r="C23" s="3">
        <f t="shared" si="3"/>
        <v>0</v>
      </c>
      <c r="E23" s="2">
        <f t="shared" si="4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topLeftCell="A4" workbookViewId="0">
      <selection activeCell="L24" sqref="L24"/>
    </sheetView>
  </sheetViews>
  <sheetFormatPr baseColWidth="10" defaultRowHeight="15" x14ac:dyDescent="0.25"/>
  <sheetData>
    <row r="1" spans="1:3" x14ac:dyDescent="0.25">
      <c r="A1" t="s">
        <v>15</v>
      </c>
    </row>
    <row r="2" spans="1:3" x14ac:dyDescent="0.25">
      <c r="A2" t="s">
        <v>16</v>
      </c>
      <c r="B2">
        <v>3</v>
      </c>
    </row>
    <row r="4" spans="1:3" x14ac:dyDescent="0.25">
      <c r="A4" t="s">
        <v>3</v>
      </c>
      <c r="B4" t="s">
        <v>4</v>
      </c>
      <c r="C4" t="s">
        <v>17</v>
      </c>
    </row>
    <row r="5" spans="1:3" x14ac:dyDescent="0.25">
      <c r="A5">
        <v>0</v>
      </c>
      <c r="B5">
        <f>$B$2*EXP(-$B$2*A5)</f>
        <v>3</v>
      </c>
      <c r="C5">
        <f>1-EXP(-$B$2*A5)</f>
        <v>0</v>
      </c>
    </row>
    <row r="6" spans="1:3" x14ac:dyDescent="0.25">
      <c r="A6">
        <v>0.1</v>
      </c>
      <c r="B6">
        <f t="shared" ref="B6:B39" si="0">$B$2*EXP(-$B$2*A6)</f>
        <v>2.2224546620451537</v>
      </c>
      <c r="C6">
        <f t="shared" ref="C6:C35" si="1">1-EXP(-$B$2*A6)</f>
        <v>0.25918177931828212</v>
      </c>
    </row>
    <row r="7" spans="1:3" x14ac:dyDescent="0.25">
      <c r="A7">
        <v>0.2</v>
      </c>
      <c r="B7">
        <f t="shared" si="0"/>
        <v>1.6464349082820791</v>
      </c>
      <c r="C7">
        <f t="shared" si="1"/>
        <v>0.45118836390597361</v>
      </c>
    </row>
    <row r="8" spans="1:3" x14ac:dyDescent="0.25">
      <c r="A8">
        <v>0.3</v>
      </c>
      <c r="B8">
        <f t="shared" si="0"/>
        <v>1.2197089792217974</v>
      </c>
      <c r="C8">
        <f t="shared" si="1"/>
        <v>0.59343034025940078</v>
      </c>
    </row>
    <row r="9" spans="1:3" x14ac:dyDescent="0.25">
      <c r="A9">
        <v>0.4</v>
      </c>
      <c r="B9">
        <f t="shared" si="0"/>
        <v>0.90358263573660613</v>
      </c>
      <c r="C9">
        <f t="shared" si="1"/>
        <v>0.69880578808779803</v>
      </c>
    </row>
    <row r="10" spans="1:3" x14ac:dyDescent="0.25">
      <c r="A10">
        <v>0.5</v>
      </c>
      <c r="B10">
        <f t="shared" si="0"/>
        <v>0.66939048044528948</v>
      </c>
      <c r="C10">
        <f t="shared" si="1"/>
        <v>0.77686983985157021</v>
      </c>
    </row>
    <row r="11" spans="1:3" x14ac:dyDescent="0.25">
      <c r="A11">
        <v>0.6</v>
      </c>
      <c r="B11">
        <f t="shared" si="0"/>
        <v>0.49589666466475968</v>
      </c>
      <c r="C11">
        <f t="shared" si="1"/>
        <v>0.83470111177841344</v>
      </c>
    </row>
    <row r="12" spans="1:3" x14ac:dyDescent="0.25">
      <c r="A12">
        <v>0.7</v>
      </c>
      <c r="B12">
        <f t="shared" si="0"/>
        <v>0.36736928475894581</v>
      </c>
      <c r="C12">
        <f t="shared" si="1"/>
        <v>0.87754357174701803</v>
      </c>
    </row>
    <row r="13" spans="1:3" x14ac:dyDescent="0.25">
      <c r="A13">
        <v>0.8</v>
      </c>
      <c r="B13">
        <f t="shared" si="0"/>
        <v>0.27215385986823742</v>
      </c>
      <c r="C13">
        <f t="shared" si="1"/>
        <v>0.90928204671058754</v>
      </c>
    </row>
    <row r="14" spans="1:3" x14ac:dyDescent="0.25">
      <c r="A14">
        <v>0.9</v>
      </c>
      <c r="B14">
        <f t="shared" si="0"/>
        <v>0.20161653821924927</v>
      </c>
      <c r="C14">
        <f t="shared" si="1"/>
        <v>0.93279448726025027</v>
      </c>
    </row>
    <row r="15" spans="1:3" x14ac:dyDescent="0.25">
      <c r="A15">
        <v>1</v>
      </c>
      <c r="B15">
        <f t="shared" si="0"/>
        <v>0.14936120510359183</v>
      </c>
      <c r="C15">
        <f t="shared" si="1"/>
        <v>0.95021293163213605</v>
      </c>
    </row>
    <row r="16" spans="1:3" x14ac:dyDescent="0.25">
      <c r="A16">
        <v>1.1000000000000001</v>
      </c>
      <c r="B16">
        <f t="shared" si="0"/>
        <v>0.11064950220371998</v>
      </c>
      <c r="C16">
        <f t="shared" si="1"/>
        <v>0.96311683259876002</v>
      </c>
    </row>
    <row r="17" spans="1:12" x14ac:dyDescent="0.25">
      <c r="A17">
        <v>1.2</v>
      </c>
      <c r="B17">
        <f t="shared" si="0"/>
        <v>8.1971167341877704E-2</v>
      </c>
      <c r="C17">
        <f t="shared" si="1"/>
        <v>0.97267627755270747</v>
      </c>
    </row>
    <row r="18" spans="1:12" x14ac:dyDescent="0.25">
      <c r="A18">
        <v>1.3</v>
      </c>
      <c r="B18">
        <f t="shared" si="0"/>
        <v>6.0725734337413143E-2</v>
      </c>
      <c r="C18">
        <f t="shared" si="1"/>
        <v>0.97975808855419566</v>
      </c>
    </row>
    <row r="19" spans="1:12" x14ac:dyDescent="0.25">
      <c r="A19">
        <v>1.4</v>
      </c>
      <c r="B19">
        <f t="shared" si="0"/>
        <v>4.4986730461433151E-2</v>
      </c>
      <c r="C19">
        <f t="shared" si="1"/>
        <v>0.9850044231795223</v>
      </c>
    </row>
    <row r="20" spans="1:12" x14ac:dyDescent="0.25">
      <c r="A20">
        <v>1.5</v>
      </c>
      <c r="B20">
        <f t="shared" si="0"/>
        <v>3.3326989614726917E-2</v>
      </c>
      <c r="C20">
        <f t="shared" si="1"/>
        <v>0.98889100346175773</v>
      </c>
    </row>
    <row r="21" spans="1:12" x14ac:dyDescent="0.25">
      <c r="A21">
        <v>1.6</v>
      </c>
      <c r="B21">
        <f t="shared" si="0"/>
        <v>2.468924114706007E-2</v>
      </c>
      <c r="C21">
        <f t="shared" si="1"/>
        <v>0.99177025295097998</v>
      </c>
    </row>
    <row r="22" spans="1:12" x14ac:dyDescent="0.25">
      <c r="A22">
        <v>1.7</v>
      </c>
      <c r="B22">
        <f t="shared" si="0"/>
        <v>1.8290239696546914E-2</v>
      </c>
      <c r="C22">
        <f t="shared" si="1"/>
        <v>0.99390325343448438</v>
      </c>
    </row>
    <row r="23" spans="1:12" x14ac:dyDescent="0.25">
      <c r="A23">
        <v>1.8</v>
      </c>
      <c r="B23">
        <f t="shared" si="0"/>
        <v>1.3549742827837998E-2</v>
      </c>
      <c r="C23">
        <f t="shared" si="1"/>
        <v>0.99548341905738735</v>
      </c>
    </row>
    <row r="24" spans="1:12" x14ac:dyDescent="0.25">
      <c r="A24">
        <v>1.9</v>
      </c>
      <c r="B24">
        <f t="shared" si="0"/>
        <v>1.0037896372413825E-2</v>
      </c>
      <c r="C24">
        <f t="shared" si="1"/>
        <v>0.99665403454252877</v>
      </c>
      <c r="L24" s="5"/>
    </row>
    <row r="25" spans="1:12" x14ac:dyDescent="0.25">
      <c r="A25">
        <v>2</v>
      </c>
      <c r="B25">
        <f t="shared" si="0"/>
        <v>7.4362565299990755E-3</v>
      </c>
      <c r="C25">
        <f t="shared" si="1"/>
        <v>0.99752124782333362</v>
      </c>
    </row>
    <row r="26" spans="1:12" x14ac:dyDescent="0.25">
      <c r="A26">
        <v>2.1</v>
      </c>
      <c r="B26">
        <f t="shared" si="0"/>
        <v>5.5089143310867172E-3</v>
      </c>
      <c r="C26">
        <f t="shared" si="1"/>
        <v>0.9981636952229711</v>
      </c>
    </row>
    <row r="27" spans="1:12" x14ac:dyDescent="0.25">
      <c r="A27">
        <v>2.2000000000000002</v>
      </c>
      <c r="B27">
        <f t="shared" si="0"/>
        <v>4.0811041126436786E-3</v>
      </c>
      <c r="C27">
        <f t="shared" si="1"/>
        <v>0.99863963196245209</v>
      </c>
    </row>
    <row r="28" spans="1:12" x14ac:dyDescent="0.25">
      <c r="A28">
        <v>2.2999999999999998</v>
      </c>
      <c r="B28">
        <f t="shared" si="0"/>
        <v>3.023356287145534E-3</v>
      </c>
      <c r="C28">
        <f t="shared" si="1"/>
        <v>0.99899221457095144</v>
      </c>
    </row>
    <row r="29" spans="1:12" x14ac:dyDescent="0.25">
      <c r="A29">
        <v>2.4</v>
      </c>
      <c r="B29">
        <f t="shared" si="0"/>
        <v>2.2397574251300395E-3</v>
      </c>
      <c r="C29">
        <f t="shared" si="1"/>
        <v>0.99925341419162328</v>
      </c>
    </row>
    <row r="30" spans="1:12" x14ac:dyDescent="0.25">
      <c r="A30">
        <v>2.5</v>
      </c>
      <c r="B30">
        <f t="shared" si="0"/>
        <v>1.659253110443501E-3</v>
      </c>
      <c r="C30">
        <f t="shared" si="1"/>
        <v>0.99944691562985222</v>
      </c>
    </row>
    <row r="31" spans="1:12" x14ac:dyDescent="0.25">
      <c r="A31">
        <v>2.6</v>
      </c>
      <c r="B31">
        <f t="shared" si="0"/>
        <v>1.2292049369393592E-3</v>
      </c>
      <c r="C31">
        <f t="shared" si="1"/>
        <v>0.99959026502102022</v>
      </c>
    </row>
    <row r="32" spans="1:12" x14ac:dyDescent="0.25">
      <c r="A32">
        <v>2.7</v>
      </c>
      <c r="B32">
        <f t="shared" si="0"/>
        <v>9.1061741423659865E-4</v>
      </c>
      <c r="C32">
        <f t="shared" si="1"/>
        <v>0.9996964608619211</v>
      </c>
    </row>
    <row r="33" spans="1:3" x14ac:dyDescent="0.25">
      <c r="A33">
        <v>2.8</v>
      </c>
      <c r="B33">
        <f t="shared" si="0"/>
        <v>6.746019725365458E-4</v>
      </c>
      <c r="C33">
        <f t="shared" si="1"/>
        <v>0.99977513267582119</v>
      </c>
    </row>
    <row r="34" spans="1:3" x14ac:dyDescent="0.25">
      <c r="A34">
        <v>2.9</v>
      </c>
      <c r="B34">
        <f t="shared" si="0"/>
        <v>4.9975743296290065E-4</v>
      </c>
      <c r="C34">
        <f t="shared" si="1"/>
        <v>0.99983341418901239</v>
      </c>
    </row>
    <row r="35" spans="1:3" x14ac:dyDescent="0.25">
      <c r="A35">
        <v>3</v>
      </c>
      <c r="B35">
        <f t="shared" si="0"/>
        <v>3.7022941226003868E-4</v>
      </c>
      <c r="C35">
        <f t="shared" si="1"/>
        <v>0.99987659019591335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504"/>
  <sheetViews>
    <sheetView tabSelected="1" topLeftCell="B1" workbookViewId="0">
      <selection activeCell="N5" sqref="N5"/>
    </sheetView>
  </sheetViews>
  <sheetFormatPr baseColWidth="10" defaultRowHeight="15" x14ac:dyDescent="0.25"/>
  <cols>
    <col min="8" max="8" width="11.85546875" bestFit="1" customWidth="1"/>
    <col min="13" max="13" width="13.5703125" bestFit="1" customWidth="1"/>
  </cols>
  <sheetData>
    <row r="2" spans="2:14" x14ac:dyDescent="0.25">
      <c r="J2" s="12" t="s">
        <v>36</v>
      </c>
      <c r="K2" s="12"/>
      <c r="L2" s="12"/>
      <c r="M2" s="12"/>
      <c r="N2" s="12"/>
    </row>
    <row r="3" spans="2:14" x14ac:dyDescent="0.25">
      <c r="K3" t="s">
        <v>42</v>
      </c>
      <c r="L3" t="s">
        <v>39</v>
      </c>
      <c r="M3" t="s">
        <v>40</v>
      </c>
      <c r="N3" t="s">
        <v>44</v>
      </c>
    </row>
    <row r="4" spans="2:14" ht="21" x14ac:dyDescent="0.35">
      <c r="B4" s="6" t="s">
        <v>18</v>
      </c>
      <c r="J4" t="s">
        <v>3</v>
      </c>
      <c r="K4" t="s">
        <v>41</v>
      </c>
      <c r="L4" t="s">
        <v>37</v>
      </c>
      <c r="M4" t="s">
        <v>38</v>
      </c>
      <c r="N4" t="s">
        <v>43</v>
      </c>
    </row>
    <row r="5" spans="2:14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</row>
    <row r="6" spans="2:14" x14ac:dyDescent="0.25">
      <c r="B6" s="7">
        <v>24.37</v>
      </c>
      <c r="D6" s="11" t="s">
        <v>19</v>
      </c>
      <c r="E6" s="11"/>
      <c r="G6" s="13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</row>
    <row r="7" spans="2:14" x14ac:dyDescent="0.25">
      <c r="B7" s="7">
        <v>25.2</v>
      </c>
      <c r="D7" s="8"/>
      <c r="E7" s="8"/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1">M6+L7</f>
        <v>6.0000000000000001E-3</v>
      </c>
    </row>
    <row r="8" spans="2:14" x14ac:dyDescent="0.25">
      <c r="B8" s="7">
        <v>24.91</v>
      </c>
      <c r="D8" s="8" t="s">
        <v>20</v>
      </c>
      <c r="E8" s="8">
        <v>24.928520000000013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1"/>
        <v>8.0000000000000002E-3</v>
      </c>
    </row>
    <row r="9" spans="2:14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1"/>
        <v>0.01</v>
      </c>
    </row>
    <row r="10" spans="2:14" x14ac:dyDescent="0.25">
      <c r="B10" s="7">
        <v>26.01</v>
      </c>
      <c r="D10" s="8" t="s">
        <v>22</v>
      </c>
      <c r="E10" s="8">
        <v>24.84</v>
      </c>
      <c r="J10" s="7">
        <v>17.739999999999998</v>
      </c>
      <c r="K10">
        <v>1</v>
      </c>
      <c r="L10">
        <f t="shared" si="0"/>
        <v>2E-3</v>
      </c>
      <c r="M10">
        <f t="shared" si="1"/>
        <v>1.2E-2</v>
      </c>
    </row>
    <row r="11" spans="2:14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1"/>
        <v>1.4E-2</v>
      </c>
    </row>
    <row r="12" spans="2:14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1"/>
        <v>1.6E-2</v>
      </c>
    </row>
    <row r="13" spans="2:14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1"/>
        <v>1.8000000000000002E-2</v>
      </c>
    </row>
    <row r="14" spans="2:14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1"/>
        <v>2.0000000000000004E-2</v>
      </c>
    </row>
    <row r="15" spans="2:14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1"/>
        <v>2.2000000000000006E-2</v>
      </c>
    </row>
    <row r="16" spans="2:14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1"/>
        <v>2.4000000000000007E-2</v>
      </c>
    </row>
    <row r="17" spans="2:13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1"/>
        <v>2.6000000000000009E-2</v>
      </c>
    </row>
    <row r="18" spans="2:13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1"/>
        <v>2.8000000000000011E-2</v>
      </c>
    </row>
    <row r="19" spans="2:13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1"/>
        <v>3.0000000000000013E-2</v>
      </c>
    </row>
    <row r="20" spans="2:13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1"/>
        <v>3.2000000000000015E-2</v>
      </c>
    </row>
    <row r="21" spans="2:13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1"/>
        <v>3.4000000000000016E-2</v>
      </c>
    </row>
    <row r="22" spans="2:13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1"/>
        <v>3.6000000000000018E-2</v>
      </c>
    </row>
    <row r="23" spans="2:13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1"/>
        <v>3.800000000000002E-2</v>
      </c>
    </row>
    <row r="24" spans="2:13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1"/>
        <v>4.0000000000000022E-2</v>
      </c>
    </row>
    <row r="25" spans="2:13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1"/>
        <v>4.2000000000000023E-2</v>
      </c>
    </row>
    <row r="26" spans="2:13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1"/>
        <v>4.4000000000000025E-2</v>
      </c>
    </row>
    <row r="27" spans="2:13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1"/>
        <v>4.6000000000000027E-2</v>
      </c>
    </row>
    <row r="28" spans="2:13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1"/>
        <v>4.8000000000000029E-2</v>
      </c>
    </row>
    <row r="29" spans="2:13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1"/>
        <v>5.0000000000000031E-2</v>
      </c>
    </row>
    <row r="30" spans="2:13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1"/>
        <v>5.2000000000000032E-2</v>
      </c>
    </row>
    <row r="31" spans="2:13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1"/>
        <v>5.4000000000000034E-2</v>
      </c>
    </row>
    <row r="32" spans="2:13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1"/>
        <v>5.6000000000000036E-2</v>
      </c>
    </row>
    <row r="33" spans="2:13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1"/>
        <v>5.8000000000000038E-2</v>
      </c>
    </row>
    <row r="34" spans="2:13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1"/>
        <v>6.0000000000000039E-2</v>
      </c>
    </row>
    <row r="35" spans="2:13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1"/>
        <v>6.2000000000000041E-2</v>
      </c>
    </row>
    <row r="36" spans="2:13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1"/>
        <v>6.4000000000000043E-2</v>
      </c>
    </row>
    <row r="37" spans="2:13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1"/>
        <v>6.6000000000000045E-2</v>
      </c>
    </row>
    <row r="38" spans="2:13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1"/>
        <v>6.8000000000000047E-2</v>
      </c>
    </row>
    <row r="39" spans="2:13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1"/>
        <v>7.0000000000000048E-2</v>
      </c>
    </row>
    <row r="40" spans="2:13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1"/>
        <v>7.200000000000005E-2</v>
      </c>
    </row>
    <row r="41" spans="2:13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1"/>
        <v>7.4000000000000052E-2</v>
      </c>
    </row>
    <row r="42" spans="2:13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1"/>
        <v>7.6000000000000054E-2</v>
      </c>
    </row>
    <row r="43" spans="2:13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1"/>
        <v>7.8000000000000055E-2</v>
      </c>
    </row>
    <row r="44" spans="2:13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1"/>
        <v>8.0000000000000057E-2</v>
      </c>
    </row>
    <row r="45" spans="2:13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1"/>
        <v>8.2000000000000059E-2</v>
      </c>
    </row>
    <row r="46" spans="2:13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1"/>
        <v>8.4000000000000061E-2</v>
      </c>
    </row>
    <row r="47" spans="2:13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1"/>
        <v>8.6000000000000063E-2</v>
      </c>
    </row>
    <row r="48" spans="2:13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1"/>
        <v>8.8000000000000064E-2</v>
      </c>
    </row>
    <row r="49" spans="2:13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1"/>
        <v>9.0000000000000066E-2</v>
      </c>
    </row>
    <row r="50" spans="2:13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1"/>
        <v>9.2000000000000068E-2</v>
      </c>
    </row>
    <row r="51" spans="2:13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1"/>
        <v>9.400000000000007E-2</v>
      </c>
    </row>
    <row r="52" spans="2:13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1"/>
        <v>9.6000000000000071E-2</v>
      </c>
    </row>
    <row r="53" spans="2:13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1"/>
        <v>9.8000000000000073E-2</v>
      </c>
    </row>
    <row r="54" spans="2:13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1"/>
        <v>0.10000000000000007</v>
      </c>
    </row>
    <row r="55" spans="2:13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1"/>
        <v>0.10200000000000008</v>
      </c>
    </row>
    <row r="56" spans="2:13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1"/>
        <v>0.10400000000000008</v>
      </c>
    </row>
    <row r="57" spans="2:13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1"/>
        <v>0.10600000000000008</v>
      </c>
    </row>
    <row r="58" spans="2:13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1"/>
        <v>0.10800000000000008</v>
      </c>
    </row>
    <row r="59" spans="2:13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1"/>
        <v>0.11000000000000008</v>
      </c>
    </row>
    <row r="60" spans="2:13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1"/>
        <v>0.11200000000000009</v>
      </c>
    </row>
    <row r="61" spans="2:13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1"/>
        <v>0.11400000000000009</v>
      </c>
    </row>
    <row r="62" spans="2:13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1"/>
        <v>0.11600000000000009</v>
      </c>
    </row>
    <row r="63" spans="2:13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1"/>
        <v>0.11800000000000009</v>
      </c>
    </row>
    <row r="64" spans="2:13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1"/>
        <v>0.12000000000000009</v>
      </c>
    </row>
    <row r="65" spans="2:13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1"/>
        <v>0.12200000000000009</v>
      </c>
    </row>
    <row r="66" spans="2:13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1"/>
        <v>0.1240000000000001</v>
      </c>
    </row>
    <row r="67" spans="2:13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1"/>
        <v>0.12600000000000008</v>
      </c>
    </row>
    <row r="68" spans="2:13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1"/>
        <v>0.12800000000000009</v>
      </c>
    </row>
    <row r="69" spans="2:13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1"/>
        <v>0.13000000000000009</v>
      </c>
    </row>
    <row r="70" spans="2:13" x14ac:dyDescent="0.25">
      <c r="B70" s="7">
        <v>21.24</v>
      </c>
      <c r="J70" s="7">
        <v>21.54</v>
      </c>
      <c r="K70">
        <v>1</v>
      </c>
      <c r="L70">
        <f t="shared" ref="L70:L133" si="2">K70/$E$20</f>
        <v>2E-3</v>
      </c>
      <c r="M70">
        <f t="shared" si="1"/>
        <v>0.13200000000000009</v>
      </c>
    </row>
    <row r="71" spans="2:13" x14ac:dyDescent="0.25">
      <c r="B71" s="7">
        <v>22.73</v>
      </c>
      <c r="J71" s="7">
        <v>21.56</v>
      </c>
      <c r="K71">
        <v>1</v>
      </c>
      <c r="L71">
        <f t="shared" si="2"/>
        <v>2E-3</v>
      </c>
      <c r="M71">
        <f t="shared" ref="M71:M134" si="3">M70+L71</f>
        <v>0.13400000000000009</v>
      </c>
    </row>
    <row r="72" spans="2:13" x14ac:dyDescent="0.25">
      <c r="B72" s="7">
        <v>26.1</v>
      </c>
      <c r="J72" s="7">
        <v>21.56</v>
      </c>
      <c r="K72">
        <v>1</v>
      </c>
      <c r="L72">
        <f t="shared" si="2"/>
        <v>2E-3</v>
      </c>
      <c r="M72">
        <f t="shared" si="3"/>
        <v>0.13600000000000009</v>
      </c>
    </row>
    <row r="73" spans="2:13" x14ac:dyDescent="0.25">
      <c r="B73" s="7">
        <v>21.4</v>
      </c>
      <c r="J73" s="7">
        <v>21.57</v>
      </c>
      <c r="K73">
        <v>1</v>
      </c>
      <c r="L73">
        <f t="shared" si="2"/>
        <v>2E-3</v>
      </c>
      <c r="M73">
        <f t="shared" si="3"/>
        <v>0.13800000000000009</v>
      </c>
    </row>
    <row r="74" spans="2:13" x14ac:dyDescent="0.25">
      <c r="B74" s="7">
        <v>28</v>
      </c>
      <c r="J74" s="7">
        <v>21.59</v>
      </c>
      <c r="K74">
        <v>1</v>
      </c>
      <c r="L74">
        <f t="shared" si="2"/>
        <v>2E-3</v>
      </c>
      <c r="M74">
        <f t="shared" si="3"/>
        <v>0.1400000000000001</v>
      </c>
    </row>
    <row r="75" spans="2:13" x14ac:dyDescent="0.25">
      <c r="B75" s="7">
        <v>27.23</v>
      </c>
      <c r="J75" s="7">
        <v>21.61</v>
      </c>
      <c r="K75">
        <v>1</v>
      </c>
      <c r="L75">
        <f t="shared" si="2"/>
        <v>2E-3</v>
      </c>
      <c r="M75">
        <f t="shared" si="3"/>
        <v>0.1420000000000001</v>
      </c>
    </row>
    <row r="76" spans="2:13" x14ac:dyDescent="0.25">
      <c r="B76" s="7">
        <v>25.26</v>
      </c>
      <c r="J76" s="7">
        <v>21.62</v>
      </c>
      <c r="K76">
        <v>1</v>
      </c>
      <c r="L76">
        <f t="shared" si="2"/>
        <v>2E-3</v>
      </c>
      <c r="M76">
        <f t="shared" si="3"/>
        <v>0.1440000000000001</v>
      </c>
    </row>
    <row r="77" spans="2:13" x14ac:dyDescent="0.25">
      <c r="B77" s="7">
        <v>24.64</v>
      </c>
      <c r="J77" s="7">
        <v>21.62</v>
      </c>
      <c r="K77">
        <v>1</v>
      </c>
      <c r="L77">
        <f t="shared" si="2"/>
        <v>2E-3</v>
      </c>
      <c r="M77">
        <f t="shared" si="3"/>
        <v>0.1460000000000001</v>
      </c>
    </row>
    <row r="78" spans="2:13" x14ac:dyDescent="0.25">
      <c r="B78" s="7">
        <v>31.68</v>
      </c>
      <c r="J78" s="7">
        <v>21.66</v>
      </c>
      <c r="K78">
        <v>1</v>
      </c>
      <c r="L78">
        <f t="shared" si="2"/>
        <v>2E-3</v>
      </c>
      <c r="M78">
        <f t="shared" si="3"/>
        <v>0.1480000000000001</v>
      </c>
    </row>
    <row r="79" spans="2:13" x14ac:dyDescent="0.25">
      <c r="B79" s="7">
        <v>23.4</v>
      </c>
      <c r="J79" s="7">
        <v>21.74</v>
      </c>
      <c r="K79">
        <v>1</v>
      </c>
      <c r="L79">
        <f t="shared" si="2"/>
        <v>2E-3</v>
      </c>
      <c r="M79">
        <f t="shared" si="3"/>
        <v>0.15000000000000011</v>
      </c>
    </row>
    <row r="80" spans="2:13" x14ac:dyDescent="0.25">
      <c r="B80" s="7">
        <v>27.28</v>
      </c>
      <c r="J80" s="7">
        <v>21.75</v>
      </c>
      <c r="K80">
        <v>1</v>
      </c>
      <c r="L80">
        <f t="shared" si="2"/>
        <v>2E-3</v>
      </c>
      <c r="M80">
        <f t="shared" si="3"/>
        <v>0.15200000000000011</v>
      </c>
    </row>
    <row r="81" spans="2:13" x14ac:dyDescent="0.25">
      <c r="B81" s="7">
        <v>21.99</v>
      </c>
      <c r="J81" s="7">
        <v>21.78</v>
      </c>
      <c r="K81">
        <v>1</v>
      </c>
      <c r="L81">
        <f t="shared" si="2"/>
        <v>2E-3</v>
      </c>
      <c r="M81">
        <f t="shared" si="3"/>
        <v>0.15400000000000011</v>
      </c>
    </row>
    <row r="82" spans="2:13" x14ac:dyDescent="0.25">
      <c r="B82" s="7">
        <v>29.24</v>
      </c>
      <c r="J82" s="7">
        <v>21.79</v>
      </c>
      <c r="K82">
        <v>1</v>
      </c>
      <c r="L82">
        <f t="shared" si="2"/>
        <v>2E-3</v>
      </c>
      <c r="M82">
        <f t="shared" si="3"/>
        <v>0.15600000000000011</v>
      </c>
    </row>
    <row r="83" spans="2:13" x14ac:dyDescent="0.25">
      <c r="B83" s="7">
        <v>23.46</v>
      </c>
      <c r="J83" s="7">
        <v>21.81</v>
      </c>
      <c r="K83">
        <v>1</v>
      </c>
      <c r="L83">
        <f t="shared" si="2"/>
        <v>2E-3</v>
      </c>
      <c r="M83">
        <f t="shared" si="3"/>
        <v>0.15800000000000011</v>
      </c>
    </row>
    <row r="84" spans="2:13" x14ac:dyDescent="0.25">
      <c r="B84" s="7">
        <v>24.51</v>
      </c>
      <c r="J84" s="7">
        <v>21.88</v>
      </c>
      <c r="K84">
        <v>1</v>
      </c>
      <c r="L84">
        <f t="shared" si="2"/>
        <v>2E-3</v>
      </c>
      <c r="M84">
        <f t="shared" si="3"/>
        <v>0.16000000000000011</v>
      </c>
    </row>
    <row r="85" spans="2:13" x14ac:dyDescent="0.25">
      <c r="B85" s="7">
        <v>27.53</v>
      </c>
      <c r="J85" s="7">
        <v>21.89</v>
      </c>
      <c r="K85">
        <v>1</v>
      </c>
      <c r="L85">
        <f t="shared" si="2"/>
        <v>2E-3</v>
      </c>
      <c r="M85">
        <f t="shared" si="3"/>
        <v>0.16200000000000012</v>
      </c>
    </row>
    <row r="86" spans="2:13" x14ac:dyDescent="0.25">
      <c r="B86" s="7">
        <v>21.59</v>
      </c>
      <c r="J86" s="7">
        <v>21.89</v>
      </c>
      <c r="K86">
        <v>1</v>
      </c>
      <c r="L86">
        <f t="shared" si="2"/>
        <v>2E-3</v>
      </c>
      <c r="M86">
        <f t="shared" si="3"/>
        <v>0.16400000000000012</v>
      </c>
    </row>
    <row r="87" spans="2:13" x14ac:dyDescent="0.25">
      <c r="B87" s="7">
        <v>23.17</v>
      </c>
      <c r="J87" s="7">
        <v>21.9</v>
      </c>
      <c r="K87">
        <v>1</v>
      </c>
      <c r="L87">
        <f t="shared" si="2"/>
        <v>2E-3</v>
      </c>
      <c r="M87">
        <f t="shared" si="3"/>
        <v>0.16600000000000012</v>
      </c>
    </row>
    <row r="88" spans="2:13" x14ac:dyDescent="0.25">
      <c r="B88" s="7">
        <v>27.4</v>
      </c>
      <c r="J88" s="7">
        <v>21.92</v>
      </c>
      <c r="K88">
        <v>1</v>
      </c>
      <c r="L88">
        <f t="shared" si="2"/>
        <v>2E-3</v>
      </c>
      <c r="M88">
        <f t="shared" si="3"/>
        <v>0.16800000000000012</v>
      </c>
    </row>
    <row r="89" spans="2:13" x14ac:dyDescent="0.25">
      <c r="B89" s="7">
        <v>29.39</v>
      </c>
      <c r="J89" s="7">
        <v>21.93</v>
      </c>
      <c r="K89">
        <v>1</v>
      </c>
      <c r="L89">
        <f t="shared" si="2"/>
        <v>2E-3</v>
      </c>
      <c r="M89">
        <f t="shared" si="3"/>
        <v>0.17000000000000012</v>
      </c>
    </row>
    <row r="90" spans="2:13" x14ac:dyDescent="0.25">
      <c r="B90" s="7">
        <v>23.84</v>
      </c>
      <c r="J90" s="7">
        <v>21.94</v>
      </c>
      <c r="K90">
        <v>1</v>
      </c>
      <c r="L90">
        <f t="shared" si="2"/>
        <v>2E-3</v>
      </c>
      <c r="M90">
        <f t="shared" si="3"/>
        <v>0.17200000000000013</v>
      </c>
    </row>
    <row r="91" spans="2:13" x14ac:dyDescent="0.25">
      <c r="B91" s="7">
        <v>23.57</v>
      </c>
      <c r="J91" s="7">
        <v>21.99</v>
      </c>
      <c r="K91">
        <v>1</v>
      </c>
      <c r="L91">
        <f t="shared" si="2"/>
        <v>2E-3</v>
      </c>
      <c r="M91">
        <f t="shared" si="3"/>
        <v>0.17400000000000013</v>
      </c>
    </row>
    <row r="92" spans="2:13" x14ac:dyDescent="0.25">
      <c r="B92" s="7">
        <v>29.8</v>
      </c>
      <c r="J92" s="7">
        <v>22.03</v>
      </c>
      <c r="K92">
        <v>1</v>
      </c>
      <c r="L92">
        <f t="shared" si="2"/>
        <v>2E-3</v>
      </c>
      <c r="M92">
        <f t="shared" si="3"/>
        <v>0.17600000000000013</v>
      </c>
    </row>
    <row r="93" spans="2:13" x14ac:dyDescent="0.25">
      <c r="B93" s="7">
        <v>23.43</v>
      </c>
      <c r="J93" s="7">
        <v>22.06</v>
      </c>
      <c r="K93">
        <v>1</v>
      </c>
      <c r="L93">
        <f t="shared" si="2"/>
        <v>2E-3</v>
      </c>
      <c r="M93">
        <f t="shared" si="3"/>
        <v>0.17800000000000013</v>
      </c>
    </row>
    <row r="94" spans="2:13" x14ac:dyDescent="0.25">
      <c r="B94" s="7">
        <v>25.11</v>
      </c>
      <c r="J94" s="7">
        <v>22.06</v>
      </c>
      <c r="K94">
        <v>1</v>
      </c>
      <c r="L94">
        <f t="shared" si="2"/>
        <v>2E-3</v>
      </c>
      <c r="M94">
        <f t="shared" si="3"/>
        <v>0.18000000000000013</v>
      </c>
    </row>
    <row r="95" spans="2:13" x14ac:dyDescent="0.25">
      <c r="B95" s="7">
        <v>25.28</v>
      </c>
      <c r="J95" s="7">
        <v>22.15</v>
      </c>
      <c r="K95">
        <v>1</v>
      </c>
      <c r="L95">
        <f t="shared" si="2"/>
        <v>2E-3</v>
      </c>
      <c r="M95">
        <f t="shared" si="3"/>
        <v>0.18200000000000013</v>
      </c>
    </row>
    <row r="96" spans="2:13" x14ac:dyDescent="0.25">
      <c r="B96" s="7">
        <v>24.77</v>
      </c>
      <c r="J96" s="7">
        <v>22.16</v>
      </c>
      <c r="K96">
        <v>1</v>
      </c>
      <c r="L96">
        <f t="shared" si="2"/>
        <v>2E-3</v>
      </c>
      <c r="M96">
        <f t="shared" si="3"/>
        <v>0.18400000000000014</v>
      </c>
    </row>
    <row r="97" spans="2:13" x14ac:dyDescent="0.25">
      <c r="B97" s="7">
        <v>22.28</v>
      </c>
      <c r="J97" s="7">
        <v>22.2</v>
      </c>
      <c r="K97">
        <v>1</v>
      </c>
      <c r="L97">
        <f t="shared" si="2"/>
        <v>2E-3</v>
      </c>
      <c r="M97">
        <f t="shared" si="3"/>
        <v>0.18600000000000014</v>
      </c>
    </row>
    <row r="98" spans="2:13" x14ac:dyDescent="0.25">
      <c r="B98" s="7">
        <v>24.81</v>
      </c>
      <c r="J98" s="7">
        <v>22.21</v>
      </c>
      <c r="K98">
        <v>1</v>
      </c>
      <c r="L98">
        <f t="shared" si="2"/>
        <v>2E-3</v>
      </c>
      <c r="M98">
        <f t="shared" si="3"/>
        <v>0.18800000000000014</v>
      </c>
    </row>
    <row r="99" spans="2:13" x14ac:dyDescent="0.25">
      <c r="B99" s="7">
        <v>29.33</v>
      </c>
      <c r="J99" s="7">
        <v>22.23</v>
      </c>
      <c r="K99">
        <v>1</v>
      </c>
      <c r="L99">
        <f t="shared" si="2"/>
        <v>2E-3</v>
      </c>
      <c r="M99">
        <f t="shared" si="3"/>
        <v>0.19000000000000014</v>
      </c>
    </row>
    <row r="100" spans="2:13" x14ac:dyDescent="0.25">
      <c r="B100" s="7">
        <v>22.87</v>
      </c>
      <c r="J100" s="7">
        <v>22.25</v>
      </c>
      <c r="K100">
        <v>1</v>
      </c>
      <c r="L100">
        <f t="shared" si="2"/>
        <v>2E-3</v>
      </c>
      <c r="M100">
        <f t="shared" si="3"/>
        <v>0.19200000000000014</v>
      </c>
    </row>
    <row r="101" spans="2:13" x14ac:dyDescent="0.25">
      <c r="B101" s="7">
        <v>28.33</v>
      </c>
      <c r="J101" s="7">
        <v>22.26</v>
      </c>
      <c r="K101">
        <v>1</v>
      </c>
      <c r="L101">
        <f t="shared" si="2"/>
        <v>2E-3</v>
      </c>
      <c r="M101">
        <f t="shared" si="3"/>
        <v>0.19400000000000014</v>
      </c>
    </row>
    <row r="102" spans="2:13" x14ac:dyDescent="0.25">
      <c r="B102" s="7">
        <v>20.7</v>
      </c>
      <c r="J102" s="7">
        <v>22.27</v>
      </c>
      <c r="K102">
        <v>1</v>
      </c>
      <c r="L102">
        <f t="shared" si="2"/>
        <v>2E-3</v>
      </c>
      <c r="M102">
        <f t="shared" si="3"/>
        <v>0.19600000000000015</v>
      </c>
    </row>
    <row r="103" spans="2:13" x14ac:dyDescent="0.25">
      <c r="B103" s="7">
        <v>23.22</v>
      </c>
      <c r="J103" s="7">
        <v>22.28</v>
      </c>
      <c r="K103">
        <v>1</v>
      </c>
      <c r="L103">
        <f t="shared" si="2"/>
        <v>2E-3</v>
      </c>
      <c r="M103">
        <f t="shared" si="3"/>
        <v>0.19800000000000015</v>
      </c>
    </row>
    <row r="104" spans="2:13" x14ac:dyDescent="0.25">
      <c r="B104" s="7">
        <v>23.91</v>
      </c>
      <c r="J104" s="7">
        <v>22.28</v>
      </c>
      <c r="K104">
        <v>1</v>
      </c>
      <c r="L104">
        <f t="shared" si="2"/>
        <v>2E-3</v>
      </c>
      <c r="M104">
        <f t="shared" si="3"/>
        <v>0.20000000000000015</v>
      </c>
    </row>
    <row r="105" spans="2:13" x14ac:dyDescent="0.25">
      <c r="B105" s="7">
        <v>20.41</v>
      </c>
      <c r="J105" s="7">
        <v>22.31</v>
      </c>
      <c r="K105">
        <v>1</v>
      </c>
      <c r="L105">
        <f t="shared" si="2"/>
        <v>2E-3</v>
      </c>
      <c r="M105">
        <f t="shared" si="3"/>
        <v>0.20200000000000015</v>
      </c>
    </row>
    <row r="106" spans="2:13" x14ac:dyDescent="0.25">
      <c r="B106" s="7">
        <v>25.8</v>
      </c>
      <c r="J106" s="7">
        <v>22.31</v>
      </c>
      <c r="K106">
        <v>1</v>
      </c>
      <c r="L106">
        <f t="shared" si="2"/>
        <v>2E-3</v>
      </c>
      <c r="M106">
        <f t="shared" si="3"/>
        <v>0.20400000000000015</v>
      </c>
    </row>
    <row r="107" spans="2:13" x14ac:dyDescent="0.25">
      <c r="B107" s="7">
        <v>31.45</v>
      </c>
      <c r="J107" s="7">
        <v>22.4</v>
      </c>
      <c r="K107">
        <v>1</v>
      </c>
      <c r="L107">
        <f t="shared" si="2"/>
        <v>2E-3</v>
      </c>
      <c r="M107">
        <f t="shared" si="3"/>
        <v>0.20600000000000016</v>
      </c>
    </row>
    <row r="108" spans="2:13" x14ac:dyDescent="0.25">
      <c r="B108" s="7">
        <v>24.2</v>
      </c>
      <c r="J108" s="7">
        <v>22.45</v>
      </c>
      <c r="K108">
        <v>1</v>
      </c>
      <c r="L108">
        <f t="shared" si="2"/>
        <v>2E-3</v>
      </c>
      <c r="M108">
        <f t="shared" si="3"/>
        <v>0.20800000000000016</v>
      </c>
    </row>
    <row r="109" spans="2:13" x14ac:dyDescent="0.25">
      <c r="B109" s="7">
        <v>23.66</v>
      </c>
      <c r="J109" s="7">
        <v>22.45</v>
      </c>
      <c r="K109">
        <v>1</v>
      </c>
      <c r="L109">
        <f t="shared" si="2"/>
        <v>2E-3</v>
      </c>
      <c r="M109">
        <f t="shared" si="3"/>
        <v>0.21000000000000016</v>
      </c>
    </row>
    <row r="110" spans="2:13" x14ac:dyDescent="0.25">
      <c r="B110" s="7">
        <v>21.61</v>
      </c>
      <c r="J110" s="7">
        <v>22.46</v>
      </c>
      <c r="K110">
        <v>1</v>
      </c>
      <c r="L110">
        <f t="shared" si="2"/>
        <v>2E-3</v>
      </c>
      <c r="M110">
        <f t="shared" si="3"/>
        <v>0.21200000000000016</v>
      </c>
    </row>
    <row r="111" spans="2:13" x14ac:dyDescent="0.25">
      <c r="B111" s="7">
        <v>21.75</v>
      </c>
      <c r="J111" s="7">
        <v>22.46</v>
      </c>
      <c r="K111">
        <v>1</v>
      </c>
      <c r="L111">
        <f t="shared" si="2"/>
        <v>2E-3</v>
      </c>
      <c r="M111">
        <f t="shared" si="3"/>
        <v>0.21400000000000016</v>
      </c>
    </row>
    <row r="112" spans="2:13" x14ac:dyDescent="0.25">
      <c r="B112" s="7">
        <v>26.65</v>
      </c>
      <c r="J112" s="7">
        <v>22.47</v>
      </c>
      <c r="K112">
        <v>1</v>
      </c>
      <c r="L112">
        <f t="shared" si="2"/>
        <v>2E-3</v>
      </c>
      <c r="M112">
        <f t="shared" si="3"/>
        <v>0.21600000000000016</v>
      </c>
    </row>
    <row r="113" spans="2:13" x14ac:dyDescent="0.25">
      <c r="B113" s="7">
        <v>22.28</v>
      </c>
      <c r="J113" s="7">
        <v>22.48</v>
      </c>
      <c r="K113">
        <v>1</v>
      </c>
      <c r="L113">
        <f t="shared" si="2"/>
        <v>2E-3</v>
      </c>
      <c r="M113">
        <f t="shared" si="3"/>
        <v>0.21800000000000017</v>
      </c>
    </row>
    <row r="114" spans="2:13" x14ac:dyDescent="0.25">
      <c r="B114" s="7">
        <v>27.21</v>
      </c>
      <c r="J114" s="7">
        <v>22.49</v>
      </c>
      <c r="K114">
        <v>1</v>
      </c>
      <c r="L114">
        <f t="shared" si="2"/>
        <v>2E-3</v>
      </c>
      <c r="M114">
        <f t="shared" si="3"/>
        <v>0.22000000000000017</v>
      </c>
    </row>
    <row r="115" spans="2:13" x14ac:dyDescent="0.25">
      <c r="B115" s="7">
        <v>27.83</v>
      </c>
      <c r="J115" s="7">
        <v>22.49</v>
      </c>
      <c r="K115">
        <v>1</v>
      </c>
      <c r="L115">
        <f t="shared" si="2"/>
        <v>2E-3</v>
      </c>
      <c r="M115">
        <f t="shared" si="3"/>
        <v>0.22200000000000017</v>
      </c>
    </row>
    <row r="116" spans="2:13" x14ac:dyDescent="0.25">
      <c r="B116" s="7">
        <v>22.27</v>
      </c>
      <c r="J116" s="7">
        <v>22.51</v>
      </c>
      <c r="K116">
        <v>1</v>
      </c>
      <c r="L116">
        <f t="shared" si="2"/>
        <v>2E-3</v>
      </c>
      <c r="M116">
        <f t="shared" si="3"/>
        <v>0.22400000000000017</v>
      </c>
    </row>
    <row r="117" spans="2:13" x14ac:dyDescent="0.25">
      <c r="B117" s="7">
        <v>20.58</v>
      </c>
      <c r="J117" s="7">
        <v>22.57</v>
      </c>
      <c r="K117">
        <v>1</v>
      </c>
      <c r="L117">
        <f t="shared" si="2"/>
        <v>2E-3</v>
      </c>
      <c r="M117">
        <f t="shared" si="3"/>
        <v>0.22600000000000017</v>
      </c>
    </row>
    <row r="118" spans="2:13" x14ac:dyDescent="0.25">
      <c r="B118" s="7">
        <v>24.55</v>
      </c>
      <c r="J118" s="7">
        <v>22.59</v>
      </c>
      <c r="K118">
        <v>1</v>
      </c>
      <c r="L118">
        <f t="shared" si="2"/>
        <v>2E-3</v>
      </c>
      <c r="M118">
        <f t="shared" si="3"/>
        <v>0.22800000000000017</v>
      </c>
    </row>
    <row r="119" spans="2:13" x14ac:dyDescent="0.25">
      <c r="B119" s="7">
        <v>19.93</v>
      </c>
      <c r="J119" s="7">
        <v>22.6</v>
      </c>
      <c r="K119">
        <v>1</v>
      </c>
      <c r="L119">
        <f t="shared" si="2"/>
        <v>2E-3</v>
      </c>
      <c r="M119">
        <f t="shared" si="3"/>
        <v>0.23000000000000018</v>
      </c>
    </row>
    <row r="120" spans="2:13" x14ac:dyDescent="0.25">
      <c r="B120" s="7">
        <v>21.04</v>
      </c>
      <c r="J120" s="7">
        <v>22.61</v>
      </c>
      <c r="K120">
        <v>1</v>
      </c>
      <c r="L120">
        <f t="shared" si="2"/>
        <v>2E-3</v>
      </c>
      <c r="M120">
        <f t="shared" si="3"/>
        <v>0.23200000000000018</v>
      </c>
    </row>
    <row r="121" spans="2:13" x14ac:dyDescent="0.25">
      <c r="B121" s="7">
        <v>27.85</v>
      </c>
      <c r="J121" s="7">
        <v>22.68</v>
      </c>
      <c r="K121">
        <v>1</v>
      </c>
      <c r="L121">
        <f t="shared" si="2"/>
        <v>2E-3</v>
      </c>
      <c r="M121">
        <f t="shared" si="3"/>
        <v>0.23400000000000018</v>
      </c>
    </row>
    <row r="122" spans="2:13" x14ac:dyDescent="0.25">
      <c r="B122" s="7">
        <v>20.87</v>
      </c>
      <c r="J122" s="7">
        <v>22.69</v>
      </c>
      <c r="K122">
        <v>1</v>
      </c>
      <c r="L122">
        <f t="shared" si="2"/>
        <v>2E-3</v>
      </c>
      <c r="M122">
        <f t="shared" si="3"/>
        <v>0.23600000000000018</v>
      </c>
    </row>
    <row r="123" spans="2:13" x14ac:dyDescent="0.25">
      <c r="B123" s="7">
        <v>21.62</v>
      </c>
      <c r="J123" s="7">
        <v>22.69</v>
      </c>
      <c r="K123">
        <v>1</v>
      </c>
      <c r="L123">
        <f t="shared" si="2"/>
        <v>2E-3</v>
      </c>
      <c r="M123">
        <f t="shared" si="3"/>
        <v>0.23800000000000018</v>
      </c>
    </row>
    <row r="124" spans="2:13" x14ac:dyDescent="0.25">
      <c r="B124" s="7">
        <v>24.75</v>
      </c>
      <c r="J124" s="7">
        <v>22.71</v>
      </c>
      <c r="K124">
        <v>1</v>
      </c>
      <c r="L124">
        <f t="shared" si="2"/>
        <v>2E-3</v>
      </c>
      <c r="M124">
        <f t="shared" si="3"/>
        <v>0.24000000000000019</v>
      </c>
    </row>
    <row r="125" spans="2:13" x14ac:dyDescent="0.25">
      <c r="B125" s="7">
        <v>27.6</v>
      </c>
      <c r="J125" s="7">
        <v>22.71</v>
      </c>
      <c r="K125">
        <v>1</v>
      </c>
      <c r="L125">
        <f t="shared" si="2"/>
        <v>2E-3</v>
      </c>
      <c r="M125">
        <f t="shared" si="3"/>
        <v>0.24200000000000019</v>
      </c>
    </row>
    <row r="126" spans="2:13" x14ac:dyDescent="0.25">
      <c r="B126" s="7">
        <v>29.25</v>
      </c>
      <c r="J126" s="7">
        <v>22.73</v>
      </c>
      <c r="K126">
        <v>1</v>
      </c>
      <c r="L126">
        <f t="shared" si="2"/>
        <v>2E-3</v>
      </c>
      <c r="M126">
        <f t="shared" si="3"/>
        <v>0.24400000000000019</v>
      </c>
    </row>
    <row r="127" spans="2:13" x14ac:dyDescent="0.25">
      <c r="B127" s="7">
        <v>21.34</v>
      </c>
      <c r="J127" s="7">
        <v>22.73</v>
      </c>
      <c r="K127">
        <v>1</v>
      </c>
      <c r="L127">
        <f t="shared" si="2"/>
        <v>2E-3</v>
      </c>
      <c r="M127">
        <f t="shared" si="3"/>
        <v>0.24600000000000019</v>
      </c>
    </row>
    <row r="128" spans="2:13" x14ac:dyDescent="0.25">
      <c r="B128" s="7">
        <v>25.93</v>
      </c>
      <c r="J128" s="7">
        <v>22.77</v>
      </c>
      <c r="K128">
        <v>1</v>
      </c>
      <c r="L128">
        <f t="shared" si="2"/>
        <v>2E-3</v>
      </c>
      <c r="M128">
        <f t="shared" si="3"/>
        <v>0.24800000000000019</v>
      </c>
    </row>
    <row r="129" spans="2:13" x14ac:dyDescent="0.25">
      <c r="B129" s="7">
        <v>23.45</v>
      </c>
      <c r="J129" s="7">
        <v>22.83</v>
      </c>
      <c r="K129">
        <v>1</v>
      </c>
      <c r="L129">
        <f t="shared" si="2"/>
        <v>2E-3</v>
      </c>
      <c r="M129">
        <f t="shared" si="3"/>
        <v>0.25000000000000017</v>
      </c>
    </row>
    <row r="130" spans="2:13" x14ac:dyDescent="0.25">
      <c r="B130" s="7">
        <v>27.22</v>
      </c>
      <c r="J130" s="7">
        <v>22.84</v>
      </c>
      <c r="K130">
        <v>1</v>
      </c>
      <c r="L130">
        <f t="shared" si="2"/>
        <v>2E-3</v>
      </c>
      <c r="M130">
        <f t="shared" si="3"/>
        <v>0.25200000000000017</v>
      </c>
    </row>
    <row r="131" spans="2:13" x14ac:dyDescent="0.25">
      <c r="B131" s="7">
        <v>28.82</v>
      </c>
      <c r="J131" s="7">
        <v>22.87</v>
      </c>
      <c r="K131">
        <v>1</v>
      </c>
      <c r="L131">
        <f t="shared" si="2"/>
        <v>2E-3</v>
      </c>
      <c r="M131">
        <f t="shared" si="3"/>
        <v>0.25400000000000017</v>
      </c>
    </row>
    <row r="132" spans="2:13" x14ac:dyDescent="0.25">
      <c r="B132" s="7">
        <v>23.01</v>
      </c>
      <c r="J132" s="7">
        <v>22.88</v>
      </c>
      <c r="K132">
        <v>1</v>
      </c>
      <c r="L132">
        <f t="shared" si="2"/>
        <v>2E-3</v>
      </c>
      <c r="M132">
        <f t="shared" si="3"/>
        <v>0.25600000000000017</v>
      </c>
    </row>
    <row r="133" spans="2:13" x14ac:dyDescent="0.25">
      <c r="B133" s="7">
        <v>24.8</v>
      </c>
      <c r="J133" s="7">
        <v>22.93</v>
      </c>
      <c r="K133">
        <v>1</v>
      </c>
      <c r="L133">
        <f t="shared" si="2"/>
        <v>2E-3</v>
      </c>
      <c r="M133">
        <f t="shared" si="3"/>
        <v>0.25800000000000017</v>
      </c>
    </row>
    <row r="134" spans="2:13" x14ac:dyDescent="0.25">
      <c r="B134" s="7">
        <v>29.73</v>
      </c>
      <c r="J134" s="7">
        <v>22.94</v>
      </c>
      <c r="K134">
        <v>1</v>
      </c>
      <c r="L134">
        <f t="shared" ref="L134:L197" si="4">K134/$E$20</f>
        <v>2E-3</v>
      </c>
      <c r="M134">
        <f t="shared" si="3"/>
        <v>0.26000000000000018</v>
      </c>
    </row>
    <row r="135" spans="2:13" x14ac:dyDescent="0.25">
      <c r="B135" s="7">
        <v>26.56</v>
      </c>
      <c r="J135" s="7">
        <v>22.95</v>
      </c>
      <c r="K135">
        <v>1</v>
      </c>
      <c r="L135">
        <f t="shared" si="4"/>
        <v>2E-3</v>
      </c>
      <c r="M135">
        <f t="shared" ref="M135:M198" si="5">M134+L135</f>
        <v>0.26200000000000018</v>
      </c>
    </row>
    <row r="136" spans="2:13" x14ac:dyDescent="0.25">
      <c r="B136" s="7">
        <v>27.43</v>
      </c>
      <c r="J136" s="7">
        <v>22.98</v>
      </c>
      <c r="K136">
        <v>1</v>
      </c>
      <c r="L136">
        <f t="shared" si="4"/>
        <v>2E-3</v>
      </c>
      <c r="M136">
        <f t="shared" si="5"/>
        <v>0.26400000000000018</v>
      </c>
    </row>
    <row r="137" spans="2:13" x14ac:dyDescent="0.25">
      <c r="B137" s="7">
        <v>23.98</v>
      </c>
      <c r="J137" s="7">
        <v>23.01</v>
      </c>
      <c r="K137">
        <v>1</v>
      </c>
      <c r="L137">
        <f t="shared" si="4"/>
        <v>2E-3</v>
      </c>
      <c r="M137">
        <f t="shared" si="5"/>
        <v>0.26600000000000018</v>
      </c>
    </row>
    <row r="138" spans="2:13" x14ac:dyDescent="0.25">
      <c r="B138" s="7">
        <v>27.23</v>
      </c>
      <c r="J138" s="7">
        <v>23.04</v>
      </c>
      <c r="K138">
        <v>1</v>
      </c>
      <c r="L138">
        <f t="shared" si="4"/>
        <v>2E-3</v>
      </c>
      <c r="M138">
        <f t="shared" si="5"/>
        <v>0.26800000000000018</v>
      </c>
    </row>
    <row r="139" spans="2:13" x14ac:dyDescent="0.25">
      <c r="B139" s="7">
        <v>25.62</v>
      </c>
      <c r="J139" s="7">
        <v>23.07</v>
      </c>
      <c r="K139">
        <v>1</v>
      </c>
      <c r="L139">
        <f t="shared" si="4"/>
        <v>2E-3</v>
      </c>
      <c r="M139">
        <f t="shared" si="5"/>
        <v>0.27000000000000018</v>
      </c>
    </row>
    <row r="140" spans="2:13" x14ac:dyDescent="0.25">
      <c r="B140" s="7">
        <v>23.74</v>
      </c>
      <c r="J140" s="7">
        <v>23.08</v>
      </c>
      <c r="K140">
        <v>1</v>
      </c>
      <c r="L140">
        <f t="shared" si="4"/>
        <v>2E-3</v>
      </c>
      <c r="M140">
        <f t="shared" si="5"/>
        <v>0.27200000000000019</v>
      </c>
    </row>
    <row r="141" spans="2:13" x14ac:dyDescent="0.25">
      <c r="B141" s="7">
        <v>22.93</v>
      </c>
      <c r="J141" s="7">
        <v>23.08</v>
      </c>
      <c r="K141">
        <v>1</v>
      </c>
      <c r="L141">
        <f t="shared" si="4"/>
        <v>2E-3</v>
      </c>
      <c r="M141">
        <f t="shared" si="5"/>
        <v>0.27400000000000019</v>
      </c>
    </row>
    <row r="142" spans="2:13" x14ac:dyDescent="0.25">
      <c r="B142" s="7">
        <v>23.2</v>
      </c>
      <c r="J142" s="7">
        <v>23.1</v>
      </c>
      <c r="K142">
        <v>1</v>
      </c>
      <c r="L142">
        <f t="shared" si="4"/>
        <v>2E-3</v>
      </c>
      <c r="M142">
        <f t="shared" si="5"/>
        <v>0.27600000000000019</v>
      </c>
    </row>
    <row r="143" spans="2:13" x14ac:dyDescent="0.25">
      <c r="B143" s="7">
        <v>25.69</v>
      </c>
      <c r="J143" s="7">
        <v>23.11</v>
      </c>
      <c r="K143">
        <v>1</v>
      </c>
      <c r="L143">
        <f t="shared" si="4"/>
        <v>2E-3</v>
      </c>
      <c r="M143">
        <f t="shared" si="5"/>
        <v>0.27800000000000019</v>
      </c>
    </row>
    <row r="144" spans="2:13" x14ac:dyDescent="0.25">
      <c r="B144" s="7">
        <v>30.13</v>
      </c>
      <c r="J144" s="7">
        <v>23.12</v>
      </c>
      <c r="K144">
        <v>1</v>
      </c>
      <c r="L144">
        <f t="shared" si="4"/>
        <v>2E-3</v>
      </c>
      <c r="M144">
        <f t="shared" si="5"/>
        <v>0.28000000000000019</v>
      </c>
    </row>
    <row r="145" spans="2:13" x14ac:dyDescent="0.25">
      <c r="B145" s="7">
        <v>27.92</v>
      </c>
      <c r="J145" s="7">
        <v>23.14</v>
      </c>
      <c r="K145">
        <v>1</v>
      </c>
      <c r="L145">
        <f t="shared" si="4"/>
        <v>2E-3</v>
      </c>
      <c r="M145">
        <f t="shared" si="5"/>
        <v>0.28200000000000019</v>
      </c>
    </row>
    <row r="146" spans="2:13" x14ac:dyDescent="0.25">
      <c r="B146" s="7">
        <v>18.38</v>
      </c>
      <c r="J146" s="7">
        <v>23.17</v>
      </c>
      <c r="K146">
        <v>1</v>
      </c>
      <c r="L146">
        <f t="shared" si="4"/>
        <v>2E-3</v>
      </c>
      <c r="M146">
        <f t="shared" si="5"/>
        <v>0.2840000000000002</v>
      </c>
    </row>
    <row r="147" spans="2:13" x14ac:dyDescent="0.25">
      <c r="B147" s="7">
        <v>23.52</v>
      </c>
      <c r="J147" s="7">
        <v>23.18</v>
      </c>
      <c r="K147">
        <v>1</v>
      </c>
      <c r="L147">
        <f t="shared" si="4"/>
        <v>2E-3</v>
      </c>
      <c r="M147">
        <f t="shared" si="5"/>
        <v>0.2860000000000002</v>
      </c>
    </row>
    <row r="148" spans="2:13" x14ac:dyDescent="0.25">
      <c r="B148" s="7">
        <v>25.73</v>
      </c>
      <c r="J148" s="7">
        <v>23.19</v>
      </c>
      <c r="K148">
        <v>1</v>
      </c>
      <c r="L148">
        <f t="shared" si="4"/>
        <v>2E-3</v>
      </c>
      <c r="M148">
        <f t="shared" si="5"/>
        <v>0.2880000000000002</v>
      </c>
    </row>
    <row r="149" spans="2:13" x14ac:dyDescent="0.25">
      <c r="B149" s="7">
        <v>26.45</v>
      </c>
      <c r="J149" s="7">
        <v>23.2</v>
      </c>
      <c r="K149">
        <v>1</v>
      </c>
      <c r="L149">
        <f t="shared" si="4"/>
        <v>2E-3</v>
      </c>
      <c r="M149">
        <f t="shared" si="5"/>
        <v>0.2900000000000002</v>
      </c>
    </row>
    <row r="150" spans="2:13" x14ac:dyDescent="0.25">
      <c r="B150" s="7">
        <v>26.2</v>
      </c>
      <c r="J150" s="7">
        <v>23.22</v>
      </c>
      <c r="K150">
        <v>1</v>
      </c>
      <c r="L150">
        <f t="shared" si="4"/>
        <v>2E-3</v>
      </c>
      <c r="M150">
        <f t="shared" si="5"/>
        <v>0.2920000000000002</v>
      </c>
    </row>
    <row r="151" spans="2:13" x14ac:dyDescent="0.25">
      <c r="B151" s="7">
        <v>23.38</v>
      </c>
      <c r="J151" s="7">
        <v>23.22</v>
      </c>
      <c r="K151">
        <v>1</v>
      </c>
      <c r="L151">
        <f t="shared" si="4"/>
        <v>2E-3</v>
      </c>
      <c r="M151">
        <f t="shared" si="5"/>
        <v>0.29400000000000021</v>
      </c>
    </row>
    <row r="152" spans="2:13" x14ac:dyDescent="0.25">
      <c r="B152" s="7">
        <v>24.47</v>
      </c>
      <c r="J152" s="7">
        <v>23.22</v>
      </c>
      <c r="K152">
        <v>1</v>
      </c>
      <c r="L152">
        <f t="shared" si="4"/>
        <v>2E-3</v>
      </c>
      <c r="M152">
        <f t="shared" si="5"/>
        <v>0.29600000000000021</v>
      </c>
    </row>
    <row r="153" spans="2:13" x14ac:dyDescent="0.25">
      <c r="B153" s="7">
        <v>23.19</v>
      </c>
      <c r="J153" s="7">
        <v>23.23</v>
      </c>
      <c r="K153">
        <v>1</v>
      </c>
      <c r="L153">
        <f t="shared" si="4"/>
        <v>2E-3</v>
      </c>
      <c r="M153">
        <f t="shared" si="5"/>
        <v>0.29800000000000021</v>
      </c>
    </row>
    <row r="154" spans="2:13" x14ac:dyDescent="0.25">
      <c r="B154" s="7">
        <v>23.29</v>
      </c>
      <c r="J154" s="7">
        <v>23.24</v>
      </c>
      <c r="K154">
        <v>1</v>
      </c>
      <c r="L154">
        <f t="shared" si="4"/>
        <v>2E-3</v>
      </c>
      <c r="M154">
        <f t="shared" si="5"/>
        <v>0.30000000000000021</v>
      </c>
    </row>
    <row r="155" spans="2:13" x14ac:dyDescent="0.25">
      <c r="B155" s="7">
        <v>23.08</v>
      </c>
      <c r="J155" s="7">
        <v>23.26</v>
      </c>
      <c r="K155">
        <v>1</v>
      </c>
      <c r="L155">
        <f t="shared" si="4"/>
        <v>2E-3</v>
      </c>
      <c r="M155">
        <f t="shared" si="5"/>
        <v>0.30200000000000021</v>
      </c>
    </row>
    <row r="156" spans="2:13" x14ac:dyDescent="0.25">
      <c r="B156" s="7">
        <v>28.75</v>
      </c>
      <c r="J156" s="7">
        <v>23.29</v>
      </c>
      <c r="K156">
        <v>1</v>
      </c>
      <c r="L156">
        <f t="shared" si="4"/>
        <v>2E-3</v>
      </c>
      <c r="M156">
        <f t="shared" si="5"/>
        <v>0.30400000000000021</v>
      </c>
    </row>
    <row r="157" spans="2:13" x14ac:dyDescent="0.25">
      <c r="B157" s="7">
        <v>18.27</v>
      </c>
      <c r="J157" s="7">
        <v>23.29</v>
      </c>
      <c r="K157">
        <v>1</v>
      </c>
      <c r="L157">
        <f t="shared" si="4"/>
        <v>2E-3</v>
      </c>
      <c r="M157">
        <f t="shared" si="5"/>
        <v>0.30600000000000022</v>
      </c>
    </row>
    <row r="158" spans="2:13" x14ac:dyDescent="0.25">
      <c r="B158" s="7">
        <v>31.45</v>
      </c>
      <c r="J158" s="7">
        <v>23.31</v>
      </c>
      <c r="K158">
        <v>1</v>
      </c>
      <c r="L158">
        <f t="shared" si="4"/>
        <v>2E-3</v>
      </c>
      <c r="M158">
        <f t="shared" si="5"/>
        <v>0.30800000000000022</v>
      </c>
    </row>
    <row r="159" spans="2:13" x14ac:dyDescent="0.25">
      <c r="B159" s="7">
        <v>24.74</v>
      </c>
      <c r="J159" s="7">
        <v>23.35</v>
      </c>
      <c r="K159">
        <v>1</v>
      </c>
      <c r="L159">
        <f t="shared" si="4"/>
        <v>2E-3</v>
      </c>
      <c r="M159">
        <f t="shared" si="5"/>
        <v>0.31000000000000022</v>
      </c>
    </row>
    <row r="160" spans="2:13" x14ac:dyDescent="0.25">
      <c r="B160" s="7">
        <v>22.51</v>
      </c>
      <c r="J160" s="7">
        <v>23.36</v>
      </c>
      <c r="K160">
        <v>1</v>
      </c>
      <c r="L160">
        <f t="shared" si="4"/>
        <v>2E-3</v>
      </c>
      <c r="M160">
        <f t="shared" si="5"/>
        <v>0.31200000000000022</v>
      </c>
    </row>
    <row r="161" spans="2:13" x14ac:dyDescent="0.25">
      <c r="B161" s="7">
        <v>27.94</v>
      </c>
      <c r="J161" s="7">
        <v>23.37</v>
      </c>
      <c r="K161">
        <v>1</v>
      </c>
      <c r="L161">
        <f t="shared" si="4"/>
        <v>2E-3</v>
      </c>
      <c r="M161">
        <f t="shared" si="5"/>
        <v>0.31400000000000022</v>
      </c>
    </row>
    <row r="162" spans="2:13" x14ac:dyDescent="0.25">
      <c r="B162" s="7">
        <v>26.87</v>
      </c>
      <c r="J162" s="7">
        <v>23.38</v>
      </c>
      <c r="K162">
        <v>1</v>
      </c>
      <c r="L162">
        <f t="shared" si="4"/>
        <v>2E-3</v>
      </c>
      <c r="M162">
        <f t="shared" si="5"/>
        <v>0.31600000000000023</v>
      </c>
    </row>
    <row r="163" spans="2:13" x14ac:dyDescent="0.25">
      <c r="B163" s="7">
        <v>21.81</v>
      </c>
      <c r="J163" s="7">
        <v>23.38</v>
      </c>
      <c r="K163">
        <v>1</v>
      </c>
      <c r="L163">
        <f t="shared" si="4"/>
        <v>2E-3</v>
      </c>
      <c r="M163">
        <f t="shared" si="5"/>
        <v>0.31800000000000023</v>
      </c>
    </row>
    <row r="164" spans="2:13" x14ac:dyDescent="0.25">
      <c r="B164" s="7">
        <v>25.95</v>
      </c>
      <c r="J164" s="7">
        <v>23.39</v>
      </c>
      <c r="K164">
        <v>1</v>
      </c>
      <c r="L164">
        <f t="shared" si="4"/>
        <v>2E-3</v>
      </c>
      <c r="M164">
        <f t="shared" si="5"/>
        <v>0.32000000000000023</v>
      </c>
    </row>
    <row r="165" spans="2:13" x14ac:dyDescent="0.25">
      <c r="B165" s="7">
        <v>24.95</v>
      </c>
      <c r="J165" s="7">
        <v>23.39</v>
      </c>
      <c r="K165">
        <v>1</v>
      </c>
      <c r="L165">
        <f t="shared" si="4"/>
        <v>2E-3</v>
      </c>
      <c r="M165">
        <f t="shared" si="5"/>
        <v>0.32200000000000023</v>
      </c>
    </row>
    <row r="166" spans="2:13" x14ac:dyDescent="0.25">
      <c r="B166" s="7">
        <v>21.66</v>
      </c>
      <c r="J166" s="7">
        <v>23.39</v>
      </c>
      <c r="K166">
        <v>1</v>
      </c>
      <c r="L166">
        <f t="shared" si="4"/>
        <v>2E-3</v>
      </c>
      <c r="M166">
        <f t="shared" si="5"/>
        <v>0.32400000000000023</v>
      </c>
    </row>
    <row r="167" spans="2:13" x14ac:dyDescent="0.25">
      <c r="B167" s="7">
        <v>24.68</v>
      </c>
      <c r="J167" s="7">
        <v>23.4</v>
      </c>
      <c r="K167">
        <v>1</v>
      </c>
      <c r="L167">
        <f t="shared" si="4"/>
        <v>2E-3</v>
      </c>
      <c r="M167">
        <f t="shared" si="5"/>
        <v>0.32600000000000023</v>
      </c>
    </row>
    <row r="168" spans="2:13" x14ac:dyDescent="0.25">
      <c r="B168" s="7">
        <v>23.38</v>
      </c>
      <c r="J168" s="7">
        <v>23.43</v>
      </c>
      <c r="K168">
        <v>1</v>
      </c>
      <c r="L168">
        <f t="shared" si="4"/>
        <v>2E-3</v>
      </c>
      <c r="M168">
        <f t="shared" si="5"/>
        <v>0.32800000000000024</v>
      </c>
    </row>
    <row r="169" spans="2:13" x14ac:dyDescent="0.25">
      <c r="B169" s="7">
        <v>22.71</v>
      </c>
      <c r="J169" s="7">
        <v>23.43</v>
      </c>
      <c r="K169">
        <v>1</v>
      </c>
      <c r="L169">
        <f t="shared" si="4"/>
        <v>2E-3</v>
      </c>
      <c r="M169">
        <f t="shared" si="5"/>
        <v>0.33000000000000024</v>
      </c>
    </row>
    <row r="170" spans="2:13" x14ac:dyDescent="0.25">
      <c r="B170" s="7">
        <v>17</v>
      </c>
      <c r="J170" s="7">
        <v>23.43</v>
      </c>
      <c r="K170">
        <v>1</v>
      </c>
      <c r="L170">
        <f t="shared" si="4"/>
        <v>2E-3</v>
      </c>
      <c r="M170">
        <f t="shared" si="5"/>
        <v>0.33200000000000024</v>
      </c>
    </row>
    <row r="171" spans="2:13" x14ac:dyDescent="0.25">
      <c r="B171" s="7">
        <v>27.68</v>
      </c>
      <c r="J171" s="7">
        <v>23.44</v>
      </c>
      <c r="K171">
        <v>1</v>
      </c>
      <c r="L171">
        <f t="shared" si="4"/>
        <v>2E-3</v>
      </c>
      <c r="M171">
        <f t="shared" si="5"/>
        <v>0.33400000000000024</v>
      </c>
    </row>
    <row r="172" spans="2:13" x14ac:dyDescent="0.25">
      <c r="B172" s="7">
        <v>28.25</v>
      </c>
      <c r="J172" s="7">
        <v>23.45</v>
      </c>
      <c r="K172">
        <v>1</v>
      </c>
      <c r="L172">
        <f t="shared" si="4"/>
        <v>2E-3</v>
      </c>
      <c r="M172">
        <f t="shared" si="5"/>
        <v>0.33600000000000024</v>
      </c>
    </row>
    <row r="173" spans="2:13" x14ac:dyDescent="0.25">
      <c r="B173" s="7">
        <v>30.42</v>
      </c>
      <c r="J173" s="7">
        <v>23.46</v>
      </c>
      <c r="K173">
        <v>1</v>
      </c>
      <c r="L173">
        <f t="shared" si="4"/>
        <v>2E-3</v>
      </c>
      <c r="M173">
        <f t="shared" si="5"/>
        <v>0.33800000000000024</v>
      </c>
    </row>
    <row r="174" spans="2:13" x14ac:dyDescent="0.25">
      <c r="B174" s="7">
        <v>24.16</v>
      </c>
      <c r="J174" s="7">
        <v>23.47</v>
      </c>
      <c r="K174">
        <v>1</v>
      </c>
      <c r="L174">
        <f t="shared" si="4"/>
        <v>2E-3</v>
      </c>
      <c r="M174">
        <f t="shared" si="5"/>
        <v>0.34000000000000025</v>
      </c>
    </row>
    <row r="175" spans="2:13" x14ac:dyDescent="0.25">
      <c r="B175" s="7">
        <v>15.16</v>
      </c>
      <c r="J175" s="7">
        <v>23.49</v>
      </c>
      <c r="K175">
        <v>1</v>
      </c>
      <c r="L175">
        <f t="shared" si="4"/>
        <v>2E-3</v>
      </c>
      <c r="M175">
        <f t="shared" si="5"/>
        <v>0.34200000000000025</v>
      </c>
    </row>
    <row r="176" spans="2:13" x14ac:dyDescent="0.25">
      <c r="B176" s="7">
        <v>26.77</v>
      </c>
      <c r="J176" s="7">
        <v>23.52</v>
      </c>
      <c r="K176">
        <v>1</v>
      </c>
      <c r="L176">
        <f t="shared" si="4"/>
        <v>2E-3</v>
      </c>
      <c r="M176">
        <f t="shared" si="5"/>
        <v>0.34400000000000025</v>
      </c>
    </row>
    <row r="177" spans="2:13" x14ac:dyDescent="0.25">
      <c r="B177" s="7">
        <v>27.09</v>
      </c>
      <c r="J177" s="7">
        <v>23.53</v>
      </c>
      <c r="K177">
        <v>1</v>
      </c>
      <c r="L177">
        <f t="shared" si="4"/>
        <v>2E-3</v>
      </c>
      <c r="M177">
        <f t="shared" si="5"/>
        <v>0.34600000000000025</v>
      </c>
    </row>
    <row r="178" spans="2:13" x14ac:dyDescent="0.25">
      <c r="B178" s="7">
        <v>31.54</v>
      </c>
      <c r="J178" s="7">
        <v>23.55</v>
      </c>
      <c r="K178">
        <v>1</v>
      </c>
      <c r="L178">
        <f t="shared" si="4"/>
        <v>2E-3</v>
      </c>
      <c r="M178">
        <f t="shared" si="5"/>
        <v>0.34800000000000025</v>
      </c>
    </row>
    <row r="179" spans="2:13" x14ac:dyDescent="0.25">
      <c r="B179" s="7">
        <v>18.28</v>
      </c>
      <c r="J179" s="7">
        <v>23.56</v>
      </c>
      <c r="K179">
        <v>1</v>
      </c>
      <c r="L179">
        <f t="shared" si="4"/>
        <v>2E-3</v>
      </c>
      <c r="M179">
        <f t="shared" si="5"/>
        <v>0.35000000000000026</v>
      </c>
    </row>
    <row r="180" spans="2:13" x14ac:dyDescent="0.25">
      <c r="B180" s="7">
        <v>21.93</v>
      </c>
      <c r="J180" s="7">
        <v>23.57</v>
      </c>
      <c r="K180">
        <v>1</v>
      </c>
      <c r="L180">
        <f t="shared" si="4"/>
        <v>2E-3</v>
      </c>
      <c r="M180">
        <f t="shared" si="5"/>
        <v>0.35200000000000026</v>
      </c>
    </row>
    <row r="181" spans="2:13" x14ac:dyDescent="0.25">
      <c r="B181" s="7">
        <v>24.84</v>
      </c>
      <c r="J181" s="7">
        <v>23.59</v>
      </c>
      <c r="K181">
        <v>1</v>
      </c>
      <c r="L181">
        <f t="shared" si="4"/>
        <v>2E-3</v>
      </c>
      <c r="M181">
        <f t="shared" si="5"/>
        <v>0.35400000000000026</v>
      </c>
    </row>
    <row r="182" spans="2:13" x14ac:dyDescent="0.25">
      <c r="B182" s="7">
        <v>25.22</v>
      </c>
      <c r="J182" s="7">
        <v>23.59</v>
      </c>
      <c r="K182">
        <v>1</v>
      </c>
      <c r="L182">
        <f t="shared" si="4"/>
        <v>2E-3</v>
      </c>
      <c r="M182">
        <f t="shared" si="5"/>
        <v>0.35600000000000026</v>
      </c>
    </row>
    <row r="183" spans="2:13" x14ac:dyDescent="0.25">
      <c r="B183" s="7">
        <v>14.31</v>
      </c>
      <c r="J183" s="7">
        <v>23.65</v>
      </c>
      <c r="K183">
        <v>1</v>
      </c>
      <c r="L183">
        <f t="shared" si="4"/>
        <v>2E-3</v>
      </c>
      <c r="M183">
        <f t="shared" si="5"/>
        <v>0.35800000000000026</v>
      </c>
    </row>
    <row r="184" spans="2:13" x14ac:dyDescent="0.25">
      <c r="B184" s="7">
        <v>21.18</v>
      </c>
      <c r="J184" s="7">
        <v>23.66</v>
      </c>
      <c r="K184">
        <v>1</v>
      </c>
      <c r="L184">
        <f t="shared" si="4"/>
        <v>2E-3</v>
      </c>
      <c r="M184">
        <f t="shared" si="5"/>
        <v>0.36000000000000026</v>
      </c>
    </row>
    <row r="185" spans="2:13" x14ac:dyDescent="0.25">
      <c r="B185" s="7">
        <v>25.73</v>
      </c>
      <c r="J185" s="7">
        <v>23.7</v>
      </c>
      <c r="K185">
        <v>1</v>
      </c>
      <c r="L185">
        <f t="shared" si="4"/>
        <v>2E-3</v>
      </c>
      <c r="M185">
        <f t="shared" si="5"/>
        <v>0.36200000000000027</v>
      </c>
    </row>
    <row r="186" spans="2:13" x14ac:dyDescent="0.25">
      <c r="B186" s="7">
        <v>22.4</v>
      </c>
      <c r="J186" s="7">
        <v>23.7</v>
      </c>
      <c r="K186">
        <v>1</v>
      </c>
      <c r="L186">
        <f t="shared" si="4"/>
        <v>2E-3</v>
      </c>
      <c r="M186">
        <f t="shared" si="5"/>
        <v>0.36400000000000027</v>
      </c>
    </row>
    <row r="187" spans="2:13" x14ac:dyDescent="0.25">
      <c r="B187" s="7">
        <v>22.77</v>
      </c>
      <c r="J187" s="7">
        <v>23.73</v>
      </c>
      <c r="K187">
        <v>1</v>
      </c>
      <c r="L187">
        <f t="shared" si="4"/>
        <v>2E-3</v>
      </c>
      <c r="M187">
        <f t="shared" si="5"/>
        <v>0.36600000000000027</v>
      </c>
    </row>
    <row r="188" spans="2:13" x14ac:dyDescent="0.25">
      <c r="B188" s="7">
        <v>29.35</v>
      </c>
      <c r="J188" s="7">
        <v>23.74</v>
      </c>
      <c r="K188">
        <v>1</v>
      </c>
      <c r="L188">
        <f t="shared" si="4"/>
        <v>2E-3</v>
      </c>
      <c r="M188">
        <f t="shared" si="5"/>
        <v>0.36800000000000027</v>
      </c>
    </row>
    <row r="189" spans="2:13" x14ac:dyDescent="0.25">
      <c r="B189" s="7">
        <v>20.54</v>
      </c>
      <c r="J189" s="7">
        <v>23.74</v>
      </c>
      <c r="K189">
        <v>1</v>
      </c>
      <c r="L189">
        <f t="shared" si="4"/>
        <v>2E-3</v>
      </c>
      <c r="M189">
        <f t="shared" si="5"/>
        <v>0.37000000000000027</v>
      </c>
    </row>
    <row r="190" spans="2:13" x14ac:dyDescent="0.25">
      <c r="B190" s="7">
        <v>24.97</v>
      </c>
      <c r="J190" s="7">
        <v>23.77</v>
      </c>
      <c r="K190">
        <v>1</v>
      </c>
      <c r="L190">
        <f t="shared" si="4"/>
        <v>2E-3</v>
      </c>
      <c r="M190">
        <f t="shared" si="5"/>
        <v>0.37200000000000027</v>
      </c>
    </row>
    <row r="191" spans="2:13" x14ac:dyDescent="0.25">
      <c r="B191" s="7">
        <v>24.73</v>
      </c>
      <c r="J191" s="7">
        <v>23.8</v>
      </c>
      <c r="K191">
        <v>1</v>
      </c>
      <c r="L191">
        <f t="shared" si="4"/>
        <v>2E-3</v>
      </c>
      <c r="M191">
        <f t="shared" si="5"/>
        <v>0.37400000000000028</v>
      </c>
    </row>
    <row r="192" spans="2:13" x14ac:dyDescent="0.25">
      <c r="B192" s="7">
        <v>28.35</v>
      </c>
      <c r="J192" s="7">
        <v>23.81</v>
      </c>
      <c r="K192">
        <v>1</v>
      </c>
      <c r="L192">
        <f t="shared" si="4"/>
        <v>2E-3</v>
      </c>
      <c r="M192">
        <f t="shared" si="5"/>
        <v>0.37600000000000028</v>
      </c>
    </row>
    <row r="193" spans="2:13" x14ac:dyDescent="0.25">
      <c r="B193" s="7">
        <v>20.43</v>
      </c>
      <c r="J193" s="7">
        <v>23.82</v>
      </c>
      <c r="K193">
        <v>1</v>
      </c>
      <c r="L193">
        <f t="shared" si="4"/>
        <v>2E-3</v>
      </c>
      <c r="M193">
        <f t="shared" si="5"/>
        <v>0.37800000000000028</v>
      </c>
    </row>
    <row r="194" spans="2:13" x14ac:dyDescent="0.25">
      <c r="B194" s="7">
        <v>27.24</v>
      </c>
      <c r="J194" s="7">
        <v>23.84</v>
      </c>
      <c r="K194">
        <v>1</v>
      </c>
      <c r="L194">
        <f t="shared" si="4"/>
        <v>2E-3</v>
      </c>
      <c r="M194">
        <f t="shared" si="5"/>
        <v>0.38000000000000028</v>
      </c>
    </row>
    <row r="195" spans="2:13" x14ac:dyDescent="0.25">
      <c r="B195" s="7">
        <v>26.47</v>
      </c>
      <c r="J195" s="7">
        <v>23.87</v>
      </c>
      <c r="K195">
        <v>1</v>
      </c>
      <c r="L195">
        <f t="shared" si="4"/>
        <v>2E-3</v>
      </c>
      <c r="M195">
        <f t="shared" si="5"/>
        <v>0.38200000000000028</v>
      </c>
    </row>
    <row r="196" spans="2:13" x14ac:dyDescent="0.25">
      <c r="B196" s="7">
        <v>25.19</v>
      </c>
      <c r="J196" s="7">
        <v>23.89</v>
      </c>
      <c r="K196">
        <v>1</v>
      </c>
      <c r="L196">
        <f t="shared" si="4"/>
        <v>2E-3</v>
      </c>
      <c r="M196">
        <f t="shared" si="5"/>
        <v>0.38400000000000029</v>
      </c>
    </row>
    <row r="197" spans="2:13" x14ac:dyDescent="0.25">
      <c r="B197" s="7">
        <v>26.14</v>
      </c>
      <c r="J197" s="7">
        <v>23.91</v>
      </c>
      <c r="K197">
        <v>1</v>
      </c>
      <c r="L197">
        <f t="shared" si="4"/>
        <v>2E-3</v>
      </c>
      <c r="M197">
        <f t="shared" si="5"/>
        <v>0.38600000000000029</v>
      </c>
    </row>
    <row r="198" spans="2:13" x14ac:dyDescent="0.25">
      <c r="B198" s="7">
        <v>26.84</v>
      </c>
      <c r="J198" s="7">
        <v>23.98</v>
      </c>
      <c r="K198">
        <v>1</v>
      </c>
      <c r="L198">
        <f t="shared" ref="L198:L261" si="6">K198/$E$20</f>
        <v>2E-3</v>
      </c>
      <c r="M198">
        <f t="shared" si="5"/>
        <v>0.38800000000000029</v>
      </c>
    </row>
    <row r="199" spans="2:13" x14ac:dyDescent="0.25">
      <c r="B199" s="7">
        <v>25.38</v>
      </c>
      <c r="J199" s="7">
        <v>23.98</v>
      </c>
      <c r="K199">
        <v>1</v>
      </c>
      <c r="L199">
        <f t="shared" si="6"/>
        <v>2E-3</v>
      </c>
      <c r="M199">
        <f t="shared" ref="M199:M262" si="7">M198+L199</f>
        <v>0.39000000000000029</v>
      </c>
    </row>
    <row r="200" spans="2:13" x14ac:dyDescent="0.25">
      <c r="B200" s="7">
        <v>21.54</v>
      </c>
      <c r="J200" s="7">
        <v>24</v>
      </c>
      <c r="K200">
        <v>1</v>
      </c>
      <c r="L200">
        <f t="shared" si="6"/>
        <v>2E-3</v>
      </c>
      <c r="M200">
        <f t="shared" si="7"/>
        <v>0.39200000000000029</v>
      </c>
    </row>
    <row r="201" spans="2:13" x14ac:dyDescent="0.25">
      <c r="B201" s="7">
        <v>21.24</v>
      </c>
      <c r="J201" s="7">
        <v>24.02</v>
      </c>
      <c r="K201">
        <v>1</v>
      </c>
      <c r="L201">
        <f t="shared" si="6"/>
        <v>2E-3</v>
      </c>
      <c r="M201">
        <f t="shared" si="7"/>
        <v>0.39400000000000029</v>
      </c>
    </row>
    <row r="202" spans="2:13" x14ac:dyDescent="0.25">
      <c r="B202" s="7">
        <v>21.57</v>
      </c>
      <c r="J202" s="7">
        <v>24.03</v>
      </c>
      <c r="K202">
        <v>1</v>
      </c>
      <c r="L202">
        <f t="shared" si="6"/>
        <v>2E-3</v>
      </c>
      <c r="M202">
        <f t="shared" si="7"/>
        <v>0.3960000000000003</v>
      </c>
    </row>
    <row r="203" spans="2:13" x14ac:dyDescent="0.25">
      <c r="B203" s="7">
        <v>24.74</v>
      </c>
      <c r="J203" s="7">
        <v>24.06</v>
      </c>
      <c r="K203">
        <v>1</v>
      </c>
      <c r="L203">
        <f t="shared" si="6"/>
        <v>2E-3</v>
      </c>
      <c r="M203">
        <f t="shared" si="7"/>
        <v>0.3980000000000003</v>
      </c>
    </row>
    <row r="204" spans="2:13" x14ac:dyDescent="0.25">
      <c r="B204" s="7">
        <v>28.33</v>
      </c>
      <c r="J204" s="7">
        <v>24.06</v>
      </c>
      <c r="K204">
        <v>1</v>
      </c>
      <c r="L204">
        <f t="shared" si="6"/>
        <v>2E-3</v>
      </c>
      <c r="M204">
        <f t="shared" si="7"/>
        <v>0.4000000000000003</v>
      </c>
    </row>
    <row r="205" spans="2:13" x14ac:dyDescent="0.25">
      <c r="B205" s="7">
        <v>19.28</v>
      </c>
      <c r="J205" s="7">
        <v>24.09</v>
      </c>
      <c r="K205">
        <v>1</v>
      </c>
      <c r="L205">
        <f t="shared" si="6"/>
        <v>2E-3</v>
      </c>
      <c r="M205">
        <f t="shared" si="7"/>
        <v>0.4020000000000003</v>
      </c>
    </row>
    <row r="206" spans="2:13" x14ac:dyDescent="0.25">
      <c r="B206" s="7">
        <v>21.14</v>
      </c>
      <c r="J206" s="7">
        <v>24.15</v>
      </c>
      <c r="K206">
        <v>1</v>
      </c>
      <c r="L206">
        <f t="shared" si="6"/>
        <v>2E-3</v>
      </c>
      <c r="M206">
        <f t="shared" si="7"/>
        <v>0.4040000000000003</v>
      </c>
    </row>
    <row r="207" spans="2:13" x14ac:dyDescent="0.25">
      <c r="B207" s="7">
        <v>27.01</v>
      </c>
      <c r="J207" s="7">
        <v>24.16</v>
      </c>
      <c r="K207">
        <v>1</v>
      </c>
      <c r="L207">
        <f t="shared" si="6"/>
        <v>2E-3</v>
      </c>
      <c r="M207">
        <f t="shared" si="7"/>
        <v>0.40600000000000031</v>
      </c>
    </row>
    <row r="208" spans="2:13" x14ac:dyDescent="0.25">
      <c r="B208" s="7">
        <v>21.4</v>
      </c>
      <c r="J208" s="7">
        <v>24.18</v>
      </c>
      <c r="K208">
        <v>1</v>
      </c>
      <c r="L208">
        <f t="shared" si="6"/>
        <v>2E-3</v>
      </c>
      <c r="M208">
        <f t="shared" si="7"/>
        <v>0.40800000000000031</v>
      </c>
    </row>
    <row r="209" spans="2:13" x14ac:dyDescent="0.25">
      <c r="B209" s="7">
        <v>28.35</v>
      </c>
      <c r="J209" s="7">
        <v>24.2</v>
      </c>
      <c r="K209">
        <v>1</v>
      </c>
      <c r="L209">
        <f t="shared" si="6"/>
        <v>2E-3</v>
      </c>
      <c r="M209">
        <f t="shared" si="7"/>
        <v>0.41000000000000031</v>
      </c>
    </row>
    <row r="210" spans="2:13" x14ac:dyDescent="0.25">
      <c r="B210" s="7">
        <v>22.15</v>
      </c>
      <c r="J210" s="7">
        <v>24.21</v>
      </c>
      <c r="K210">
        <v>1</v>
      </c>
      <c r="L210">
        <f t="shared" si="6"/>
        <v>2E-3</v>
      </c>
      <c r="M210">
        <f t="shared" si="7"/>
        <v>0.41200000000000031</v>
      </c>
    </row>
    <row r="211" spans="2:13" x14ac:dyDescent="0.25">
      <c r="B211" s="7">
        <v>26.78</v>
      </c>
      <c r="J211" s="7">
        <v>24.23</v>
      </c>
      <c r="K211">
        <v>1</v>
      </c>
      <c r="L211">
        <f t="shared" si="6"/>
        <v>2E-3</v>
      </c>
      <c r="M211">
        <f t="shared" si="7"/>
        <v>0.41400000000000031</v>
      </c>
    </row>
    <row r="212" spans="2:13" x14ac:dyDescent="0.25">
      <c r="B212" s="7">
        <v>26.85</v>
      </c>
      <c r="J212" s="7">
        <v>24.25</v>
      </c>
      <c r="K212">
        <v>1</v>
      </c>
      <c r="L212">
        <f t="shared" si="6"/>
        <v>2E-3</v>
      </c>
      <c r="M212">
        <f t="shared" si="7"/>
        <v>0.41600000000000031</v>
      </c>
    </row>
    <row r="213" spans="2:13" x14ac:dyDescent="0.25">
      <c r="B213" s="7">
        <v>20.34</v>
      </c>
      <c r="J213" s="7">
        <v>24.26</v>
      </c>
      <c r="K213">
        <v>1</v>
      </c>
      <c r="L213">
        <f t="shared" si="6"/>
        <v>2E-3</v>
      </c>
      <c r="M213">
        <f t="shared" si="7"/>
        <v>0.41800000000000032</v>
      </c>
    </row>
    <row r="214" spans="2:13" x14ac:dyDescent="0.25">
      <c r="B214" s="7">
        <v>24.8</v>
      </c>
      <c r="J214" s="7">
        <v>24.27</v>
      </c>
      <c r="K214">
        <v>1</v>
      </c>
      <c r="L214">
        <f t="shared" si="6"/>
        <v>2E-3</v>
      </c>
      <c r="M214">
        <f t="shared" si="7"/>
        <v>0.42000000000000032</v>
      </c>
    </row>
    <row r="215" spans="2:13" x14ac:dyDescent="0.25">
      <c r="B215" s="7">
        <v>22.2</v>
      </c>
      <c r="J215" s="7">
        <v>24.27</v>
      </c>
      <c r="K215">
        <v>1</v>
      </c>
      <c r="L215">
        <f t="shared" si="6"/>
        <v>2E-3</v>
      </c>
      <c r="M215">
        <f t="shared" si="7"/>
        <v>0.42200000000000032</v>
      </c>
    </row>
    <row r="216" spans="2:13" x14ac:dyDescent="0.25">
      <c r="B216" s="7">
        <v>23.59</v>
      </c>
      <c r="J216" s="7">
        <v>24.31</v>
      </c>
      <c r="K216">
        <v>1</v>
      </c>
      <c r="L216">
        <f t="shared" si="6"/>
        <v>2E-3</v>
      </c>
      <c r="M216">
        <f t="shared" si="7"/>
        <v>0.42400000000000032</v>
      </c>
    </row>
    <row r="217" spans="2:13" x14ac:dyDescent="0.25">
      <c r="B217" s="7">
        <v>24.35</v>
      </c>
      <c r="J217" s="7">
        <v>24.32</v>
      </c>
      <c r="K217">
        <v>1</v>
      </c>
      <c r="L217">
        <f t="shared" si="6"/>
        <v>2E-3</v>
      </c>
      <c r="M217">
        <f t="shared" si="7"/>
        <v>0.42600000000000032</v>
      </c>
    </row>
    <row r="218" spans="2:13" x14ac:dyDescent="0.25">
      <c r="B218" s="7">
        <v>22.6</v>
      </c>
      <c r="J218" s="7">
        <v>24.33</v>
      </c>
      <c r="K218">
        <v>1</v>
      </c>
      <c r="L218">
        <f t="shared" si="6"/>
        <v>2E-3</v>
      </c>
      <c r="M218">
        <f t="shared" si="7"/>
        <v>0.42800000000000032</v>
      </c>
    </row>
    <row r="219" spans="2:13" x14ac:dyDescent="0.25">
      <c r="B219" s="7">
        <v>20.77</v>
      </c>
      <c r="J219" s="7">
        <v>24.33</v>
      </c>
      <c r="K219">
        <v>1</v>
      </c>
      <c r="L219">
        <f t="shared" si="6"/>
        <v>2E-3</v>
      </c>
      <c r="M219">
        <f t="shared" si="7"/>
        <v>0.43000000000000033</v>
      </c>
    </row>
    <row r="220" spans="2:13" x14ac:dyDescent="0.25">
      <c r="B220" s="7">
        <v>26.32</v>
      </c>
      <c r="J220" s="7">
        <v>24.35</v>
      </c>
      <c r="K220">
        <v>1</v>
      </c>
      <c r="L220">
        <f t="shared" si="6"/>
        <v>2E-3</v>
      </c>
      <c r="M220">
        <f t="shared" si="7"/>
        <v>0.43200000000000033</v>
      </c>
    </row>
    <row r="221" spans="2:13" x14ac:dyDescent="0.25">
      <c r="B221" s="7">
        <v>28.99</v>
      </c>
      <c r="J221" s="7">
        <v>24.37</v>
      </c>
      <c r="K221">
        <v>1</v>
      </c>
      <c r="L221">
        <f t="shared" si="6"/>
        <v>2E-3</v>
      </c>
      <c r="M221">
        <f t="shared" si="7"/>
        <v>0.43400000000000033</v>
      </c>
    </row>
    <row r="222" spans="2:13" x14ac:dyDescent="0.25">
      <c r="B222" s="7">
        <v>29.03</v>
      </c>
      <c r="J222" s="7">
        <v>24.37</v>
      </c>
      <c r="K222">
        <v>1</v>
      </c>
      <c r="L222">
        <f t="shared" si="6"/>
        <v>2E-3</v>
      </c>
      <c r="M222">
        <f t="shared" si="7"/>
        <v>0.43600000000000033</v>
      </c>
    </row>
    <row r="223" spans="2:13" x14ac:dyDescent="0.25">
      <c r="B223" s="7">
        <v>16.43</v>
      </c>
      <c r="J223" s="7">
        <v>24.41</v>
      </c>
      <c r="K223">
        <v>1</v>
      </c>
      <c r="L223">
        <f t="shared" si="6"/>
        <v>2E-3</v>
      </c>
      <c r="M223">
        <f t="shared" si="7"/>
        <v>0.43800000000000033</v>
      </c>
    </row>
    <row r="224" spans="2:13" x14ac:dyDescent="0.25">
      <c r="B224" s="7">
        <v>22.26</v>
      </c>
      <c r="J224" s="7">
        <v>24.45</v>
      </c>
      <c r="K224">
        <v>1</v>
      </c>
      <c r="L224">
        <f t="shared" si="6"/>
        <v>2E-3</v>
      </c>
      <c r="M224">
        <f t="shared" si="7"/>
        <v>0.44000000000000034</v>
      </c>
    </row>
    <row r="225" spans="2:13" x14ac:dyDescent="0.25">
      <c r="B225" s="7">
        <v>25.36</v>
      </c>
      <c r="J225" s="7">
        <v>24.45</v>
      </c>
      <c r="K225">
        <v>1</v>
      </c>
      <c r="L225">
        <f t="shared" si="6"/>
        <v>2E-3</v>
      </c>
      <c r="M225">
        <f t="shared" si="7"/>
        <v>0.44200000000000034</v>
      </c>
    </row>
    <row r="226" spans="2:13" x14ac:dyDescent="0.25">
      <c r="B226" s="7">
        <v>24.64</v>
      </c>
      <c r="J226" s="7">
        <v>24.47</v>
      </c>
      <c r="K226">
        <v>1</v>
      </c>
      <c r="L226">
        <f t="shared" si="6"/>
        <v>2E-3</v>
      </c>
      <c r="M226">
        <f t="shared" si="7"/>
        <v>0.44400000000000034</v>
      </c>
    </row>
    <row r="227" spans="2:13" x14ac:dyDescent="0.25">
      <c r="B227" s="7">
        <v>20.88</v>
      </c>
      <c r="J227" s="7">
        <v>24.51</v>
      </c>
      <c r="K227">
        <v>1</v>
      </c>
      <c r="L227">
        <f t="shared" si="6"/>
        <v>2E-3</v>
      </c>
      <c r="M227">
        <f t="shared" si="7"/>
        <v>0.44600000000000034</v>
      </c>
    </row>
    <row r="228" spans="2:13" x14ac:dyDescent="0.25">
      <c r="B228" s="7">
        <v>25.29</v>
      </c>
      <c r="J228" s="7">
        <v>24.51</v>
      </c>
      <c r="K228">
        <v>1</v>
      </c>
      <c r="L228">
        <f t="shared" si="6"/>
        <v>2E-3</v>
      </c>
      <c r="M228">
        <f t="shared" si="7"/>
        <v>0.44800000000000034</v>
      </c>
    </row>
    <row r="229" spans="2:13" x14ac:dyDescent="0.25">
      <c r="B229" s="7">
        <v>24.57</v>
      </c>
      <c r="J229" s="7">
        <v>24.52</v>
      </c>
      <c r="K229">
        <v>1</v>
      </c>
      <c r="L229">
        <f t="shared" si="6"/>
        <v>2E-3</v>
      </c>
      <c r="M229">
        <f t="shared" si="7"/>
        <v>0.45000000000000034</v>
      </c>
    </row>
    <row r="230" spans="2:13" x14ac:dyDescent="0.25">
      <c r="B230" s="7">
        <v>24.81</v>
      </c>
      <c r="J230" s="7">
        <v>24.54</v>
      </c>
      <c r="K230">
        <v>1</v>
      </c>
      <c r="L230">
        <f t="shared" si="6"/>
        <v>2E-3</v>
      </c>
      <c r="M230">
        <f t="shared" si="7"/>
        <v>0.45200000000000035</v>
      </c>
    </row>
    <row r="231" spans="2:13" x14ac:dyDescent="0.25">
      <c r="B231" s="7">
        <v>17.52</v>
      </c>
      <c r="J231" s="7">
        <v>24.55</v>
      </c>
      <c r="K231">
        <v>1</v>
      </c>
      <c r="L231">
        <f t="shared" si="6"/>
        <v>2E-3</v>
      </c>
      <c r="M231">
        <f t="shared" si="7"/>
        <v>0.45400000000000035</v>
      </c>
    </row>
    <row r="232" spans="2:13" x14ac:dyDescent="0.25">
      <c r="B232" s="7">
        <v>24.6</v>
      </c>
      <c r="J232" s="7">
        <v>24.57</v>
      </c>
      <c r="K232">
        <v>1</v>
      </c>
      <c r="L232">
        <f t="shared" si="6"/>
        <v>2E-3</v>
      </c>
      <c r="M232">
        <f t="shared" si="7"/>
        <v>0.45600000000000035</v>
      </c>
    </row>
    <row r="233" spans="2:13" x14ac:dyDescent="0.25">
      <c r="B233" s="7">
        <v>27.23</v>
      </c>
      <c r="J233" s="7">
        <v>24.6</v>
      </c>
      <c r="K233">
        <v>1</v>
      </c>
      <c r="L233">
        <f t="shared" si="6"/>
        <v>2E-3</v>
      </c>
      <c r="M233">
        <f t="shared" si="7"/>
        <v>0.45800000000000035</v>
      </c>
    </row>
    <row r="234" spans="2:13" x14ac:dyDescent="0.25">
      <c r="B234" s="7">
        <v>21.45</v>
      </c>
      <c r="J234" s="7">
        <v>24.6</v>
      </c>
      <c r="K234">
        <v>1</v>
      </c>
      <c r="L234">
        <f t="shared" si="6"/>
        <v>2E-3</v>
      </c>
      <c r="M234">
        <f t="shared" si="7"/>
        <v>0.46000000000000035</v>
      </c>
    </row>
    <row r="235" spans="2:13" x14ac:dyDescent="0.25">
      <c r="B235" s="7">
        <v>28.08</v>
      </c>
      <c r="J235" s="7">
        <v>24.63</v>
      </c>
      <c r="K235">
        <v>1</v>
      </c>
      <c r="L235">
        <f t="shared" si="6"/>
        <v>2E-3</v>
      </c>
      <c r="M235">
        <f t="shared" si="7"/>
        <v>0.46200000000000035</v>
      </c>
    </row>
    <row r="236" spans="2:13" x14ac:dyDescent="0.25">
      <c r="B236" s="7">
        <v>26.26</v>
      </c>
      <c r="J236" s="7">
        <v>24.64</v>
      </c>
      <c r="K236">
        <v>1</v>
      </c>
      <c r="L236">
        <f t="shared" si="6"/>
        <v>2E-3</v>
      </c>
      <c r="M236">
        <f t="shared" si="7"/>
        <v>0.46400000000000036</v>
      </c>
    </row>
    <row r="237" spans="2:13" x14ac:dyDescent="0.25">
      <c r="B237" s="7">
        <v>27.12</v>
      </c>
      <c r="J237" s="7">
        <v>24.64</v>
      </c>
      <c r="K237">
        <v>1</v>
      </c>
      <c r="L237">
        <f t="shared" si="6"/>
        <v>2E-3</v>
      </c>
      <c r="M237">
        <f t="shared" si="7"/>
        <v>0.46600000000000036</v>
      </c>
    </row>
    <row r="238" spans="2:13" x14ac:dyDescent="0.25">
      <c r="B238" s="7">
        <v>26.42</v>
      </c>
      <c r="J238" s="7">
        <v>24.66</v>
      </c>
      <c r="K238">
        <v>1</v>
      </c>
      <c r="L238">
        <f t="shared" si="6"/>
        <v>2E-3</v>
      </c>
      <c r="M238">
        <f t="shared" si="7"/>
        <v>0.46800000000000036</v>
      </c>
    </row>
    <row r="239" spans="2:13" x14ac:dyDescent="0.25">
      <c r="B239" s="7">
        <v>22.95</v>
      </c>
      <c r="J239" s="7">
        <v>24.68</v>
      </c>
      <c r="K239">
        <v>1</v>
      </c>
      <c r="L239">
        <f t="shared" si="6"/>
        <v>2E-3</v>
      </c>
      <c r="M239">
        <f t="shared" si="7"/>
        <v>0.47000000000000036</v>
      </c>
    </row>
    <row r="240" spans="2:13" x14ac:dyDescent="0.25">
      <c r="B240" s="7">
        <v>21.9</v>
      </c>
      <c r="J240" s="7">
        <v>24.69</v>
      </c>
      <c r="K240">
        <v>1</v>
      </c>
      <c r="L240">
        <f t="shared" si="6"/>
        <v>2E-3</v>
      </c>
      <c r="M240">
        <f t="shared" si="7"/>
        <v>0.47200000000000036</v>
      </c>
    </row>
    <row r="241" spans="2:13" x14ac:dyDescent="0.25">
      <c r="B241" s="7">
        <v>24.02</v>
      </c>
      <c r="J241" s="7">
        <v>24.7</v>
      </c>
      <c r="K241">
        <v>1</v>
      </c>
      <c r="L241">
        <f t="shared" si="6"/>
        <v>2E-3</v>
      </c>
      <c r="M241">
        <f t="shared" si="7"/>
        <v>0.47400000000000037</v>
      </c>
    </row>
    <row r="242" spans="2:13" x14ac:dyDescent="0.25">
      <c r="B242" s="7">
        <v>22.61</v>
      </c>
      <c r="J242" s="7">
        <v>24.73</v>
      </c>
      <c r="K242">
        <v>1</v>
      </c>
      <c r="L242">
        <f t="shared" si="6"/>
        <v>2E-3</v>
      </c>
      <c r="M242">
        <f t="shared" si="7"/>
        <v>0.47600000000000037</v>
      </c>
    </row>
    <row r="243" spans="2:13" x14ac:dyDescent="0.25">
      <c r="B243" s="7">
        <v>27.18</v>
      </c>
      <c r="J243" s="7">
        <v>24.74</v>
      </c>
      <c r="K243">
        <v>1</v>
      </c>
      <c r="L243">
        <f t="shared" si="6"/>
        <v>2E-3</v>
      </c>
      <c r="M243">
        <f t="shared" si="7"/>
        <v>0.47800000000000037</v>
      </c>
    </row>
    <row r="244" spans="2:13" x14ac:dyDescent="0.25">
      <c r="B244" s="7">
        <v>25.89</v>
      </c>
      <c r="J244" s="7">
        <v>24.74</v>
      </c>
      <c r="K244">
        <v>1</v>
      </c>
      <c r="L244">
        <f t="shared" si="6"/>
        <v>2E-3</v>
      </c>
      <c r="M244">
        <f t="shared" si="7"/>
        <v>0.48000000000000037</v>
      </c>
    </row>
    <row r="245" spans="2:13" x14ac:dyDescent="0.25">
      <c r="B245" s="7">
        <v>27.81</v>
      </c>
      <c r="J245" s="7">
        <v>24.75</v>
      </c>
      <c r="K245">
        <v>1</v>
      </c>
      <c r="L245">
        <f t="shared" si="6"/>
        <v>2E-3</v>
      </c>
      <c r="M245">
        <f t="shared" si="7"/>
        <v>0.48200000000000037</v>
      </c>
    </row>
    <row r="246" spans="2:13" x14ac:dyDescent="0.25">
      <c r="B246" s="7">
        <v>25.43</v>
      </c>
      <c r="J246" s="7">
        <v>24.75</v>
      </c>
      <c r="K246">
        <v>1</v>
      </c>
      <c r="L246">
        <f t="shared" si="6"/>
        <v>2E-3</v>
      </c>
      <c r="M246">
        <f t="shared" si="7"/>
        <v>0.48400000000000037</v>
      </c>
    </row>
    <row r="247" spans="2:13" x14ac:dyDescent="0.25">
      <c r="B247" s="7">
        <v>28.3</v>
      </c>
      <c r="J247" s="7">
        <v>24.76</v>
      </c>
      <c r="K247">
        <v>1</v>
      </c>
      <c r="L247">
        <f t="shared" si="6"/>
        <v>2E-3</v>
      </c>
      <c r="M247">
        <f t="shared" si="7"/>
        <v>0.48600000000000038</v>
      </c>
    </row>
    <row r="248" spans="2:13" x14ac:dyDescent="0.25">
      <c r="B248" s="7">
        <v>22.49</v>
      </c>
      <c r="J248" s="7">
        <v>24.77</v>
      </c>
      <c r="K248">
        <v>1</v>
      </c>
      <c r="L248">
        <f t="shared" si="6"/>
        <v>2E-3</v>
      </c>
      <c r="M248">
        <f t="shared" si="7"/>
        <v>0.48800000000000038</v>
      </c>
    </row>
    <row r="249" spans="2:13" x14ac:dyDescent="0.25">
      <c r="B249" s="7">
        <v>25.96</v>
      </c>
      <c r="J249" s="7">
        <v>24.8</v>
      </c>
      <c r="K249">
        <v>1</v>
      </c>
      <c r="L249">
        <f t="shared" si="6"/>
        <v>2E-3</v>
      </c>
      <c r="M249">
        <f t="shared" si="7"/>
        <v>0.49000000000000038</v>
      </c>
    </row>
    <row r="250" spans="2:13" x14ac:dyDescent="0.25">
      <c r="B250" s="7">
        <v>28.81</v>
      </c>
      <c r="J250" s="7">
        <v>24.8</v>
      </c>
      <c r="K250">
        <v>1</v>
      </c>
      <c r="L250">
        <f t="shared" si="6"/>
        <v>2E-3</v>
      </c>
      <c r="M250">
        <f t="shared" si="7"/>
        <v>0.49200000000000038</v>
      </c>
    </row>
    <row r="251" spans="2:13" x14ac:dyDescent="0.25">
      <c r="B251" s="7">
        <v>24.18</v>
      </c>
      <c r="J251" s="7">
        <v>24.81</v>
      </c>
      <c r="K251">
        <v>1</v>
      </c>
      <c r="L251">
        <f t="shared" si="6"/>
        <v>2E-3</v>
      </c>
      <c r="M251">
        <f t="shared" si="7"/>
        <v>0.49400000000000038</v>
      </c>
    </row>
    <row r="252" spans="2:13" x14ac:dyDescent="0.25">
      <c r="B252" s="7">
        <v>26.04</v>
      </c>
      <c r="J252" s="7">
        <v>24.81</v>
      </c>
      <c r="K252">
        <v>1</v>
      </c>
      <c r="L252">
        <f t="shared" si="6"/>
        <v>2E-3</v>
      </c>
      <c r="M252">
        <f t="shared" si="7"/>
        <v>0.49600000000000039</v>
      </c>
    </row>
    <row r="253" spans="2:13" x14ac:dyDescent="0.25">
      <c r="B253" s="7">
        <v>22.94</v>
      </c>
      <c r="J253" s="7">
        <v>24.83</v>
      </c>
      <c r="K253">
        <v>1</v>
      </c>
      <c r="L253">
        <f t="shared" si="6"/>
        <v>2E-3</v>
      </c>
      <c r="M253">
        <f t="shared" si="7"/>
        <v>0.49800000000000039</v>
      </c>
    </row>
    <row r="254" spans="2:13" x14ac:dyDescent="0.25">
      <c r="B254" s="7">
        <v>23.7</v>
      </c>
      <c r="J254" s="7">
        <v>24.84</v>
      </c>
      <c r="K254">
        <v>1</v>
      </c>
      <c r="L254">
        <f t="shared" si="6"/>
        <v>2E-3</v>
      </c>
      <c r="M254">
        <f t="shared" si="7"/>
        <v>0.50000000000000033</v>
      </c>
    </row>
    <row r="255" spans="2:13" x14ac:dyDescent="0.25">
      <c r="B255" s="7">
        <v>17.739999999999998</v>
      </c>
      <c r="J255" s="7">
        <v>24.84</v>
      </c>
      <c r="K255">
        <v>1</v>
      </c>
      <c r="L255">
        <f t="shared" si="6"/>
        <v>2E-3</v>
      </c>
      <c r="M255">
        <f t="shared" si="7"/>
        <v>0.50200000000000033</v>
      </c>
    </row>
    <row r="256" spans="2:13" x14ac:dyDescent="0.25">
      <c r="B256" s="7">
        <v>25.83</v>
      </c>
      <c r="J256" s="7">
        <v>24.84</v>
      </c>
      <c r="K256">
        <v>1</v>
      </c>
      <c r="L256">
        <f t="shared" si="6"/>
        <v>2E-3</v>
      </c>
      <c r="M256">
        <f t="shared" si="7"/>
        <v>0.50400000000000034</v>
      </c>
    </row>
    <row r="257" spans="2:13" x14ac:dyDescent="0.25">
      <c r="B257" s="7">
        <v>21.62</v>
      </c>
      <c r="J257" s="7">
        <v>24.89</v>
      </c>
      <c r="K257">
        <v>1</v>
      </c>
      <c r="L257">
        <f t="shared" si="6"/>
        <v>2E-3</v>
      </c>
      <c r="M257">
        <f t="shared" si="7"/>
        <v>0.50600000000000034</v>
      </c>
    </row>
    <row r="258" spans="2:13" x14ac:dyDescent="0.25">
      <c r="B258" s="7">
        <v>24.96</v>
      </c>
      <c r="J258" s="7">
        <v>24.91</v>
      </c>
      <c r="K258">
        <v>1</v>
      </c>
      <c r="L258">
        <f t="shared" si="6"/>
        <v>2E-3</v>
      </c>
      <c r="M258">
        <f t="shared" si="7"/>
        <v>0.50800000000000034</v>
      </c>
    </row>
    <row r="259" spans="2:13" x14ac:dyDescent="0.25">
      <c r="B259" s="7">
        <v>24.41</v>
      </c>
      <c r="J259" s="7">
        <v>24.94</v>
      </c>
      <c r="K259">
        <v>1</v>
      </c>
      <c r="L259">
        <f t="shared" si="6"/>
        <v>2E-3</v>
      </c>
      <c r="M259">
        <f t="shared" si="7"/>
        <v>0.51000000000000034</v>
      </c>
    </row>
    <row r="260" spans="2:13" x14ac:dyDescent="0.25">
      <c r="B260" s="7">
        <v>26.2</v>
      </c>
      <c r="J260" s="7">
        <v>24.95</v>
      </c>
      <c r="K260">
        <v>1</v>
      </c>
      <c r="L260">
        <f t="shared" si="6"/>
        <v>2E-3</v>
      </c>
      <c r="M260">
        <f t="shared" si="7"/>
        <v>0.51200000000000034</v>
      </c>
    </row>
    <row r="261" spans="2:13" x14ac:dyDescent="0.25">
      <c r="B261" s="7">
        <v>22.03</v>
      </c>
      <c r="J261" s="7">
        <v>24.96</v>
      </c>
      <c r="K261">
        <v>1</v>
      </c>
      <c r="L261">
        <f t="shared" si="6"/>
        <v>2E-3</v>
      </c>
      <c r="M261">
        <f t="shared" si="7"/>
        <v>0.51400000000000035</v>
      </c>
    </row>
    <row r="262" spans="2:13" x14ac:dyDescent="0.25">
      <c r="B262" s="7">
        <v>27.17</v>
      </c>
      <c r="J262" s="7">
        <v>24.97</v>
      </c>
      <c r="K262">
        <v>1</v>
      </c>
      <c r="L262">
        <f t="shared" ref="L262:L325" si="8">K262/$E$20</f>
        <v>2E-3</v>
      </c>
      <c r="M262">
        <f t="shared" si="7"/>
        <v>0.51600000000000035</v>
      </c>
    </row>
    <row r="263" spans="2:13" x14ac:dyDescent="0.25">
      <c r="B263" s="7">
        <v>28.6</v>
      </c>
      <c r="J263" s="7">
        <v>25</v>
      </c>
      <c r="K263">
        <v>1</v>
      </c>
      <c r="L263">
        <f t="shared" si="8"/>
        <v>2E-3</v>
      </c>
      <c r="M263">
        <f t="shared" ref="M263:M326" si="9">M262+L263</f>
        <v>0.51800000000000035</v>
      </c>
    </row>
    <row r="264" spans="2:13" x14ac:dyDescent="0.25">
      <c r="B264" s="7">
        <v>23.7</v>
      </c>
      <c r="J264" s="7">
        <v>25</v>
      </c>
      <c r="K264">
        <v>1</v>
      </c>
      <c r="L264">
        <f t="shared" si="8"/>
        <v>2E-3</v>
      </c>
      <c r="M264">
        <f t="shared" si="9"/>
        <v>0.52000000000000035</v>
      </c>
    </row>
    <row r="265" spans="2:13" x14ac:dyDescent="0.25">
      <c r="B265" s="7">
        <v>23.07</v>
      </c>
      <c r="J265" s="7">
        <v>25.03</v>
      </c>
      <c r="K265">
        <v>1</v>
      </c>
      <c r="L265">
        <f t="shared" si="8"/>
        <v>2E-3</v>
      </c>
      <c r="M265">
        <f t="shared" si="9"/>
        <v>0.52200000000000035</v>
      </c>
    </row>
    <row r="266" spans="2:13" x14ac:dyDescent="0.25">
      <c r="B266" s="7">
        <v>21.38</v>
      </c>
      <c r="J266" s="7">
        <v>25.09</v>
      </c>
      <c r="K266">
        <v>1</v>
      </c>
      <c r="L266">
        <f t="shared" si="8"/>
        <v>2E-3</v>
      </c>
      <c r="M266">
        <f t="shared" si="9"/>
        <v>0.52400000000000035</v>
      </c>
    </row>
    <row r="267" spans="2:13" x14ac:dyDescent="0.25">
      <c r="B267" s="7">
        <v>27.6</v>
      </c>
      <c r="J267" s="7">
        <v>25.11</v>
      </c>
      <c r="K267">
        <v>1</v>
      </c>
      <c r="L267">
        <f t="shared" si="8"/>
        <v>2E-3</v>
      </c>
      <c r="M267">
        <f t="shared" si="9"/>
        <v>0.52600000000000036</v>
      </c>
    </row>
    <row r="268" spans="2:13" x14ac:dyDescent="0.25">
      <c r="B268" s="7">
        <v>30.45</v>
      </c>
      <c r="J268" s="7">
        <v>25.11</v>
      </c>
      <c r="K268">
        <v>1</v>
      </c>
      <c r="L268">
        <f t="shared" si="8"/>
        <v>2E-3</v>
      </c>
      <c r="M268">
        <f t="shared" si="9"/>
        <v>0.52800000000000036</v>
      </c>
    </row>
    <row r="269" spans="2:13" x14ac:dyDescent="0.25">
      <c r="B269" s="7">
        <v>23.11</v>
      </c>
      <c r="J269" s="7">
        <v>25.13</v>
      </c>
      <c r="K269">
        <v>1</v>
      </c>
      <c r="L269">
        <f t="shared" si="8"/>
        <v>2E-3</v>
      </c>
      <c r="M269">
        <f t="shared" si="9"/>
        <v>0.53000000000000036</v>
      </c>
    </row>
    <row r="270" spans="2:13" x14ac:dyDescent="0.25">
      <c r="B270" s="7">
        <v>20.64</v>
      </c>
      <c r="J270" s="7">
        <v>25.13</v>
      </c>
      <c r="K270">
        <v>1</v>
      </c>
      <c r="L270">
        <f t="shared" si="8"/>
        <v>2E-3</v>
      </c>
      <c r="M270">
        <f t="shared" si="9"/>
        <v>0.53200000000000036</v>
      </c>
    </row>
    <row r="271" spans="2:13" x14ac:dyDescent="0.25">
      <c r="B271" s="7">
        <v>29.59</v>
      </c>
      <c r="J271" s="7">
        <v>25.19</v>
      </c>
      <c r="K271">
        <v>1</v>
      </c>
      <c r="L271">
        <f t="shared" si="8"/>
        <v>2E-3</v>
      </c>
      <c r="M271">
        <f t="shared" si="9"/>
        <v>0.53400000000000036</v>
      </c>
    </row>
    <row r="272" spans="2:13" x14ac:dyDescent="0.25">
      <c r="B272" s="7">
        <v>27.05</v>
      </c>
      <c r="J272" s="7">
        <v>25.2</v>
      </c>
      <c r="K272">
        <v>1</v>
      </c>
      <c r="L272">
        <f t="shared" si="8"/>
        <v>2E-3</v>
      </c>
      <c r="M272">
        <f t="shared" si="9"/>
        <v>0.53600000000000037</v>
      </c>
    </row>
    <row r="273" spans="2:13" x14ac:dyDescent="0.25">
      <c r="B273" s="7">
        <v>27.04</v>
      </c>
      <c r="J273" s="7">
        <v>25.21</v>
      </c>
      <c r="K273">
        <v>1</v>
      </c>
      <c r="L273">
        <f t="shared" si="8"/>
        <v>2E-3</v>
      </c>
      <c r="M273">
        <f t="shared" si="9"/>
        <v>0.53800000000000037</v>
      </c>
    </row>
    <row r="274" spans="2:13" x14ac:dyDescent="0.25">
      <c r="B274" s="7">
        <v>29.04</v>
      </c>
      <c r="J274" s="7">
        <v>25.21</v>
      </c>
      <c r="K274">
        <v>1</v>
      </c>
      <c r="L274">
        <f t="shared" si="8"/>
        <v>2E-3</v>
      </c>
      <c r="M274">
        <f t="shared" si="9"/>
        <v>0.54000000000000037</v>
      </c>
    </row>
    <row r="275" spans="2:13" x14ac:dyDescent="0.25">
      <c r="B275" s="7">
        <v>32.15</v>
      </c>
      <c r="J275" s="7">
        <v>25.22</v>
      </c>
      <c r="K275">
        <v>1</v>
      </c>
      <c r="L275">
        <f t="shared" si="8"/>
        <v>2E-3</v>
      </c>
      <c r="M275">
        <f t="shared" si="9"/>
        <v>0.54200000000000037</v>
      </c>
    </row>
    <row r="276" spans="2:13" x14ac:dyDescent="0.25">
      <c r="B276" s="7">
        <v>25</v>
      </c>
      <c r="J276" s="7">
        <v>25.26</v>
      </c>
      <c r="K276">
        <v>1</v>
      </c>
      <c r="L276">
        <f t="shared" si="8"/>
        <v>2E-3</v>
      </c>
      <c r="M276">
        <f t="shared" si="9"/>
        <v>0.54400000000000037</v>
      </c>
    </row>
    <row r="277" spans="2:13" x14ac:dyDescent="0.25">
      <c r="B277" s="7">
        <v>29.92</v>
      </c>
      <c r="J277" s="7">
        <v>25.27</v>
      </c>
      <c r="K277">
        <v>1</v>
      </c>
      <c r="L277">
        <f t="shared" si="8"/>
        <v>2E-3</v>
      </c>
      <c r="M277">
        <f t="shared" si="9"/>
        <v>0.54600000000000037</v>
      </c>
    </row>
    <row r="278" spans="2:13" x14ac:dyDescent="0.25">
      <c r="B278" s="7">
        <v>25.03</v>
      </c>
      <c r="J278" s="7">
        <v>25.28</v>
      </c>
      <c r="K278">
        <v>1</v>
      </c>
      <c r="L278">
        <f t="shared" si="8"/>
        <v>2E-3</v>
      </c>
      <c r="M278">
        <f t="shared" si="9"/>
        <v>0.54800000000000038</v>
      </c>
    </row>
    <row r="279" spans="2:13" x14ac:dyDescent="0.25">
      <c r="B279" s="7">
        <v>21.79</v>
      </c>
      <c r="J279" s="7">
        <v>25.28</v>
      </c>
      <c r="K279">
        <v>1</v>
      </c>
      <c r="L279">
        <f t="shared" si="8"/>
        <v>2E-3</v>
      </c>
      <c r="M279">
        <f t="shared" si="9"/>
        <v>0.55000000000000038</v>
      </c>
    </row>
    <row r="280" spans="2:13" x14ac:dyDescent="0.25">
      <c r="B280" s="7">
        <v>27.22</v>
      </c>
      <c r="J280" s="7">
        <v>25.28</v>
      </c>
      <c r="K280">
        <v>1</v>
      </c>
      <c r="L280">
        <f t="shared" si="8"/>
        <v>2E-3</v>
      </c>
      <c r="M280">
        <f t="shared" si="9"/>
        <v>0.55200000000000038</v>
      </c>
    </row>
    <row r="281" spans="2:13" x14ac:dyDescent="0.25">
      <c r="B281" s="7">
        <v>24.31</v>
      </c>
      <c r="J281" s="7">
        <v>25.29</v>
      </c>
      <c r="K281">
        <v>1</v>
      </c>
      <c r="L281">
        <f t="shared" si="8"/>
        <v>2E-3</v>
      </c>
      <c r="M281">
        <f t="shared" si="9"/>
        <v>0.55400000000000038</v>
      </c>
    </row>
    <row r="282" spans="2:13" x14ac:dyDescent="0.25">
      <c r="B282" s="7">
        <v>30.36</v>
      </c>
      <c r="J282" s="7">
        <v>25.34</v>
      </c>
      <c r="K282">
        <v>1</v>
      </c>
      <c r="L282">
        <f t="shared" si="8"/>
        <v>2E-3</v>
      </c>
      <c r="M282">
        <f t="shared" si="9"/>
        <v>0.55600000000000038</v>
      </c>
    </row>
    <row r="283" spans="2:13" x14ac:dyDescent="0.25">
      <c r="B283" s="7">
        <v>23.24</v>
      </c>
      <c r="J283" s="7">
        <v>25.36</v>
      </c>
      <c r="K283">
        <v>1</v>
      </c>
      <c r="L283">
        <f t="shared" si="8"/>
        <v>2E-3</v>
      </c>
      <c r="M283">
        <f t="shared" si="9"/>
        <v>0.55800000000000038</v>
      </c>
    </row>
    <row r="284" spans="2:13" x14ac:dyDescent="0.25">
      <c r="B284" s="7">
        <v>26.95</v>
      </c>
      <c r="J284" s="7">
        <v>25.38</v>
      </c>
      <c r="K284">
        <v>1</v>
      </c>
      <c r="L284">
        <f t="shared" si="8"/>
        <v>2E-3</v>
      </c>
      <c r="M284">
        <f t="shared" si="9"/>
        <v>0.56000000000000039</v>
      </c>
    </row>
    <row r="285" spans="2:13" x14ac:dyDescent="0.25">
      <c r="B285" s="7">
        <v>25.58</v>
      </c>
      <c r="J285" s="7">
        <v>25.43</v>
      </c>
      <c r="K285">
        <v>1</v>
      </c>
      <c r="L285">
        <f t="shared" si="8"/>
        <v>2E-3</v>
      </c>
      <c r="M285">
        <f t="shared" si="9"/>
        <v>0.56200000000000039</v>
      </c>
    </row>
    <row r="286" spans="2:13" x14ac:dyDescent="0.25">
      <c r="B286" s="7">
        <v>25.21</v>
      </c>
      <c r="J286" s="7">
        <v>25.44</v>
      </c>
      <c r="K286">
        <v>1</v>
      </c>
      <c r="L286">
        <f t="shared" si="8"/>
        <v>2E-3</v>
      </c>
      <c r="M286">
        <f t="shared" si="9"/>
        <v>0.56400000000000039</v>
      </c>
    </row>
    <row r="287" spans="2:13" x14ac:dyDescent="0.25">
      <c r="B287" s="7">
        <v>24.54</v>
      </c>
      <c r="J287" s="7">
        <v>25.48</v>
      </c>
      <c r="K287">
        <v>1</v>
      </c>
      <c r="L287">
        <f t="shared" si="8"/>
        <v>2E-3</v>
      </c>
      <c r="M287">
        <f t="shared" si="9"/>
        <v>0.56600000000000039</v>
      </c>
    </row>
    <row r="288" spans="2:13" x14ac:dyDescent="0.25">
      <c r="B288" s="7">
        <v>25.21</v>
      </c>
      <c r="J288" s="7">
        <v>25.5</v>
      </c>
      <c r="K288">
        <v>1</v>
      </c>
      <c r="L288">
        <f t="shared" si="8"/>
        <v>2E-3</v>
      </c>
      <c r="M288">
        <f t="shared" si="9"/>
        <v>0.56800000000000039</v>
      </c>
    </row>
    <row r="289" spans="2:13" x14ac:dyDescent="0.25">
      <c r="B289" s="7">
        <v>29.55</v>
      </c>
      <c r="J289" s="7">
        <v>25.5</v>
      </c>
      <c r="K289">
        <v>1</v>
      </c>
      <c r="L289">
        <f t="shared" si="8"/>
        <v>2E-3</v>
      </c>
      <c r="M289">
        <f t="shared" si="9"/>
        <v>0.5700000000000004</v>
      </c>
    </row>
    <row r="290" spans="2:13" x14ac:dyDescent="0.25">
      <c r="B290" s="7">
        <v>27.26</v>
      </c>
      <c r="J290" s="7">
        <v>25.52</v>
      </c>
      <c r="K290">
        <v>1</v>
      </c>
      <c r="L290">
        <f t="shared" si="8"/>
        <v>2E-3</v>
      </c>
      <c r="M290">
        <f t="shared" si="9"/>
        <v>0.5720000000000004</v>
      </c>
    </row>
    <row r="291" spans="2:13" x14ac:dyDescent="0.25">
      <c r="B291" s="7">
        <v>23.59</v>
      </c>
      <c r="J291" s="7">
        <v>25.52</v>
      </c>
      <c r="K291">
        <v>1</v>
      </c>
      <c r="L291">
        <f t="shared" si="8"/>
        <v>2E-3</v>
      </c>
      <c r="M291">
        <f t="shared" si="9"/>
        <v>0.5740000000000004</v>
      </c>
    </row>
    <row r="292" spans="2:13" x14ac:dyDescent="0.25">
      <c r="B292" s="7">
        <v>23.14</v>
      </c>
      <c r="J292" s="7">
        <v>25.54</v>
      </c>
      <c r="K292">
        <v>1</v>
      </c>
      <c r="L292">
        <f t="shared" si="8"/>
        <v>2E-3</v>
      </c>
      <c r="M292">
        <f t="shared" si="9"/>
        <v>0.5760000000000004</v>
      </c>
    </row>
    <row r="293" spans="2:13" x14ac:dyDescent="0.25">
      <c r="B293" s="7">
        <v>28.34</v>
      </c>
      <c r="J293" s="7">
        <v>25.57</v>
      </c>
      <c r="K293">
        <v>1</v>
      </c>
      <c r="L293">
        <f t="shared" si="8"/>
        <v>2E-3</v>
      </c>
      <c r="M293">
        <f t="shared" si="9"/>
        <v>0.5780000000000004</v>
      </c>
    </row>
    <row r="294" spans="2:13" x14ac:dyDescent="0.25">
      <c r="B294" s="7">
        <v>26.18</v>
      </c>
      <c r="J294" s="7">
        <v>25.58</v>
      </c>
      <c r="K294">
        <v>1</v>
      </c>
      <c r="L294">
        <f t="shared" si="8"/>
        <v>2E-3</v>
      </c>
      <c r="M294">
        <f t="shared" si="9"/>
        <v>0.5800000000000004</v>
      </c>
    </row>
    <row r="295" spans="2:13" x14ac:dyDescent="0.25">
      <c r="B295" s="7">
        <v>23.22</v>
      </c>
      <c r="J295" s="7">
        <v>25.6</v>
      </c>
      <c r="K295">
        <v>1</v>
      </c>
      <c r="L295">
        <f t="shared" si="8"/>
        <v>2E-3</v>
      </c>
      <c r="M295">
        <f t="shared" si="9"/>
        <v>0.58200000000000041</v>
      </c>
    </row>
    <row r="296" spans="2:13" x14ac:dyDescent="0.25">
      <c r="B296" s="7">
        <v>27.08</v>
      </c>
      <c r="J296" s="7">
        <v>25.6</v>
      </c>
      <c r="K296">
        <v>1</v>
      </c>
      <c r="L296">
        <f t="shared" si="8"/>
        <v>2E-3</v>
      </c>
      <c r="M296">
        <f t="shared" si="9"/>
        <v>0.58400000000000041</v>
      </c>
    </row>
    <row r="297" spans="2:13" x14ac:dyDescent="0.25">
      <c r="B297" s="7">
        <v>28.68</v>
      </c>
      <c r="J297" s="7">
        <v>25.62</v>
      </c>
      <c r="K297">
        <v>1</v>
      </c>
      <c r="L297">
        <f t="shared" si="8"/>
        <v>2E-3</v>
      </c>
      <c r="M297">
        <f t="shared" si="9"/>
        <v>0.58600000000000041</v>
      </c>
    </row>
    <row r="298" spans="2:13" x14ac:dyDescent="0.25">
      <c r="B298" s="7">
        <v>24.27</v>
      </c>
      <c r="J298" s="7">
        <v>25.62</v>
      </c>
      <c r="K298">
        <v>1</v>
      </c>
      <c r="L298">
        <f t="shared" si="8"/>
        <v>2E-3</v>
      </c>
      <c r="M298">
        <f t="shared" si="9"/>
        <v>0.58800000000000041</v>
      </c>
    </row>
    <row r="299" spans="2:13" x14ac:dyDescent="0.25">
      <c r="B299" s="7">
        <v>26.74</v>
      </c>
      <c r="J299" s="7">
        <v>25.68</v>
      </c>
      <c r="K299">
        <v>1</v>
      </c>
      <c r="L299">
        <f t="shared" si="8"/>
        <v>2E-3</v>
      </c>
      <c r="M299">
        <f t="shared" si="9"/>
        <v>0.59000000000000041</v>
      </c>
    </row>
    <row r="300" spans="2:13" x14ac:dyDescent="0.25">
      <c r="B300" s="7">
        <v>28.77</v>
      </c>
      <c r="J300" s="7">
        <v>25.69</v>
      </c>
      <c r="K300">
        <v>1</v>
      </c>
      <c r="L300">
        <f t="shared" si="8"/>
        <v>2E-3</v>
      </c>
      <c r="M300">
        <f t="shared" si="9"/>
        <v>0.59200000000000041</v>
      </c>
    </row>
    <row r="301" spans="2:13" x14ac:dyDescent="0.25">
      <c r="B301" s="7">
        <v>24.45</v>
      </c>
      <c r="J301" s="7">
        <v>25.7</v>
      </c>
      <c r="K301">
        <v>1</v>
      </c>
      <c r="L301">
        <f t="shared" si="8"/>
        <v>2E-3</v>
      </c>
      <c r="M301">
        <f t="shared" si="9"/>
        <v>0.59400000000000042</v>
      </c>
    </row>
    <row r="302" spans="2:13" x14ac:dyDescent="0.25">
      <c r="B302" s="7">
        <v>28.31</v>
      </c>
      <c r="J302" s="7">
        <v>25.7</v>
      </c>
      <c r="K302">
        <v>1</v>
      </c>
      <c r="L302">
        <f t="shared" si="8"/>
        <v>2E-3</v>
      </c>
      <c r="M302">
        <f t="shared" si="9"/>
        <v>0.59600000000000042</v>
      </c>
    </row>
    <row r="303" spans="2:13" x14ac:dyDescent="0.25">
      <c r="B303" s="7">
        <v>23.37</v>
      </c>
      <c r="J303" s="7">
        <v>25.71</v>
      </c>
      <c r="K303">
        <v>1</v>
      </c>
      <c r="L303">
        <f t="shared" si="8"/>
        <v>2E-3</v>
      </c>
      <c r="M303">
        <f t="shared" si="9"/>
        <v>0.59800000000000042</v>
      </c>
    </row>
    <row r="304" spans="2:13" x14ac:dyDescent="0.25">
      <c r="B304" s="7">
        <v>27.01</v>
      </c>
      <c r="J304" s="7">
        <v>25.73</v>
      </c>
      <c r="K304">
        <v>1</v>
      </c>
      <c r="L304">
        <f t="shared" si="8"/>
        <v>2E-3</v>
      </c>
      <c r="M304">
        <f t="shared" si="9"/>
        <v>0.60000000000000042</v>
      </c>
    </row>
    <row r="305" spans="2:13" x14ac:dyDescent="0.25">
      <c r="B305" s="7">
        <v>27.23</v>
      </c>
      <c r="J305" s="7">
        <v>25.73</v>
      </c>
      <c r="K305">
        <v>1</v>
      </c>
      <c r="L305">
        <f t="shared" si="8"/>
        <v>2E-3</v>
      </c>
      <c r="M305">
        <f t="shared" si="9"/>
        <v>0.60200000000000042</v>
      </c>
    </row>
    <row r="306" spans="2:13" x14ac:dyDescent="0.25">
      <c r="B306" s="7">
        <v>22.68</v>
      </c>
      <c r="J306" s="7">
        <v>25.75</v>
      </c>
      <c r="K306">
        <v>1</v>
      </c>
      <c r="L306">
        <f t="shared" si="8"/>
        <v>2E-3</v>
      </c>
      <c r="M306">
        <f t="shared" si="9"/>
        <v>0.60400000000000043</v>
      </c>
    </row>
    <row r="307" spans="2:13" x14ac:dyDescent="0.25">
      <c r="B307" s="7">
        <v>27.36</v>
      </c>
      <c r="J307" s="7">
        <v>25.76</v>
      </c>
      <c r="K307">
        <v>1</v>
      </c>
      <c r="L307">
        <f t="shared" si="8"/>
        <v>2E-3</v>
      </c>
      <c r="M307">
        <f t="shared" si="9"/>
        <v>0.60600000000000043</v>
      </c>
    </row>
    <row r="308" spans="2:13" x14ac:dyDescent="0.25">
      <c r="B308" s="7">
        <v>24.84</v>
      </c>
      <c r="J308" s="7">
        <v>25.78</v>
      </c>
      <c r="K308">
        <v>1</v>
      </c>
      <c r="L308">
        <f t="shared" si="8"/>
        <v>2E-3</v>
      </c>
      <c r="M308">
        <f t="shared" si="9"/>
        <v>0.60800000000000043</v>
      </c>
    </row>
    <row r="309" spans="2:13" x14ac:dyDescent="0.25">
      <c r="B309" s="7">
        <v>24.15</v>
      </c>
      <c r="J309" s="7">
        <v>25.8</v>
      </c>
      <c r="K309">
        <v>1</v>
      </c>
      <c r="L309">
        <f t="shared" si="8"/>
        <v>2E-3</v>
      </c>
      <c r="M309">
        <f t="shared" si="9"/>
        <v>0.61000000000000043</v>
      </c>
    </row>
    <row r="310" spans="2:13" x14ac:dyDescent="0.25">
      <c r="B310" s="7">
        <v>26.55</v>
      </c>
      <c r="J310" s="7">
        <v>25.83</v>
      </c>
      <c r="K310">
        <v>1</v>
      </c>
      <c r="L310">
        <f t="shared" si="8"/>
        <v>2E-3</v>
      </c>
      <c r="M310">
        <f t="shared" si="9"/>
        <v>0.61200000000000043</v>
      </c>
    </row>
    <row r="311" spans="2:13" x14ac:dyDescent="0.25">
      <c r="B311" s="7">
        <v>21.42</v>
      </c>
      <c r="J311" s="7">
        <v>25.83</v>
      </c>
      <c r="K311">
        <v>1</v>
      </c>
      <c r="L311">
        <f t="shared" si="8"/>
        <v>2E-3</v>
      </c>
      <c r="M311">
        <f t="shared" si="9"/>
        <v>0.61400000000000043</v>
      </c>
    </row>
    <row r="312" spans="2:13" x14ac:dyDescent="0.25">
      <c r="B312" s="7">
        <v>30.18</v>
      </c>
      <c r="J312" s="7">
        <v>25.84</v>
      </c>
      <c r="K312">
        <v>1</v>
      </c>
      <c r="L312">
        <f t="shared" si="8"/>
        <v>2E-3</v>
      </c>
      <c r="M312">
        <f t="shared" si="9"/>
        <v>0.61600000000000044</v>
      </c>
    </row>
    <row r="313" spans="2:13" x14ac:dyDescent="0.25">
      <c r="B313" s="7">
        <v>22.73</v>
      </c>
      <c r="J313" s="7">
        <v>25.88</v>
      </c>
      <c r="K313">
        <v>1</v>
      </c>
      <c r="L313">
        <f t="shared" si="8"/>
        <v>2E-3</v>
      </c>
      <c r="M313">
        <f t="shared" si="9"/>
        <v>0.61800000000000044</v>
      </c>
    </row>
    <row r="314" spans="2:13" x14ac:dyDescent="0.25">
      <c r="B314" s="7">
        <v>23.23</v>
      </c>
      <c r="J314" s="7">
        <v>25.89</v>
      </c>
      <c r="K314">
        <v>1</v>
      </c>
      <c r="L314">
        <f t="shared" si="8"/>
        <v>2E-3</v>
      </c>
      <c r="M314">
        <f t="shared" si="9"/>
        <v>0.62000000000000044</v>
      </c>
    </row>
    <row r="315" spans="2:13" x14ac:dyDescent="0.25">
      <c r="B315" s="7">
        <v>24.09</v>
      </c>
      <c r="J315" s="7">
        <v>25.9</v>
      </c>
      <c r="K315">
        <v>1</v>
      </c>
      <c r="L315">
        <f t="shared" si="8"/>
        <v>2E-3</v>
      </c>
      <c r="M315">
        <f t="shared" si="9"/>
        <v>0.62200000000000044</v>
      </c>
    </row>
    <row r="316" spans="2:13" x14ac:dyDescent="0.25">
      <c r="B316" s="7">
        <v>23.55</v>
      </c>
      <c r="J316" s="7">
        <v>25.91</v>
      </c>
      <c r="K316">
        <v>1</v>
      </c>
      <c r="L316">
        <f t="shared" si="8"/>
        <v>2E-3</v>
      </c>
      <c r="M316">
        <f t="shared" si="9"/>
        <v>0.62400000000000044</v>
      </c>
    </row>
    <row r="317" spans="2:13" x14ac:dyDescent="0.25">
      <c r="B317" s="7">
        <v>22.21</v>
      </c>
      <c r="J317" s="7">
        <v>25.92</v>
      </c>
      <c r="K317">
        <v>1</v>
      </c>
      <c r="L317">
        <f t="shared" si="8"/>
        <v>2E-3</v>
      </c>
      <c r="M317">
        <f t="shared" si="9"/>
        <v>0.62600000000000044</v>
      </c>
    </row>
    <row r="318" spans="2:13" x14ac:dyDescent="0.25">
      <c r="B318" s="7">
        <v>29.15</v>
      </c>
      <c r="J318" s="7">
        <v>25.93</v>
      </c>
      <c r="K318">
        <v>1</v>
      </c>
      <c r="L318">
        <f t="shared" si="8"/>
        <v>2E-3</v>
      </c>
      <c r="M318">
        <f t="shared" si="9"/>
        <v>0.62800000000000045</v>
      </c>
    </row>
    <row r="319" spans="2:13" x14ac:dyDescent="0.25">
      <c r="B319" s="7">
        <v>23.29</v>
      </c>
      <c r="J319" s="7">
        <v>25.94</v>
      </c>
      <c r="K319">
        <v>1</v>
      </c>
      <c r="L319">
        <f t="shared" si="8"/>
        <v>2E-3</v>
      </c>
      <c r="M319">
        <f t="shared" si="9"/>
        <v>0.63000000000000045</v>
      </c>
    </row>
    <row r="320" spans="2:13" x14ac:dyDescent="0.25">
      <c r="B320" s="7">
        <v>22.69</v>
      </c>
      <c r="J320" s="7">
        <v>25.95</v>
      </c>
      <c r="K320">
        <v>1</v>
      </c>
      <c r="L320">
        <f t="shared" si="8"/>
        <v>2E-3</v>
      </c>
      <c r="M320">
        <f t="shared" si="9"/>
        <v>0.63200000000000045</v>
      </c>
    </row>
    <row r="321" spans="2:13" x14ac:dyDescent="0.25">
      <c r="B321" s="7">
        <v>24</v>
      </c>
      <c r="J321" s="7">
        <v>25.95</v>
      </c>
      <c r="K321">
        <v>1</v>
      </c>
      <c r="L321">
        <f t="shared" si="8"/>
        <v>2E-3</v>
      </c>
      <c r="M321">
        <f t="shared" si="9"/>
        <v>0.63400000000000045</v>
      </c>
    </row>
    <row r="322" spans="2:13" x14ac:dyDescent="0.25">
      <c r="B322" s="7">
        <v>23.65</v>
      </c>
      <c r="J322" s="7">
        <v>25.96</v>
      </c>
      <c r="K322">
        <v>1</v>
      </c>
      <c r="L322">
        <f t="shared" si="8"/>
        <v>2E-3</v>
      </c>
      <c r="M322">
        <f t="shared" si="9"/>
        <v>0.63600000000000045</v>
      </c>
    </row>
    <row r="323" spans="2:13" x14ac:dyDescent="0.25">
      <c r="B323" s="7">
        <v>29.31</v>
      </c>
      <c r="J323" s="7">
        <v>25.96</v>
      </c>
      <c r="K323">
        <v>1</v>
      </c>
      <c r="L323">
        <f t="shared" si="8"/>
        <v>2E-3</v>
      </c>
      <c r="M323">
        <f t="shared" si="9"/>
        <v>0.63800000000000046</v>
      </c>
    </row>
    <row r="324" spans="2:13" x14ac:dyDescent="0.25">
      <c r="B324" s="7">
        <v>22.23</v>
      </c>
      <c r="J324" s="7">
        <v>26.01</v>
      </c>
      <c r="K324">
        <v>1</v>
      </c>
      <c r="L324">
        <f t="shared" si="8"/>
        <v>2E-3</v>
      </c>
      <c r="M324">
        <f t="shared" si="9"/>
        <v>0.64000000000000046</v>
      </c>
    </row>
    <row r="325" spans="2:13" x14ac:dyDescent="0.25">
      <c r="B325" s="7">
        <v>24.32</v>
      </c>
      <c r="J325" s="7">
        <v>26.03</v>
      </c>
      <c r="K325">
        <v>1</v>
      </c>
      <c r="L325">
        <f t="shared" si="8"/>
        <v>2E-3</v>
      </c>
      <c r="M325">
        <f t="shared" si="9"/>
        <v>0.64200000000000046</v>
      </c>
    </row>
    <row r="326" spans="2:13" x14ac:dyDescent="0.25">
      <c r="B326" s="7">
        <v>28.08</v>
      </c>
      <c r="J326" s="7">
        <v>26.04</v>
      </c>
      <c r="K326">
        <v>1</v>
      </c>
      <c r="L326">
        <f t="shared" ref="L326:L389" si="10">K326/$E$20</f>
        <v>2E-3</v>
      </c>
      <c r="M326">
        <f t="shared" si="9"/>
        <v>0.64400000000000046</v>
      </c>
    </row>
    <row r="327" spans="2:13" x14ac:dyDescent="0.25">
      <c r="B327" s="7">
        <v>23.47</v>
      </c>
      <c r="J327" s="7">
        <v>26.06</v>
      </c>
      <c r="K327">
        <v>1</v>
      </c>
      <c r="L327">
        <f t="shared" si="10"/>
        <v>2E-3</v>
      </c>
      <c r="M327">
        <f t="shared" ref="M327:M390" si="11">M326+L327</f>
        <v>0.64600000000000046</v>
      </c>
    </row>
    <row r="328" spans="2:13" x14ac:dyDescent="0.25">
      <c r="B328" s="7">
        <v>25.78</v>
      </c>
      <c r="J328" s="7">
        <v>26.09</v>
      </c>
      <c r="K328">
        <v>1</v>
      </c>
      <c r="L328">
        <f t="shared" si="10"/>
        <v>2E-3</v>
      </c>
      <c r="M328">
        <f t="shared" si="11"/>
        <v>0.64800000000000046</v>
      </c>
    </row>
    <row r="329" spans="2:13" x14ac:dyDescent="0.25">
      <c r="B329" s="7">
        <v>23.1</v>
      </c>
      <c r="J329" s="7">
        <v>26.1</v>
      </c>
      <c r="K329">
        <v>1</v>
      </c>
      <c r="L329">
        <f t="shared" si="10"/>
        <v>2E-3</v>
      </c>
      <c r="M329">
        <f t="shared" si="11"/>
        <v>0.65000000000000047</v>
      </c>
    </row>
    <row r="330" spans="2:13" x14ac:dyDescent="0.25">
      <c r="B330" s="7">
        <v>24.52</v>
      </c>
      <c r="J330" s="7">
        <v>26.14</v>
      </c>
      <c r="K330">
        <v>1</v>
      </c>
      <c r="L330">
        <f t="shared" si="10"/>
        <v>2E-3</v>
      </c>
      <c r="M330">
        <f t="shared" si="11"/>
        <v>0.65200000000000047</v>
      </c>
    </row>
    <row r="331" spans="2:13" x14ac:dyDescent="0.25">
      <c r="B331" s="7">
        <v>24.94</v>
      </c>
      <c r="J331" s="7">
        <v>26.18</v>
      </c>
      <c r="K331">
        <v>1</v>
      </c>
      <c r="L331">
        <f t="shared" si="10"/>
        <v>2E-3</v>
      </c>
      <c r="M331">
        <f t="shared" si="11"/>
        <v>0.65400000000000047</v>
      </c>
    </row>
    <row r="332" spans="2:13" x14ac:dyDescent="0.25">
      <c r="B332" s="7">
        <v>31.18</v>
      </c>
      <c r="J332" s="7">
        <v>26.2</v>
      </c>
      <c r="K332">
        <v>1</v>
      </c>
      <c r="L332">
        <f t="shared" si="10"/>
        <v>2E-3</v>
      </c>
      <c r="M332">
        <f t="shared" si="11"/>
        <v>0.65600000000000047</v>
      </c>
    </row>
    <row r="333" spans="2:13" x14ac:dyDescent="0.25">
      <c r="B333" s="7">
        <v>29.15</v>
      </c>
      <c r="J333" s="7">
        <v>26.2</v>
      </c>
      <c r="K333">
        <v>1</v>
      </c>
      <c r="L333">
        <f t="shared" si="10"/>
        <v>2E-3</v>
      </c>
      <c r="M333">
        <f t="shared" si="11"/>
        <v>0.65800000000000047</v>
      </c>
    </row>
    <row r="334" spans="2:13" x14ac:dyDescent="0.25">
      <c r="B334" s="7">
        <v>23.49</v>
      </c>
      <c r="J334" s="7">
        <v>26.24</v>
      </c>
      <c r="K334">
        <v>1</v>
      </c>
      <c r="L334">
        <f t="shared" si="10"/>
        <v>2E-3</v>
      </c>
      <c r="M334">
        <f t="shared" si="11"/>
        <v>0.66000000000000048</v>
      </c>
    </row>
    <row r="335" spans="2:13" x14ac:dyDescent="0.25">
      <c r="B335" s="7">
        <v>27.77</v>
      </c>
      <c r="J335" s="7">
        <v>26.26</v>
      </c>
      <c r="K335">
        <v>1</v>
      </c>
      <c r="L335">
        <f t="shared" si="10"/>
        <v>2E-3</v>
      </c>
      <c r="M335">
        <f t="shared" si="11"/>
        <v>0.66200000000000048</v>
      </c>
    </row>
    <row r="336" spans="2:13" x14ac:dyDescent="0.25">
      <c r="B336" s="7">
        <v>28.41</v>
      </c>
      <c r="J336" s="7">
        <v>26.28</v>
      </c>
      <c r="K336">
        <v>1</v>
      </c>
      <c r="L336">
        <f t="shared" si="10"/>
        <v>2E-3</v>
      </c>
      <c r="M336">
        <f t="shared" si="11"/>
        <v>0.66400000000000048</v>
      </c>
    </row>
    <row r="337" spans="2:13" x14ac:dyDescent="0.25">
      <c r="B337" s="7">
        <v>24.84</v>
      </c>
      <c r="J337" s="7">
        <v>26.29</v>
      </c>
      <c r="K337">
        <v>1</v>
      </c>
      <c r="L337">
        <f t="shared" si="10"/>
        <v>2E-3</v>
      </c>
      <c r="M337">
        <f t="shared" si="11"/>
        <v>0.66600000000000048</v>
      </c>
    </row>
    <row r="338" spans="2:13" x14ac:dyDescent="0.25">
      <c r="B338" s="7">
        <v>22.98</v>
      </c>
      <c r="J338" s="7">
        <v>26.32</v>
      </c>
      <c r="K338">
        <v>1</v>
      </c>
      <c r="L338">
        <f t="shared" si="10"/>
        <v>2E-3</v>
      </c>
      <c r="M338">
        <f t="shared" si="11"/>
        <v>0.66800000000000048</v>
      </c>
    </row>
    <row r="339" spans="2:13" x14ac:dyDescent="0.25">
      <c r="B339" s="7">
        <v>20.34</v>
      </c>
      <c r="J339" s="7">
        <v>26.37</v>
      </c>
      <c r="K339">
        <v>1</v>
      </c>
      <c r="L339">
        <f t="shared" si="10"/>
        <v>2E-3</v>
      </c>
      <c r="M339">
        <f t="shared" si="11"/>
        <v>0.67000000000000048</v>
      </c>
    </row>
    <row r="340" spans="2:13" x14ac:dyDescent="0.25">
      <c r="B340" s="7">
        <v>20.309999999999999</v>
      </c>
      <c r="J340" s="7">
        <v>26.42</v>
      </c>
      <c r="K340">
        <v>1</v>
      </c>
      <c r="L340">
        <f t="shared" si="10"/>
        <v>2E-3</v>
      </c>
      <c r="M340">
        <f t="shared" si="11"/>
        <v>0.67200000000000049</v>
      </c>
    </row>
    <row r="341" spans="2:13" x14ac:dyDescent="0.25">
      <c r="B341" s="7">
        <v>28.51</v>
      </c>
      <c r="J341" s="7">
        <v>26.44</v>
      </c>
      <c r="K341">
        <v>1</v>
      </c>
      <c r="L341">
        <f t="shared" si="10"/>
        <v>2E-3</v>
      </c>
      <c r="M341">
        <f t="shared" si="11"/>
        <v>0.67400000000000049</v>
      </c>
    </row>
    <row r="342" spans="2:13" x14ac:dyDescent="0.25">
      <c r="B342" s="7">
        <v>22.16</v>
      </c>
      <c r="J342" s="7">
        <v>26.44</v>
      </c>
      <c r="K342">
        <v>1</v>
      </c>
      <c r="L342">
        <f t="shared" si="10"/>
        <v>2E-3</v>
      </c>
      <c r="M342">
        <f t="shared" si="11"/>
        <v>0.67600000000000049</v>
      </c>
    </row>
    <row r="343" spans="2:13" x14ac:dyDescent="0.25">
      <c r="B343" s="7">
        <v>29.3</v>
      </c>
      <c r="J343" s="7">
        <v>26.44</v>
      </c>
      <c r="K343">
        <v>1</v>
      </c>
      <c r="L343">
        <f t="shared" si="10"/>
        <v>2E-3</v>
      </c>
      <c r="M343">
        <f t="shared" si="11"/>
        <v>0.67800000000000049</v>
      </c>
    </row>
    <row r="344" spans="2:13" x14ac:dyDescent="0.25">
      <c r="B344" s="7">
        <v>25.75</v>
      </c>
      <c r="J344" s="7">
        <v>26.45</v>
      </c>
      <c r="K344">
        <v>1</v>
      </c>
      <c r="L344">
        <f t="shared" si="10"/>
        <v>2E-3</v>
      </c>
      <c r="M344">
        <f t="shared" si="11"/>
        <v>0.68000000000000049</v>
      </c>
    </row>
    <row r="345" spans="2:13" x14ac:dyDescent="0.25">
      <c r="B345" s="7">
        <v>27.67</v>
      </c>
      <c r="J345" s="7">
        <v>26.46</v>
      </c>
      <c r="K345">
        <v>1</v>
      </c>
      <c r="L345">
        <f t="shared" si="10"/>
        <v>2E-3</v>
      </c>
      <c r="M345">
        <f t="shared" si="11"/>
        <v>0.68200000000000049</v>
      </c>
    </row>
    <row r="346" spans="2:13" x14ac:dyDescent="0.25">
      <c r="B346" s="7">
        <v>28.34</v>
      </c>
      <c r="J346" s="7">
        <v>26.47</v>
      </c>
      <c r="K346">
        <v>1</v>
      </c>
      <c r="L346">
        <f t="shared" si="10"/>
        <v>2E-3</v>
      </c>
      <c r="M346">
        <f t="shared" si="11"/>
        <v>0.6840000000000005</v>
      </c>
    </row>
    <row r="347" spans="2:13" x14ac:dyDescent="0.25">
      <c r="B347" s="7">
        <v>28.4</v>
      </c>
      <c r="J347" s="7">
        <v>26.55</v>
      </c>
      <c r="K347">
        <v>1</v>
      </c>
      <c r="L347">
        <f t="shared" si="10"/>
        <v>2E-3</v>
      </c>
      <c r="M347">
        <f t="shared" si="11"/>
        <v>0.6860000000000005</v>
      </c>
    </row>
    <row r="348" spans="2:13" x14ac:dyDescent="0.25">
      <c r="B348" s="7">
        <v>20.85</v>
      </c>
      <c r="J348" s="7">
        <v>26.56</v>
      </c>
      <c r="K348">
        <v>1</v>
      </c>
      <c r="L348">
        <f t="shared" si="10"/>
        <v>2E-3</v>
      </c>
      <c r="M348">
        <f t="shared" si="11"/>
        <v>0.6880000000000005</v>
      </c>
    </row>
    <row r="349" spans="2:13" x14ac:dyDescent="0.25">
      <c r="B349" s="7">
        <v>21.22</v>
      </c>
      <c r="J349" s="7">
        <v>26.59</v>
      </c>
      <c r="K349">
        <v>1</v>
      </c>
      <c r="L349">
        <f t="shared" si="10"/>
        <v>2E-3</v>
      </c>
      <c r="M349">
        <f t="shared" si="11"/>
        <v>0.6900000000000005</v>
      </c>
    </row>
    <row r="350" spans="2:13" x14ac:dyDescent="0.25">
      <c r="B350" s="7">
        <v>25.57</v>
      </c>
      <c r="J350" s="7">
        <v>26.64</v>
      </c>
      <c r="K350">
        <v>1</v>
      </c>
      <c r="L350">
        <f t="shared" si="10"/>
        <v>2E-3</v>
      </c>
      <c r="M350">
        <f t="shared" si="11"/>
        <v>0.6920000000000005</v>
      </c>
    </row>
    <row r="351" spans="2:13" x14ac:dyDescent="0.25">
      <c r="B351" s="7">
        <v>25.5</v>
      </c>
      <c r="J351" s="7">
        <v>26.65</v>
      </c>
      <c r="K351">
        <v>1</v>
      </c>
      <c r="L351">
        <f t="shared" si="10"/>
        <v>2E-3</v>
      </c>
      <c r="M351">
        <f t="shared" si="11"/>
        <v>0.69400000000000051</v>
      </c>
    </row>
    <row r="352" spans="2:13" x14ac:dyDescent="0.25">
      <c r="B352" s="7">
        <v>28.43</v>
      </c>
      <c r="J352" s="7">
        <v>26.7</v>
      </c>
      <c r="K352">
        <v>1</v>
      </c>
      <c r="L352">
        <f t="shared" si="10"/>
        <v>2E-3</v>
      </c>
      <c r="M352">
        <f t="shared" si="11"/>
        <v>0.69600000000000051</v>
      </c>
    </row>
    <row r="353" spans="2:13" x14ac:dyDescent="0.25">
      <c r="B353" s="7">
        <v>21.46</v>
      </c>
      <c r="J353" s="7">
        <v>26.73</v>
      </c>
      <c r="K353">
        <v>1</v>
      </c>
      <c r="L353">
        <f t="shared" si="10"/>
        <v>2E-3</v>
      </c>
      <c r="M353">
        <f t="shared" si="11"/>
        <v>0.69800000000000051</v>
      </c>
    </row>
    <row r="354" spans="2:13" x14ac:dyDescent="0.25">
      <c r="B354" s="7">
        <v>23.77</v>
      </c>
      <c r="J354" s="7">
        <v>26.74</v>
      </c>
      <c r="K354">
        <v>1</v>
      </c>
      <c r="L354">
        <f t="shared" si="10"/>
        <v>2E-3</v>
      </c>
      <c r="M354">
        <f t="shared" si="11"/>
        <v>0.70000000000000051</v>
      </c>
    </row>
    <row r="355" spans="2:13" x14ac:dyDescent="0.25">
      <c r="B355" s="7">
        <v>29.21</v>
      </c>
      <c r="J355" s="7">
        <v>26.77</v>
      </c>
      <c r="K355">
        <v>1</v>
      </c>
      <c r="L355">
        <f t="shared" si="10"/>
        <v>2E-3</v>
      </c>
      <c r="M355">
        <f t="shared" si="11"/>
        <v>0.70200000000000051</v>
      </c>
    </row>
    <row r="356" spans="2:13" x14ac:dyDescent="0.25">
      <c r="B356" s="7">
        <v>25.7</v>
      </c>
      <c r="J356" s="7">
        <v>26.78</v>
      </c>
      <c r="K356">
        <v>1</v>
      </c>
      <c r="L356">
        <f t="shared" si="10"/>
        <v>2E-3</v>
      </c>
      <c r="M356">
        <f t="shared" si="11"/>
        <v>0.70400000000000051</v>
      </c>
    </row>
    <row r="357" spans="2:13" x14ac:dyDescent="0.25">
      <c r="B357" s="7">
        <v>24.37</v>
      </c>
      <c r="J357" s="7">
        <v>26.84</v>
      </c>
      <c r="K357">
        <v>1</v>
      </c>
      <c r="L357">
        <f t="shared" si="10"/>
        <v>2E-3</v>
      </c>
      <c r="M357">
        <f t="shared" si="11"/>
        <v>0.70600000000000052</v>
      </c>
    </row>
    <row r="358" spans="2:13" x14ac:dyDescent="0.25">
      <c r="B358" s="7">
        <v>26.7</v>
      </c>
      <c r="J358" s="7">
        <v>26.84</v>
      </c>
      <c r="K358">
        <v>1</v>
      </c>
      <c r="L358">
        <f t="shared" si="10"/>
        <v>2E-3</v>
      </c>
      <c r="M358">
        <f t="shared" si="11"/>
        <v>0.70800000000000052</v>
      </c>
    </row>
    <row r="359" spans="2:13" x14ac:dyDescent="0.25">
      <c r="B359" s="7">
        <v>21.5</v>
      </c>
      <c r="J359" s="7">
        <v>26.85</v>
      </c>
      <c r="K359">
        <v>1</v>
      </c>
      <c r="L359">
        <f t="shared" si="10"/>
        <v>2E-3</v>
      </c>
      <c r="M359">
        <f t="shared" si="11"/>
        <v>0.71000000000000052</v>
      </c>
    </row>
    <row r="360" spans="2:13" x14ac:dyDescent="0.25">
      <c r="B360" s="7">
        <v>26.24</v>
      </c>
      <c r="J360" s="7">
        <v>26.86</v>
      </c>
      <c r="K360">
        <v>1</v>
      </c>
      <c r="L360">
        <f t="shared" si="10"/>
        <v>2E-3</v>
      </c>
      <c r="M360">
        <f t="shared" si="11"/>
        <v>0.71200000000000052</v>
      </c>
    </row>
    <row r="361" spans="2:13" x14ac:dyDescent="0.25">
      <c r="B361" s="7">
        <v>23.08</v>
      </c>
      <c r="J361" s="7">
        <v>26.87</v>
      </c>
      <c r="K361">
        <v>1</v>
      </c>
      <c r="L361">
        <f t="shared" si="10"/>
        <v>2E-3</v>
      </c>
      <c r="M361">
        <f t="shared" si="11"/>
        <v>0.71400000000000052</v>
      </c>
    </row>
    <row r="362" spans="2:13" x14ac:dyDescent="0.25">
      <c r="B362" s="7">
        <v>27.69</v>
      </c>
      <c r="J362" s="7">
        <v>26.87</v>
      </c>
      <c r="K362">
        <v>1</v>
      </c>
      <c r="L362">
        <f t="shared" si="10"/>
        <v>2E-3</v>
      </c>
      <c r="M362">
        <f t="shared" si="11"/>
        <v>0.71600000000000052</v>
      </c>
    </row>
    <row r="363" spans="2:13" x14ac:dyDescent="0.25">
      <c r="B363" s="7">
        <v>25.48</v>
      </c>
      <c r="J363" s="7">
        <v>26.88</v>
      </c>
      <c r="K363">
        <v>1</v>
      </c>
      <c r="L363">
        <f t="shared" si="10"/>
        <v>2E-3</v>
      </c>
      <c r="M363">
        <f t="shared" si="11"/>
        <v>0.71800000000000053</v>
      </c>
    </row>
    <row r="364" spans="2:13" x14ac:dyDescent="0.25">
      <c r="B364" s="7">
        <v>21.94</v>
      </c>
      <c r="J364" s="7">
        <v>26.95</v>
      </c>
      <c r="K364">
        <v>1</v>
      </c>
      <c r="L364">
        <f t="shared" si="10"/>
        <v>2E-3</v>
      </c>
      <c r="M364">
        <f t="shared" si="11"/>
        <v>0.72000000000000053</v>
      </c>
    </row>
    <row r="365" spans="2:13" x14ac:dyDescent="0.25">
      <c r="B365" s="7">
        <v>22.25</v>
      </c>
      <c r="J365" s="7">
        <v>26.99</v>
      </c>
      <c r="K365">
        <v>1</v>
      </c>
      <c r="L365">
        <f t="shared" si="10"/>
        <v>2E-3</v>
      </c>
      <c r="M365">
        <f t="shared" si="11"/>
        <v>0.72200000000000053</v>
      </c>
    </row>
    <row r="366" spans="2:13" x14ac:dyDescent="0.25">
      <c r="B366" s="7">
        <v>23.44</v>
      </c>
      <c r="J366" s="7">
        <v>27.01</v>
      </c>
      <c r="K366">
        <v>1</v>
      </c>
      <c r="L366">
        <f t="shared" si="10"/>
        <v>2E-3</v>
      </c>
      <c r="M366">
        <f t="shared" si="11"/>
        <v>0.72400000000000053</v>
      </c>
    </row>
    <row r="367" spans="2:13" x14ac:dyDescent="0.25">
      <c r="B367" s="7">
        <v>20.27</v>
      </c>
      <c r="J367" s="7">
        <v>27.01</v>
      </c>
      <c r="K367">
        <v>1</v>
      </c>
      <c r="L367">
        <f t="shared" si="10"/>
        <v>2E-3</v>
      </c>
      <c r="M367">
        <f t="shared" si="11"/>
        <v>0.72600000000000053</v>
      </c>
    </row>
    <row r="368" spans="2:13" x14ac:dyDescent="0.25">
      <c r="B368" s="7">
        <v>27.17</v>
      </c>
      <c r="J368" s="7">
        <v>27.01</v>
      </c>
      <c r="K368">
        <v>1</v>
      </c>
      <c r="L368">
        <f t="shared" si="10"/>
        <v>2E-3</v>
      </c>
      <c r="M368">
        <f t="shared" si="11"/>
        <v>0.72800000000000054</v>
      </c>
    </row>
    <row r="369" spans="2:13" x14ac:dyDescent="0.25">
      <c r="B369" s="7">
        <v>22.48</v>
      </c>
      <c r="J369" s="7">
        <v>27.04</v>
      </c>
      <c r="K369">
        <v>1</v>
      </c>
      <c r="L369">
        <f t="shared" si="10"/>
        <v>2E-3</v>
      </c>
      <c r="M369">
        <f t="shared" si="11"/>
        <v>0.73000000000000054</v>
      </c>
    </row>
    <row r="370" spans="2:13" x14ac:dyDescent="0.25">
      <c r="B370" s="7">
        <v>23.18</v>
      </c>
      <c r="J370" s="7">
        <v>27.05</v>
      </c>
      <c r="K370">
        <v>1</v>
      </c>
      <c r="L370">
        <f t="shared" si="10"/>
        <v>2E-3</v>
      </c>
      <c r="M370">
        <f t="shared" si="11"/>
        <v>0.73200000000000054</v>
      </c>
    </row>
    <row r="371" spans="2:13" x14ac:dyDescent="0.25">
      <c r="B371" s="7">
        <v>23.12</v>
      </c>
      <c r="J371" s="7">
        <v>27.06</v>
      </c>
      <c r="K371">
        <v>1</v>
      </c>
      <c r="L371">
        <f t="shared" si="10"/>
        <v>2E-3</v>
      </c>
      <c r="M371">
        <f t="shared" si="11"/>
        <v>0.73400000000000054</v>
      </c>
    </row>
    <row r="372" spans="2:13" x14ac:dyDescent="0.25">
      <c r="B372" s="7">
        <v>21.89</v>
      </c>
      <c r="J372" s="7">
        <v>27.08</v>
      </c>
      <c r="K372">
        <v>1</v>
      </c>
      <c r="L372">
        <f t="shared" si="10"/>
        <v>2E-3</v>
      </c>
      <c r="M372">
        <f t="shared" si="11"/>
        <v>0.73600000000000054</v>
      </c>
    </row>
    <row r="373" spans="2:13" x14ac:dyDescent="0.25">
      <c r="B373" s="7">
        <v>29.69</v>
      </c>
      <c r="J373" s="7">
        <v>27.09</v>
      </c>
      <c r="K373">
        <v>1</v>
      </c>
      <c r="L373">
        <f t="shared" si="10"/>
        <v>2E-3</v>
      </c>
      <c r="M373">
        <f t="shared" si="11"/>
        <v>0.73800000000000054</v>
      </c>
    </row>
    <row r="374" spans="2:13" x14ac:dyDescent="0.25">
      <c r="B374" s="7">
        <v>25.95</v>
      </c>
      <c r="J374" s="7">
        <v>27.09</v>
      </c>
      <c r="K374">
        <v>1</v>
      </c>
      <c r="L374">
        <f t="shared" si="10"/>
        <v>2E-3</v>
      </c>
      <c r="M374">
        <f t="shared" si="11"/>
        <v>0.74000000000000055</v>
      </c>
    </row>
    <row r="375" spans="2:13" x14ac:dyDescent="0.25">
      <c r="B375" s="7">
        <v>26.88</v>
      </c>
      <c r="J375" s="7">
        <v>27.09</v>
      </c>
      <c r="K375">
        <v>1</v>
      </c>
      <c r="L375">
        <f t="shared" si="10"/>
        <v>2E-3</v>
      </c>
      <c r="M375">
        <f t="shared" si="11"/>
        <v>0.74200000000000055</v>
      </c>
    </row>
    <row r="376" spans="2:13" x14ac:dyDescent="0.25">
      <c r="B376" s="7">
        <v>24.51</v>
      </c>
      <c r="J376" s="7">
        <v>27.12</v>
      </c>
      <c r="K376">
        <v>1</v>
      </c>
      <c r="L376">
        <f t="shared" si="10"/>
        <v>2E-3</v>
      </c>
      <c r="M376">
        <f t="shared" si="11"/>
        <v>0.74400000000000055</v>
      </c>
    </row>
    <row r="377" spans="2:13" x14ac:dyDescent="0.25">
      <c r="B377" s="7">
        <v>22.46</v>
      </c>
      <c r="J377" s="7">
        <v>27.12</v>
      </c>
      <c r="K377">
        <v>1</v>
      </c>
      <c r="L377">
        <f t="shared" si="10"/>
        <v>2E-3</v>
      </c>
      <c r="M377">
        <f t="shared" si="11"/>
        <v>0.74600000000000055</v>
      </c>
    </row>
    <row r="378" spans="2:13" x14ac:dyDescent="0.25">
      <c r="B378" s="7">
        <v>29.08</v>
      </c>
      <c r="J378" s="7">
        <v>27.16</v>
      </c>
      <c r="K378">
        <v>1</v>
      </c>
      <c r="L378">
        <f t="shared" si="10"/>
        <v>2E-3</v>
      </c>
      <c r="M378">
        <f t="shared" si="11"/>
        <v>0.74800000000000055</v>
      </c>
    </row>
    <row r="379" spans="2:13" x14ac:dyDescent="0.25">
      <c r="B379" s="7">
        <v>24.66</v>
      </c>
      <c r="J379" s="7">
        <v>27.17</v>
      </c>
      <c r="K379">
        <v>1</v>
      </c>
      <c r="L379">
        <f t="shared" si="10"/>
        <v>2E-3</v>
      </c>
      <c r="M379">
        <f t="shared" si="11"/>
        <v>0.75000000000000056</v>
      </c>
    </row>
    <row r="380" spans="2:13" x14ac:dyDescent="0.25">
      <c r="B380" s="7">
        <v>22.31</v>
      </c>
      <c r="J380" s="7">
        <v>27.17</v>
      </c>
      <c r="K380">
        <v>1</v>
      </c>
      <c r="L380">
        <f t="shared" si="10"/>
        <v>2E-3</v>
      </c>
      <c r="M380">
        <f t="shared" si="11"/>
        <v>0.75200000000000056</v>
      </c>
    </row>
    <row r="381" spans="2:13" x14ac:dyDescent="0.25">
      <c r="B381" s="7">
        <v>22.45</v>
      </c>
      <c r="J381" s="7">
        <v>27.18</v>
      </c>
      <c r="K381">
        <v>1</v>
      </c>
      <c r="L381">
        <f t="shared" si="10"/>
        <v>2E-3</v>
      </c>
      <c r="M381">
        <f t="shared" si="11"/>
        <v>0.75400000000000056</v>
      </c>
    </row>
    <row r="382" spans="2:13" x14ac:dyDescent="0.25">
      <c r="B382" s="7">
        <v>22.83</v>
      </c>
      <c r="J382" s="7">
        <v>27.21</v>
      </c>
      <c r="K382">
        <v>1</v>
      </c>
      <c r="L382">
        <f t="shared" si="10"/>
        <v>2E-3</v>
      </c>
      <c r="M382">
        <f t="shared" si="11"/>
        <v>0.75600000000000056</v>
      </c>
    </row>
    <row r="383" spans="2:13" x14ac:dyDescent="0.25">
      <c r="B383" s="7">
        <v>23.73</v>
      </c>
      <c r="J383" s="7">
        <v>27.22</v>
      </c>
      <c r="K383">
        <v>1</v>
      </c>
      <c r="L383">
        <f t="shared" si="10"/>
        <v>2E-3</v>
      </c>
      <c r="M383">
        <f t="shared" si="11"/>
        <v>0.75800000000000056</v>
      </c>
    </row>
    <row r="384" spans="2:13" x14ac:dyDescent="0.25">
      <c r="B384" s="7">
        <v>25.62</v>
      </c>
      <c r="J384" s="7">
        <v>27.22</v>
      </c>
      <c r="K384">
        <v>1</v>
      </c>
      <c r="L384">
        <f t="shared" si="10"/>
        <v>2E-3</v>
      </c>
      <c r="M384">
        <f t="shared" si="11"/>
        <v>0.76000000000000056</v>
      </c>
    </row>
    <row r="385" spans="2:13" x14ac:dyDescent="0.25">
      <c r="B385" s="7">
        <v>21.92</v>
      </c>
      <c r="J385" s="7">
        <v>27.23</v>
      </c>
      <c r="K385">
        <v>1</v>
      </c>
      <c r="L385">
        <f t="shared" si="10"/>
        <v>2E-3</v>
      </c>
      <c r="M385">
        <f t="shared" si="11"/>
        <v>0.76200000000000057</v>
      </c>
    </row>
    <row r="386" spans="2:13" x14ac:dyDescent="0.25">
      <c r="B386" s="7">
        <v>22.06</v>
      </c>
      <c r="J386" s="7">
        <v>27.23</v>
      </c>
      <c r="K386">
        <v>1</v>
      </c>
      <c r="L386">
        <f t="shared" si="10"/>
        <v>2E-3</v>
      </c>
      <c r="M386">
        <f t="shared" si="11"/>
        <v>0.76400000000000057</v>
      </c>
    </row>
    <row r="387" spans="2:13" x14ac:dyDescent="0.25">
      <c r="B387" s="7">
        <v>25.13</v>
      </c>
      <c r="J387" s="7">
        <v>27.23</v>
      </c>
      <c r="K387">
        <v>1</v>
      </c>
      <c r="L387">
        <f t="shared" si="10"/>
        <v>2E-3</v>
      </c>
      <c r="M387">
        <f t="shared" si="11"/>
        <v>0.76600000000000057</v>
      </c>
    </row>
    <row r="388" spans="2:13" x14ac:dyDescent="0.25">
      <c r="B388" s="7">
        <v>21.56</v>
      </c>
      <c r="J388" s="7">
        <v>27.23</v>
      </c>
      <c r="K388">
        <v>1</v>
      </c>
      <c r="L388">
        <f t="shared" si="10"/>
        <v>2E-3</v>
      </c>
      <c r="M388">
        <f t="shared" si="11"/>
        <v>0.76800000000000057</v>
      </c>
    </row>
    <row r="389" spans="2:13" x14ac:dyDescent="0.25">
      <c r="B389" s="7">
        <v>23.39</v>
      </c>
      <c r="J389" s="7">
        <v>27.24</v>
      </c>
      <c r="K389">
        <v>1</v>
      </c>
      <c r="L389">
        <f t="shared" si="10"/>
        <v>2E-3</v>
      </c>
      <c r="M389">
        <f t="shared" si="11"/>
        <v>0.77000000000000057</v>
      </c>
    </row>
    <row r="390" spans="2:13" x14ac:dyDescent="0.25">
      <c r="B390" s="7">
        <v>23.22</v>
      </c>
      <c r="J390" s="7">
        <v>27.25</v>
      </c>
      <c r="K390">
        <v>1</v>
      </c>
      <c r="L390">
        <f t="shared" ref="L390:L453" si="12">K390/$E$20</f>
        <v>2E-3</v>
      </c>
      <c r="M390">
        <f t="shared" si="11"/>
        <v>0.77200000000000057</v>
      </c>
    </row>
    <row r="391" spans="2:13" x14ac:dyDescent="0.25">
      <c r="B391" s="7">
        <v>29.09</v>
      </c>
      <c r="J391" s="7">
        <v>27.26</v>
      </c>
      <c r="K391">
        <v>1</v>
      </c>
      <c r="L391">
        <f t="shared" si="12"/>
        <v>2E-3</v>
      </c>
      <c r="M391">
        <f t="shared" ref="M391:M454" si="13">M390+L391</f>
        <v>0.77400000000000058</v>
      </c>
    </row>
    <row r="392" spans="2:13" x14ac:dyDescent="0.25">
      <c r="B392" s="7">
        <v>25.96</v>
      </c>
      <c r="J392" s="7">
        <v>27.26</v>
      </c>
      <c r="K392">
        <v>1</v>
      </c>
      <c r="L392">
        <f t="shared" si="12"/>
        <v>2E-3</v>
      </c>
      <c r="M392">
        <f t="shared" si="13"/>
        <v>0.77600000000000058</v>
      </c>
    </row>
    <row r="393" spans="2:13" x14ac:dyDescent="0.25">
      <c r="B393" s="7">
        <v>19.989999999999998</v>
      </c>
      <c r="J393" s="7">
        <v>27.28</v>
      </c>
      <c r="K393">
        <v>1</v>
      </c>
      <c r="L393">
        <f t="shared" si="12"/>
        <v>2E-3</v>
      </c>
      <c r="M393">
        <f t="shared" si="13"/>
        <v>0.77800000000000058</v>
      </c>
    </row>
    <row r="394" spans="2:13" x14ac:dyDescent="0.25">
      <c r="B394" s="7">
        <v>23.43</v>
      </c>
      <c r="J394" s="7">
        <v>27.36</v>
      </c>
      <c r="K394">
        <v>1</v>
      </c>
      <c r="L394">
        <f t="shared" si="12"/>
        <v>2E-3</v>
      </c>
      <c r="M394">
        <f t="shared" si="13"/>
        <v>0.78000000000000058</v>
      </c>
    </row>
    <row r="395" spans="2:13" x14ac:dyDescent="0.25">
      <c r="B395" s="7">
        <v>28.92</v>
      </c>
      <c r="J395" s="7">
        <v>27.4</v>
      </c>
      <c r="K395">
        <v>1</v>
      </c>
      <c r="L395">
        <f t="shared" si="12"/>
        <v>2E-3</v>
      </c>
      <c r="M395">
        <f t="shared" si="13"/>
        <v>0.78200000000000058</v>
      </c>
    </row>
    <row r="396" spans="2:13" x14ac:dyDescent="0.25">
      <c r="B396" s="7">
        <v>27.09</v>
      </c>
      <c r="J396" s="7">
        <v>27.43</v>
      </c>
      <c r="K396">
        <v>1</v>
      </c>
      <c r="L396">
        <f t="shared" si="12"/>
        <v>2E-3</v>
      </c>
      <c r="M396">
        <f t="shared" si="13"/>
        <v>0.78400000000000059</v>
      </c>
    </row>
    <row r="397" spans="2:13" x14ac:dyDescent="0.25">
      <c r="B397" s="7">
        <v>24.6</v>
      </c>
      <c r="J397" s="7">
        <v>27.5</v>
      </c>
      <c r="K397">
        <v>1</v>
      </c>
      <c r="L397">
        <f t="shared" si="12"/>
        <v>2E-3</v>
      </c>
      <c r="M397">
        <f t="shared" si="13"/>
        <v>0.78600000000000059</v>
      </c>
    </row>
    <row r="398" spans="2:13" x14ac:dyDescent="0.25">
      <c r="B398" s="7">
        <v>24.33</v>
      </c>
      <c r="J398" s="7">
        <v>27.53</v>
      </c>
      <c r="K398">
        <v>1</v>
      </c>
      <c r="L398">
        <f t="shared" si="12"/>
        <v>2E-3</v>
      </c>
      <c r="M398">
        <f t="shared" si="13"/>
        <v>0.78800000000000059</v>
      </c>
    </row>
    <row r="399" spans="2:13" x14ac:dyDescent="0.25">
      <c r="B399" s="7">
        <v>25.52</v>
      </c>
      <c r="J399" s="7">
        <v>27.6</v>
      </c>
      <c r="K399">
        <v>1</v>
      </c>
      <c r="L399">
        <f t="shared" si="12"/>
        <v>2E-3</v>
      </c>
      <c r="M399">
        <f t="shared" si="13"/>
        <v>0.79000000000000059</v>
      </c>
    </row>
    <row r="400" spans="2:13" x14ac:dyDescent="0.25">
      <c r="B400" s="7">
        <v>30.9</v>
      </c>
      <c r="J400" s="7">
        <v>27.6</v>
      </c>
      <c r="K400">
        <v>1</v>
      </c>
      <c r="L400">
        <f t="shared" si="12"/>
        <v>2E-3</v>
      </c>
      <c r="M400">
        <f t="shared" si="13"/>
        <v>0.79200000000000059</v>
      </c>
    </row>
    <row r="401" spans="2:13" x14ac:dyDescent="0.25">
      <c r="B401" s="7">
        <v>25.34</v>
      </c>
      <c r="J401" s="7">
        <v>27.62</v>
      </c>
      <c r="K401">
        <v>1</v>
      </c>
      <c r="L401">
        <f t="shared" si="12"/>
        <v>2E-3</v>
      </c>
      <c r="M401">
        <f t="shared" si="13"/>
        <v>0.79400000000000059</v>
      </c>
    </row>
    <row r="402" spans="2:13" x14ac:dyDescent="0.25">
      <c r="B402" s="7">
        <v>26.64</v>
      </c>
      <c r="J402" s="7">
        <v>27.62</v>
      </c>
      <c r="K402">
        <v>1</v>
      </c>
      <c r="L402">
        <f t="shared" si="12"/>
        <v>2E-3</v>
      </c>
      <c r="M402">
        <f t="shared" si="13"/>
        <v>0.7960000000000006</v>
      </c>
    </row>
    <row r="403" spans="2:13" x14ac:dyDescent="0.25">
      <c r="B403" s="7">
        <v>24.06</v>
      </c>
      <c r="J403" s="7">
        <v>27.67</v>
      </c>
      <c r="K403">
        <v>1</v>
      </c>
      <c r="L403">
        <f t="shared" si="12"/>
        <v>2E-3</v>
      </c>
      <c r="M403">
        <f t="shared" si="13"/>
        <v>0.7980000000000006</v>
      </c>
    </row>
    <row r="404" spans="2:13" x14ac:dyDescent="0.25">
      <c r="B404" s="7">
        <v>20.53</v>
      </c>
      <c r="J404" s="7">
        <v>27.68</v>
      </c>
      <c r="K404">
        <v>1</v>
      </c>
      <c r="L404">
        <f t="shared" si="12"/>
        <v>2E-3</v>
      </c>
      <c r="M404">
        <f t="shared" si="13"/>
        <v>0.8000000000000006</v>
      </c>
    </row>
    <row r="405" spans="2:13" x14ac:dyDescent="0.25">
      <c r="B405" s="7">
        <v>28.44</v>
      </c>
      <c r="J405" s="7">
        <v>27.69</v>
      </c>
      <c r="K405">
        <v>1</v>
      </c>
      <c r="L405">
        <f t="shared" si="12"/>
        <v>2E-3</v>
      </c>
      <c r="M405">
        <f t="shared" si="13"/>
        <v>0.8020000000000006</v>
      </c>
    </row>
    <row r="406" spans="2:13" x14ac:dyDescent="0.25">
      <c r="B406" s="7">
        <v>24.25</v>
      </c>
      <c r="J406" s="7">
        <v>27.75</v>
      </c>
      <c r="K406">
        <v>1</v>
      </c>
      <c r="L406">
        <f t="shared" si="12"/>
        <v>2E-3</v>
      </c>
      <c r="M406">
        <f t="shared" si="13"/>
        <v>0.8040000000000006</v>
      </c>
    </row>
    <row r="407" spans="2:13" x14ac:dyDescent="0.25">
      <c r="B407" s="7">
        <v>27.01</v>
      </c>
      <c r="J407" s="7">
        <v>27.77</v>
      </c>
      <c r="K407">
        <v>1</v>
      </c>
      <c r="L407">
        <f t="shared" si="12"/>
        <v>2E-3</v>
      </c>
      <c r="M407">
        <f t="shared" si="13"/>
        <v>0.8060000000000006</v>
      </c>
    </row>
    <row r="408" spans="2:13" x14ac:dyDescent="0.25">
      <c r="B408" s="7">
        <v>21.43</v>
      </c>
      <c r="J408" s="7">
        <v>27.79</v>
      </c>
      <c r="K408">
        <v>1</v>
      </c>
      <c r="L408">
        <f t="shared" si="12"/>
        <v>2E-3</v>
      </c>
      <c r="M408">
        <f t="shared" si="13"/>
        <v>0.80800000000000061</v>
      </c>
    </row>
    <row r="409" spans="2:13" x14ac:dyDescent="0.25">
      <c r="B409" s="7">
        <v>26.44</v>
      </c>
      <c r="J409" s="7">
        <v>27.81</v>
      </c>
      <c r="K409">
        <v>1</v>
      </c>
      <c r="L409">
        <f t="shared" si="12"/>
        <v>2E-3</v>
      </c>
      <c r="M409">
        <f t="shared" si="13"/>
        <v>0.81000000000000061</v>
      </c>
    </row>
    <row r="410" spans="2:13" x14ac:dyDescent="0.25">
      <c r="B410" s="7">
        <v>27.06</v>
      </c>
      <c r="J410" s="7">
        <v>27.82</v>
      </c>
      <c r="K410">
        <v>1</v>
      </c>
      <c r="L410">
        <f t="shared" si="12"/>
        <v>2E-3</v>
      </c>
      <c r="M410">
        <f t="shared" si="13"/>
        <v>0.81200000000000061</v>
      </c>
    </row>
    <row r="411" spans="2:13" x14ac:dyDescent="0.25">
      <c r="B411" s="7">
        <v>23.98</v>
      </c>
      <c r="J411" s="7">
        <v>27.83</v>
      </c>
      <c r="K411">
        <v>1</v>
      </c>
      <c r="L411">
        <f t="shared" si="12"/>
        <v>2E-3</v>
      </c>
      <c r="M411">
        <f t="shared" si="13"/>
        <v>0.81400000000000061</v>
      </c>
    </row>
    <row r="412" spans="2:13" x14ac:dyDescent="0.25">
      <c r="B412" s="7">
        <v>22.06</v>
      </c>
      <c r="J412" s="7">
        <v>27.85</v>
      </c>
      <c r="K412">
        <v>1</v>
      </c>
      <c r="L412">
        <f t="shared" si="12"/>
        <v>2E-3</v>
      </c>
      <c r="M412">
        <f t="shared" si="13"/>
        <v>0.81600000000000061</v>
      </c>
    </row>
    <row r="413" spans="2:13" x14ac:dyDescent="0.25">
      <c r="B413" s="7">
        <v>20.77</v>
      </c>
      <c r="J413" s="7">
        <v>27.92</v>
      </c>
      <c r="K413">
        <v>1</v>
      </c>
      <c r="L413">
        <f t="shared" si="12"/>
        <v>2E-3</v>
      </c>
      <c r="M413">
        <f t="shared" si="13"/>
        <v>0.81800000000000062</v>
      </c>
    </row>
    <row r="414" spans="2:13" x14ac:dyDescent="0.25">
      <c r="B414" s="7">
        <v>23.31</v>
      </c>
      <c r="J414" s="7">
        <v>27.94</v>
      </c>
      <c r="K414">
        <v>1</v>
      </c>
      <c r="L414">
        <f t="shared" si="12"/>
        <v>2E-3</v>
      </c>
      <c r="M414">
        <f t="shared" si="13"/>
        <v>0.82000000000000062</v>
      </c>
    </row>
    <row r="415" spans="2:13" x14ac:dyDescent="0.25">
      <c r="B415" s="7">
        <v>26.37</v>
      </c>
      <c r="J415" s="7">
        <v>27.95</v>
      </c>
      <c r="K415">
        <v>1</v>
      </c>
      <c r="L415">
        <f t="shared" si="12"/>
        <v>2E-3</v>
      </c>
      <c r="M415">
        <f t="shared" si="13"/>
        <v>0.82200000000000062</v>
      </c>
    </row>
    <row r="416" spans="2:13" x14ac:dyDescent="0.25">
      <c r="B416" s="7">
        <v>23.8</v>
      </c>
      <c r="J416" s="7">
        <v>28</v>
      </c>
      <c r="K416">
        <v>1</v>
      </c>
      <c r="L416">
        <f t="shared" si="12"/>
        <v>2E-3</v>
      </c>
      <c r="M416">
        <f t="shared" si="13"/>
        <v>0.82400000000000062</v>
      </c>
    </row>
    <row r="417" spans="2:13" x14ac:dyDescent="0.25">
      <c r="B417" s="7">
        <v>26.73</v>
      </c>
      <c r="J417" s="7">
        <v>28.01</v>
      </c>
      <c r="K417">
        <v>1</v>
      </c>
      <c r="L417">
        <f t="shared" si="12"/>
        <v>2E-3</v>
      </c>
      <c r="M417">
        <f t="shared" si="13"/>
        <v>0.82600000000000062</v>
      </c>
    </row>
    <row r="418" spans="2:13" x14ac:dyDescent="0.25">
      <c r="B418" s="7">
        <v>23.39</v>
      </c>
      <c r="J418" s="7">
        <v>28.03</v>
      </c>
      <c r="K418">
        <v>1</v>
      </c>
      <c r="L418">
        <f t="shared" si="12"/>
        <v>2E-3</v>
      </c>
      <c r="M418">
        <f t="shared" si="13"/>
        <v>0.82800000000000062</v>
      </c>
    </row>
    <row r="419" spans="2:13" x14ac:dyDescent="0.25">
      <c r="B419" s="7">
        <v>24.69</v>
      </c>
      <c r="J419" s="7">
        <v>28.08</v>
      </c>
      <c r="K419">
        <v>1</v>
      </c>
      <c r="L419">
        <f t="shared" si="12"/>
        <v>2E-3</v>
      </c>
      <c r="M419">
        <f t="shared" si="13"/>
        <v>0.83000000000000063</v>
      </c>
    </row>
    <row r="420" spans="2:13" x14ac:dyDescent="0.25">
      <c r="B420" s="7">
        <v>27.5</v>
      </c>
      <c r="J420" s="7">
        <v>28.08</v>
      </c>
      <c r="K420">
        <v>1</v>
      </c>
      <c r="L420">
        <f t="shared" si="12"/>
        <v>2E-3</v>
      </c>
      <c r="M420">
        <f t="shared" si="13"/>
        <v>0.83200000000000063</v>
      </c>
    </row>
    <row r="421" spans="2:13" x14ac:dyDescent="0.25">
      <c r="B421" s="7">
        <v>22.88</v>
      </c>
      <c r="J421" s="7">
        <v>28.09</v>
      </c>
      <c r="K421">
        <v>1</v>
      </c>
      <c r="L421">
        <f t="shared" si="12"/>
        <v>2E-3</v>
      </c>
      <c r="M421">
        <f t="shared" si="13"/>
        <v>0.83400000000000063</v>
      </c>
    </row>
    <row r="422" spans="2:13" x14ac:dyDescent="0.25">
      <c r="B422" s="7">
        <v>22.57</v>
      </c>
      <c r="J422" s="7">
        <v>28.12</v>
      </c>
      <c r="K422">
        <v>1</v>
      </c>
      <c r="L422">
        <f t="shared" si="12"/>
        <v>2E-3</v>
      </c>
      <c r="M422">
        <f t="shared" si="13"/>
        <v>0.83600000000000063</v>
      </c>
    </row>
    <row r="423" spans="2:13" x14ac:dyDescent="0.25">
      <c r="B423" s="7">
        <v>28.77</v>
      </c>
      <c r="J423" s="7">
        <v>28.14</v>
      </c>
      <c r="K423">
        <v>1</v>
      </c>
      <c r="L423">
        <f t="shared" si="12"/>
        <v>2E-3</v>
      </c>
      <c r="M423">
        <f t="shared" si="13"/>
        <v>0.83800000000000063</v>
      </c>
    </row>
    <row r="424" spans="2:13" x14ac:dyDescent="0.25">
      <c r="B424" s="7">
        <v>21.16</v>
      </c>
      <c r="J424" s="7">
        <v>28.16</v>
      </c>
      <c r="K424">
        <v>1</v>
      </c>
      <c r="L424">
        <f t="shared" si="12"/>
        <v>2E-3</v>
      </c>
      <c r="M424">
        <f t="shared" si="13"/>
        <v>0.84000000000000064</v>
      </c>
    </row>
    <row r="425" spans="2:13" x14ac:dyDescent="0.25">
      <c r="B425" s="7">
        <v>20.49</v>
      </c>
      <c r="J425" s="7">
        <v>28.18</v>
      </c>
      <c r="K425">
        <v>1</v>
      </c>
      <c r="L425">
        <f t="shared" si="12"/>
        <v>2E-3</v>
      </c>
      <c r="M425">
        <f t="shared" si="13"/>
        <v>0.84200000000000064</v>
      </c>
    </row>
    <row r="426" spans="2:13" x14ac:dyDescent="0.25">
      <c r="B426" s="7">
        <v>27.62</v>
      </c>
      <c r="J426" s="7">
        <v>28.24</v>
      </c>
      <c r="K426">
        <v>1</v>
      </c>
      <c r="L426">
        <f t="shared" si="12"/>
        <v>2E-3</v>
      </c>
      <c r="M426">
        <f t="shared" si="13"/>
        <v>0.84400000000000064</v>
      </c>
    </row>
    <row r="427" spans="2:13" x14ac:dyDescent="0.25">
      <c r="B427" s="7">
        <v>18.55</v>
      </c>
      <c r="J427" s="7">
        <v>28.25</v>
      </c>
      <c r="K427">
        <v>1</v>
      </c>
      <c r="L427">
        <f t="shared" si="12"/>
        <v>2E-3</v>
      </c>
      <c r="M427">
        <f t="shared" si="13"/>
        <v>0.84600000000000064</v>
      </c>
    </row>
    <row r="428" spans="2:13" x14ac:dyDescent="0.25">
      <c r="B428" s="7">
        <v>25.27</v>
      </c>
      <c r="J428" s="7">
        <v>28.3</v>
      </c>
      <c r="K428">
        <v>1</v>
      </c>
      <c r="L428">
        <f t="shared" si="12"/>
        <v>2E-3</v>
      </c>
      <c r="M428">
        <f t="shared" si="13"/>
        <v>0.84800000000000064</v>
      </c>
    </row>
    <row r="429" spans="2:13" x14ac:dyDescent="0.25">
      <c r="B429" s="7">
        <v>26.84</v>
      </c>
      <c r="J429" s="7">
        <v>28.31</v>
      </c>
      <c r="K429">
        <v>1</v>
      </c>
      <c r="L429">
        <f t="shared" si="12"/>
        <v>2E-3</v>
      </c>
      <c r="M429">
        <f t="shared" si="13"/>
        <v>0.85000000000000064</v>
      </c>
    </row>
    <row r="430" spans="2:13" x14ac:dyDescent="0.25">
      <c r="B430" s="7">
        <v>28.16</v>
      </c>
      <c r="J430" s="7">
        <v>28.33</v>
      </c>
      <c r="K430">
        <v>1</v>
      </c>
      <c r="L430">
        <f t="shared" si="12"/>
        <v>2E-3</v>
      </c>
      <c r="M430">
        <f t="shared" si="13"/>
        <v>0.85200000000000065</v>
      </c>
    </row>
    <row r="431" spans="2:13" x14ac:dyDescent="0.25">
      <c r="B431" s="7">
        <v>30.05</v>
      </c>
      <c r="J431" s="7">
        <v>28.33</v>
      </c>
      <c r="K431">
        <v>1</v>
      </c>
      <c r="L431">
        <f t="shared" si="12"/>
        <v>2E-3</v>
      </c>
      <c r="M431">
        <f t="shared" si="13"/>
        <v>0.85400000000000065</v>
      </c>
    </row>
    <row r="432" spans="2:13" x14ac:dyDescent="0.25">
      <c r="B432" s="7">
        <v>30.08</v>
      </c>
      <c r="J432" s="7">
        <v>28.34</v>
      </c>
      <c r="K432">
        <v>1</v>
      </c>
      <c r="L432">
        <f t="shared" si="12"/>
        <v>2E-3</v>
      </c>
      <c r="M432">
        <f t="shared" si="13"/>
        <v>0.85600000000000065</v>
      </c>
    </row>
    <row r="433" spans="2:13" x14ac:dyDescent="0.25">
      <c r="B433" s="7">
        <v>24.26</v>
      </c>
      <c r="J433" s="7">
        <v>28.34</v>
      </c>
      <c r="K433">
        <v>1</v>
      </c>
      <c r="L433">
        <f t="shared" si="12"/>
        <v>2E-3</v>
      </c>
      <c r="M433">
        <f t="shared" si="13"/>
        <v>0.85800000000000065</v>
      </c>
    </row>
    <row r="434" spans="2:13" x14ac:dyDescent="0.25">
      <c r="B434" s="7">
        <v>21.74</v>
      </c>
      <c r="J434" s="7">
        <v>28.35</v>
      </c>
      <c r="K434">
        <v>1</v>
      </c>
      <c r="L434">
        <f t="shared" si="12"/>
        <v>2E-3</v>
      </c>
      <c r="M434">
        <f t="shared" si="13"/>
        <v>0.86000000000000065</v>
      </c>
    </row>
    <row r="435" spans="2:13" x14ac:dyDescent="0.25">
      <c r="B435" s="7">
        <v>28.95</v>
      </c>
      <c r="J435" s="7">
        <v>28.35</v>
      </c>
      <c r="K435">
        <v>1</v>
      </c>
      <c r="L435">
        <f t="shared" si="12"/>
        <v>2E-3</v>
      </c>
      <c r="M435">
        <f t="shared" si="13"/>
        <v>0.86200000000000065</v>
      </c>
    </row>
    <row r="436" spans="2:13" x14ac:dyDescent="0.25">
      <c r="B436" s="7">
        <v>25.28</v>
      </c>
      <c r="J436" s="7">
        <v>28.4</v>
      </c>
      <c r="K436">
        <v>1</v>
      </c>
      <c r="L436">
        <f t="shared" si="12"/>
        <v>2E-3</v>
      </c>
      <c r="M436">
        <f t="shared" si="13"/>
        <v>0.86400000000000066</v>
      </c>
    </row>
    <row r="437" spans="2:13" x14ac:dyDescent="0.25">
      <c r="B437" s="7">
        <v>27.12</v>
      </c>
      <c r="J437" s="7">
        <v>28.41</v>
      </c>
      <c r="K437">
        <v>1</v>
      </c>
      <c r="L437">
        <f t="shared" si="12"/>
        <v>2E-3</v>
      </c>
      <c r="M437">
        <f t="shared" si="13"/>
        <v>0.86600000000000066</v>
      </c>
    </row>
    <row r="438" spans="2:13" x14ac:dyDescent="0.25">
      <c r="B438" s="7">
        <v>25.09</v>
      </c>
      <c r="J438" s="7">
        <v>28.43</v>
      </c>
      <c r="K438">
        <v>1</v>
      </c>
      <c r="L438">
        <f t="shared" si="12"/>
        <v>2E-3</v>
      </c>
      <c r="M438">
        <f t="shared" si="13"/>
        <v>0.86800000000000066</v>
      </c>
    </row>
    <row r="439" spans="2:13" x14ac:dyDescent="0.25">
      <c r="B439" s="7">
        <v>22.45</v>
      </c>
      <c r="J439" s="7">
        <v>28.44</v>
      </c>
      <c r="K439">
        <v>1</v>
      </c>
      <c r="L439">
        <f t="shared" si="12"/>
        <v>2E-3</v>
      </c>
      <c r="M439">
        <f t="shared" si="13"/>
        <v>0.87000000000000066</v>
      </c>
    </row>
    <row r="440" spans="2:13" x14ac:dyDescent="0.25">
      <c r="B440" s="7">
        <v>22.46</v>
      </c>
      <c r="J440" s="7">
        <v>28.47</v>
      </c>
      <c r="K440">
        <v>1</v>
      </c>
      <c r="L440">
        <f t="shared" si="12"/>
        <v>2E-3</v>
      </c>
      <c r="M440">
        <f t="shared" si="13"/>
        <v>0.87200000000000066</v>
      </c>
    </row>
    <row r="441" spans="2:13" x14ac:dyDescent="0.25">
      <c r="B441" s="7">
        <v>28.18</v>
      </c>
      <c r="J441" s="7">
        <v>28.51</v>
      </c>
      <c r="K441">
        <v>1</v>
      </c>
      <c r="L441">
        <f t="shared" si="12"/>
        <v>2E-3</v>
      </c>
      <c r="M441">
        <f t="shared" si="13"/>
        <v>0.87400000000000067</v>
      </c>
    </row>
    <row r="442" spans="2:13" x14ac:dyDescent="0.25">
      <c r="B442" s="7">
        <v>28.59</v>
      </c>
      <c r="J442" s="7">
        <v>28.51</v>
      </c>
      <c r="K442">
        <v>1</v>
      </c>
      <c r="L442">
        <f t="shared" si="12"/>
        <v>2E-3</v>
      </c>
      <c r="M442">
        <f t="shared" si="13"/>
        <v>0.87600000000000067</v>
      </c>
    </row>
    <row r="443" spans="2:13" x14ac:dyDescent="0.25">
      <c r="B443" s="7">
        <v>24.03</v>
      </c>
      <c r="J443" s="7">
        <v>28.54</v>
      </c>
      <c r="K443">
        <v>1</v>
      </c>
      <c r="L443">
        <f t="shared" si="12"/>
        <v>2E-3</v>
      </c>
      <c r="M443">
        <f t="shared" si="13"/>
        <v>0.87800000000000067</v>
      </c>
    </row>
    <row r="444" spans="2:13" x14ac:dyDescent="0.25">
      <c r="B444" s="7">
        <v>30.52</v>
      </c>
      <c r="J444" s="7">
        <v>28.59</v>
      </c>
      <c r="K444">
        <v>1</v>
      </c>
      <c r="L444">
        <f t="shared" si="12"/>
        <v>2E-3</v>
      </c>
      <c r="M444">
        <f t="shared" si="13"/>
        <v>0.88000000000000067</v>
      </c>
    </row>
    <row r="445" spans="2:13" x14ac:dyDescent="0.25">
      <c r="B445" s="7">
        <v>21.88</v>
      </c>
      <c r="J445" s="7">
        <v>28.6</v>
      </c>
      <c r="K445">
        <v>1</v>
      </c>
      <c r="L445">
        <f t="shared" si="12"/>
        <v>2E-3</v>
      </c>
      <c r="M445">
        <f t="shared" si="13"/>
        <v>0.88200000000000067</v>
      </c>
    </row>
    <row r="446" spans="2:13" x14ac:dyDescent="0.25">
      <c r="B446" s="7">
        <v>27.26</v>
      </c>
      <c r="J446" s="7">
        <v>28.68</v>
      </c>
      <c r="K446">
        <v>1</v>
      </c>
      <c r="L446">
        <f t="shared" si="12"/>
        <v>2E-3</v>
      </c>
      <c r="M446">
        <f t="shared" si="13"/>
        <v>0.88400000000000067</v>
      </c>
    </row>
    <row r="447" spans="2:13" x14ac:dyDescent="0.25">
      <c r="B447" s="7">
        <v>26.59</v>
      </c>
      <c r="J447" s="7">
        <v>28.69</v>
      </c>
      <c r="K447">
        <v>1</v>
      </c>
      <c r="L447">
        <f t="shared" si="12"/>
        <v>2E-3</v>
      </c>
      <c r="M447">
        <f t="shared" si="13"/>
        <v>0.88600000000000068</v>
      </c>
    </row>
    <row r="448" spans="2:13" x14ac:dyDescent="0.25">
      <c r="B448" s="7">
        <v>20.53</v>
      </c>
      <c r="J448" s="7">
        <v>28.75</v>
      </c>
      <c r="K448">
        <v>1</v>
      </c>
      <c r="L448">
        <f t="shared" si="12"/>
        <v>2E-3</v>
      </c>
      <c r="M448">
        <f t="shared" si="13"/>
        <v>0.88800000000000068</v>
      </c>
    </row>
    <row r="449" spans="2:13" x14ac:dyDescent="0.25">
      <c r="B449" s="7">
        <v>23.82</v>
      </c>
      <c r="J449" s="7">
        <v>28.77</v>
      </c>
      <c r="K449">
        <v>1</v>
      </c>
      <c r="L449">
        <f t="shared" si="12"/>
        <v>2E-3</v>
      </c>
      <c r="M449">
        <f t="shared" si="13"/>
        <v>0.89000000000000068</v>
      </c>
    </row>
    <row r="450" spans="2:13" x14ac:dyDescent="0.25">
      <c r="B450" s="7">
        <v>24.21</v>
      </c>
      <c r="J450" s="7">
        <v>28.77</v>
      </c>
      <c r="K450">
        <v>1</v>
      </c>
      <c r="L450">
        <f t="shared" si="12"/>
        <v>2E-3</v>
      </c>
      <c r="M450">
        <f t="shared" si="13"/>
        <v>0.89200000000000068</v>
      </c>
    </row>
    <row r="451" spans="2:13" x14ac:dyDescent="0.25">
      <c r="B451" s="7">
        <v>18.920000000000002</v>
      </c>
      <c r="J451" s="7">
        <v>28.81</v>
      </c>
      <c r="K451">
        <v>1</v>
      </c>
      <c r="L451">
        <f t="shared" si="12"/>
        <v>2E-3</v>
      </c>
      <c r="M451">
        <f t="shared" si="13"/>
        <v>0.89400000000000068</v>
      </c>
    </row>
    <row r="452" spans="2:13" x14ac:dyDescent="0.25">
      <c r="B452" s="7">
        <v>19.489999999999998</v>
      </c>
      <c r="J452" s="7">
        <v>28.82</v>
      </c>
      <c r="K452">
        <v>1</v>
      </c>
      <c r="L452">
        <f t="shared" si="12"/>
        <v>2E-3</v>
      </c>
      <c r="M452">
        <f t="shared" si="13"/>
        <v>0.89600000000000068</v>
      </c>
    </row>
    <row r="453" spans="2:13" x14ac:dyDescent="0.25">
      <c r="B453" s="7">
        <v>22.69</v>
      </c>
      <c r="J453" s="7">
        <v>28.83</v>
      </c>
      <c r="K453">
        <v>1</v>
      </c>
      <c r="L453">
        <f t="shared" si="12"/>
        <v>2E-3</v>
      </c>
      <c r="M453">
        <f t="shared" si="13"/>
        <v>0.89800000000000069</v>
      </c>
    </row>
    <row r="454" spans="2:13" x14ac:dyDescent="0.25">
      <c r="B454" s="7">
        <v>28.09</v>
      </c>
      <c r="J454" s="7">
        <v>28.91</v>
      </c>
      <c r="K454">
        <v>1</v>
      </c>
      <c r="L454">
        <f t="shared" ref="L454:L504" si="14">K454/$E$20</f>
        <v>2E-3</v>
      </c>
      <c r="M454">
        <f t="shared" si="13"/>
        <v>0.90000000000000069</v>
      </c>
    </row>
    <row r="455" spans="2:13" x14ac:dyDescent="0.25">
      <c r="B455" s="7">
        <v>23.56</v>
      </c>
      <c r="J455" s="7">
        <v>28.92</v>
      </c>
      <c r="K455">
        <v>1</v>
      </c>
      <c r="L455">
        <f t="shared" si="14"/>
        <v>2E-3</v>
      </c>
      <c r="M455">
        <f t="shared" ref="M455:M504" si="15">M454+L455</f>
        <v>0.90200000000000069</v>
      </c>
    </row>
    <row r="456" spans="2:13" x14ac:dyDescent="0.25">
      <c r="B456" s="7">
        <v>25.7</v>
      </c>
      <c r="J456" s="7">
        <v>28.95</v>
      </c>
      <c r="K456">
        <v>1</v>
      </c>
      <c r="L456">
        <f t="shared" si="14"/>
        <v>2E-3</v>
      </c>
      <c r="M456">
        <f t="shared" si="15"/>
        <v>0.90400000000000069</v>
      </c>
    </row>
    <row r="457" spans="2:13" x14ac:dyDescent="0.25">
      <c r="B457" s="7">
        <v>19.88</v>
      </c>
      <c r="J457" s="7">
        <v>28.99</v>
      </c>
      <c r="K457">
        <v>1</v>
      </c>
      <c r="L457">
        <f t="shared" si="14"/>
        <v>2E-3</v>
      </c>
      <c r="M457">
        <f t="shared" si="15"/>
        <v>0.90600000000000069</v>
      </c>
    </row>
    <row r="458" spans="2:13" x14ac:dyDescent="0.25">
      <c r="B458" s="7">
        <v>24.33</v>
      </c>
      <c r="J458" s="7">
        <v>29.02</v>
      </c>
      <c r="K458">
        <v>1</v>
      </c>
      <c r="L458">
        <f t="shared" si="14"/>
        <v>2E-3</v>
      </c>
      <c r="M458">
        <f t="shared" si="15"/>
        <v>0.9080000000000007</v>
      </c>
    </row>
    <row r="459" spans="2:13" x14ac:dyDescent="0.25">
      <c r="B459" s="7">
        <v>29.42</v>
      </c>
      <c r="J459" s="7">
        <v>29.03</v>
      </c>
      <c r="K459">
        <v>1</v>
      </c>
      <c r="L459">
        <f t="shared" si="14"/>
        <v>2E-3</v>
      </c>
      <c r="M459">
        <f t="shared" si="15"/>
        <v>0.9100000000000007</v>
      </c>
    </row>
    <row r="460" spans="2:13" x14ac:dyDescent="0.25">
      <c r="B460" s="7">
        <v>26.09</v>
      </c>
      <c r="J460" s="7">
        <v>29.04</v>
      </c>
      <c r="K460">
        <v>1</v>
      </c>
      <c r="L460">
        <f t="shared" si="14"/>
        <v>2E-3</v>
      </c>
      <c r="M460">
        <f t="shared" si="15"/>
        <v>0.9120000000000007</v>
      </c>
    </row>
    <row r="461" spans="2:13" x14ac:dyDescent="0.25">
      <c r="B461" s="7">
        <v>27.75</v>
      </c>
      <c r="J461" s="7">
        <v>29.08</v>
      </c>
      <c r="K461">
        <v>1</v>
      </c>
      <c r="L461">
        <f t="shared" si="14"/>
        <v>2E-3</v>
      </c>
      <c r="M461">
        <f t="shared" si="15"/>
        <v>0.9140000000000007</v>
      </c>
    </row>
    <row r="462" spans="2:13" x14ac:dyDescent="0.25">
      <c r="B462" s="7">
        <v>25</v>
      </c>
      <c r="J462" s="7">
        <v>29.09</v>
      </c>
      <c r="K462">
        <v>1</v>
      </c>
      <c r="L462">
        <f t="shared" si="14"/>
        <v>2E-3</v>
      </c>
      <c r="M462">
        <f t="shared" si="15"/>
        <v>0.9160000000000007</v>
      </c>
    </row>
    <row r="463" spans="2:13" x14ac:dyDescent="0.25">
      <c r="B463" s="7">
        <v>28.03</v>
      </c>
      <c r="J463" s="7">
        <v>29.1</v>
      </c>
      <c r="K463">
        <v>1</v>
      </c>
      <c r="L463">
        <f t="shared" si="14"/>
        <v>2E-3</v>
      </c>
      <c r="M463">
        <f t="shared" si="15"/>
        <v>0.9180000000000007</v>
      </c>
    </row>
    <row r="464" spans="2:13" x14ac:dyDescent="0.25">
      <c r="B464" s="7">
        <v>20.43</v>
      </c>
      <c r="J464" s="7">
        <v>29.15</v>
      </c>
      <c r="K464">
        <v>1</v>
      </c>
      <c r="L464">
        <f t="shared" si="14"/>
        <v>2E-3</v>
      </c>
      <c r="M464">
        <f t="shared" si="15"/>
        <v>0.92000000000000071</v>
      </c>
    </row>
    <row r="465" spans="2:13" x14ac:dyDescent="0.25">
      <c r="B465" s="7">
        <v>29.75</v>
      </c>
      <c r="J465" s="7">
        <v>29.15</v>
      </c>
      <c r="K465">
        <v>1</v>
      </c>
      <c r="L465">
        <f t="shared" si="14"/>
        <v>2E-3</v>
      </c>
      <c r="M465">
        <f t="shared" si="15"/>
        <v>0.92200000000000071</v>
      </c>
    </row>
    <row r="466" spans="2:13" x14ac:dyDescent="0.25">
      <c r="B466" s="7">
        <v>23.43</v>
      </c>
      <c r="J466" s="7">
        <v>29.16</v>
      </c>
      <c r="K466">
        <v>1</v>
      </c>
      <c r="L466">
        <f t="shared" si="14"/>
        <v>2E-3</v>
      </c>
      <c r="M466">
        <f t="shared" si="15"/>
        <v>0.92400000000000071</v>
      </c>
    </row>
    <row r="467" spans="2:13" x14ac:dyDescent="0.25">
      <c r="B467" s="7">
        <v>28.69</v>
      </c>
      <c r="J467" s="7">
        <v>29.21</v>
      </c>
      <c r="K467">
        <v>1</v>
      </c>
      <c r="L467">
        <f t="shared" si="14"/>
        <v>2E-3</v>
      </c>
      <c r="M467">
        <f t="shared" si="15"/>
        <v>0.92600000000000071</v>
      </c>
    </row>
    <row r="468" spans="2:13" x14ac:dyDescent="0.25">
      <c r="B468" s="7">
        <v>26.44</v>
      </c>
      <c r="J468" s="7">
        <v>29.24</v>
      </c>
      <c r="K468">
        <v>1</v>
      </c>
      <c r="L468">
        <f t="shared" si="14"/>
        <v>2E-3</v>
      </c>
      <c r="M468">
        <f t="shared" si="15"/>
        <v>0.92800000000000071</v>
      </c>
    </row>
    <row r="469" spans="2:13" x14ac:dyDescent="0.25">
      <c r="B469" s="7">
        <v>24.7</v>
      </c>
      <c r="J469" s="7">
        <v>29.25</v>
      </c>
      <c r="K469">
        <v>1</v>
      </c>
      <c r="L469">
        <f t="shared" si="14"/>
        <v>2E-3</v>
      </c>
      <c r="M469">
        <f t="shared" si="15"/>
        <v>0.93000000000000071</v>
      </c>
    </row>
    <row r="470" spans="2:13" x14ac:dyDescent="0.25">
      <c r="B470" s="7">
        <v>25.88</v>
      </c>
      <c r="J470" s="7">
        <v>29.3</v>
      </c>
      <c r="K470">
        <v>1</v>
      </c>
      <c r="L470">
        <f t="shared" si="14"/>
        <v>2E-3</v>
      </c>
      <c r="M470">
        <f t="shared" si="15"/>
        <v>0.93200000000000072</v>
      </c>
    </row>
    <row r="471" spans="2:13" x14ac:dyDescent="0.25">
      <c r="B471" s="7">
        <v>23.81</v>
      </c>
      <c r="J471" s="7">
        <v>29.31</v>
      </c>
      <c r="K471">
        <v>1</v>
      </c>
      <c r="L471">
        <f t="shared" si="14"/>
        <v>2E-3</v>
      </c>
      <c r="M471">
        <f t="shared" si="15"/>
        <v>0.93400000000000072</v>
      </c>
    </row>
    <row r="472" spans="2:13" x14ac:dyDescent="0.25">
      <c r="B472" s="7">
        <v>21.78</v>
      </c>
      <c r="J472" s="7">
        <v>29.33</v>
      </c>
      <c r="K472">
        <v>1</v>
      </c>
      <c r="L472">
        <f t="shared" si="14"/>
        <v>2E-3</v>
      </c>
      <c r="M472">
        <f t="shared" si="15"/>
        <v>0.93600000000000072</v>
      </c>
    </row>
    <row r="473" spans="2:13" x14ac:dyDescent="0.25">
      <c r="B473" s="7">
        <v>25.6</v>
      </c>
      <c r="J473" s="7">
        <v>29.35</v>
      </c>
      <c r="K473">
        <v>1</v>
      </c>
      <c r="L473">
        <f t="shared" si="14"/>
        <v>2E-3</v>
      </c>
      <c r="M473">
        <f t="shared" si="15"/>
        <v>0.93800000000000072</v>
      </c>
    </row>
    <row r="474" spans="2:13" x14ac:dyDescent="0.25">
      <c r="B474" s="7">
        <v>30.06</v>
      </c>
      <c r="J474" s="7">
        <v>29.39</v>
      </c>
      <c r="K474">
        <v>1</v>
      </c>
      <c r="L474">
        <f t="shared" si="14"/>
        <v>2E-3</v>
      </c>
      <c r="M474">
        <f t="shared" si="15"/>
        <v>0.94000000000000072</v>
      </c>
    </row>
    <row r="475" spans="2:13" x14ac:dyDescent="0.25">
      <c r="B475" s="7">
        <v>27.25</v>
      </c>
      <c r="J475" s="7">
        <v>29.42</v>
      </c>
      <c r="K475">
        <v>1</v>
      </c>
      <c r="L475">
        <f t="shared" si="14"/>
        <v>2E-3</v>
      </c>
      <c r="M475">
        <f t="shared" si="15"/>
        <v>0.94200000000000073</v>
      </c>
    </row>
    <row r="476" spans="2:13" x14ac:dyDescent="0.25">
      <c r="B476" s="7">
        <v>30.01</v>
      </c>
      <c r="J476" s="7">
        <v>29.55</v>
      </c>
      <c r="K476">
        <v>1</v>
      </c>
      <c r="L476">
        <f t="shared" si="14"/>
        <v>2E-3</v>
      </c>
      <c r="M476">
        <f t="shared" si="15"/>
        <v>0.94400000000000073</v>
      </c>
    </row>
    <row r="477" spans="2:13" x14ac:dyDescent="0.25">
      <c r="B477" s="7">
        <v>25.68</v>
      </c>
      <c r="J477" s="7">
        <v>29.59</v>
      </c>
      <c r="K477">
        <v>1</v>
      </c>
      <c r="L477">
        <f t="shared" si="14"/>
        <v>2E-3</v>
      </c>
      <c r="M477">
        <f t="shared" si="15"/>
        <v>0.94600000000000073</v>
      </c>
    </row>
    <row r="478" spans="2:13" x14ac:dyDescent="0.25">
      <c r="B478" s="7">
        <v>24.23</v>
      </c>
      <c r="J478" s="7">
        <v>29.69</v>
      </c>
      <c r="K478">
        <v>1</v>
      </c>
      <c r="L478">
        <f t="shared" si="14"/>
        <v>2E-3</v>
      </c>
      <c r="M478">
        <f t="shared" si="15"/>
        <v>0.94800000000000073</v>
      </c>
    </row>
    <row r="479" spans="2:13" x14ac:dyDescent="0.25">
      <c r="B479" s="7">
        <v>25.44</v>
      </c>
      <c r="J479" s="7">
        <v>29.73</v>
      </c>
      <c r="K479">
        <v>1</v>
      </c>
      <c r="L479">
        <f t="shared" si="14"/>
        <v>2E-3</v>
      </c>
      <c r="M479">
        <f t="shared" si="15"/>
        <v>0.95000000000000073</v>
      </c>
    </row>
    <row r="480" spans="2:13" x14ac:dyDescent="0.25">
      <c r="B480" s="7">
        <v>25.5</v>
      </c>
      <c r="J480" s="7">
        <v>29.75</v>
      </c>
      <c r="K480">
        <v>1</v>
      </c>
      <c r="L480">
        <f t="shared" si="14"/>
        <v>2E-3</v>
      </c>
      <c r="M480">
        <f t="shared" si="15"/>
        <v>0.95200000000000073</v>
      </c>
    </row>
    <row r="481" spans="2:13" x14ac:dyDescent="0.25">
      <c r="B481" s="7">
        <v>28.12</v>
      </c>
      <c r="J481" s="7">
        <v>29.8</v>
      </c>
      <c r="K481">
        <v>1</v>
      </c>
      <c r="L481">
        <f t="shared" si="14"/>
        <v>2E-3</v>
      </c>
      <c r="M481">
        <f t="shared" si="15"/>
        <v>0.95400000000000074</v>
      </c>
    </row>
    <row r="482" spans="2:13" x14ac:dyDescent="0.25">
      <c r="B482" s="7">
        <v>23.26</v>
      </c>
      <c r="J482" s="7">
        <v>29.92</v>
      </c>
      <c r="K482">
        <v>1</v>
      </c>
      <c r="L482">
        <f t="shared" si="14"/>
        <v>2E-3</v>
      </c>
      <c r="M482">
        <f t="shared" si="15"/>
        <v>0.95600000000000074</v>
      </c>
    </row>
    <row r="483" spans="2:13" x14ac:dyDescent="0.25">
      <c r="B483" s="7">
        <v>17.93</v>
      </c>
      <c r="J483" s="7">
        <v>30.01</v>
      </c>
      <c r="K483">
        <v>1</v>
      </c>
      <c r="L483">
        <f t="shared" si="14"/>
        <v>2E-3</v>
      </c>
      <c r="M483">
        <f t="shared" si="15"/>
        <v>0.95800000000000074</v>
      </c>
    </row>
    <row r="484" spans="2:13" x14ac:dyDescent="0.25">
      <c r="B484" s="7">
        <v>26.28</v>
      </c>
      <c r="J484" s="7">
        <v>30.05</v>
      </c>
      <c r="K484">
        <v>1</v>
      </c>
      <c r="L484">
        <f t="shared" si="14"/>
        <v>2E-3</v>
      </c>
      <c r="M484">
        <f t="shared" si="15"/>
        <v>0.96000000000000074</v>
      </c>
    </row>
    <row r="485" spans="2:13" x14ac:dyDescent="0.25">
      <c r="B485" s="7">
        <v>31.96</v>
      </c>
      <c r="J485" s="7">
        <v>30.06</v>
      </c>
      <c r="K485">
        <v>1</v>
      </c>
      <c r="L485">
        <f t="shared" si="14"/>
        <v>2E-3</v>
      </c>
      <c r="M485">
        <f t="shared" si="15"/>
        <v>0.96200000000000074</v>
      </c>
    </row>
    <row r="486" spans="2:13" x14ac:dyDescent="0.25">
      <c r="B486" s="7">
        <v>22.31</v>
      </c>
      <c r="J486" s="7">
        <v>30.08</v>
      </c>
      <c r="K486">
        <v>1</v>
      </c>
      <c r="L486">
        <f t="shared" si="14"/>
        <v>2E-3</v>
      </c>
      <c r="M486">
        <f t="shared" si="15"/>
        <v>0.96400000000000075</v>
      </c>
    </row>
    <row r="487" spans="2:13" x14ac:dyDescent="0.25">
      <c r="B487" s="7">
        <v>24.63</v>
      </c>
      <c r="J487" s="7">
        <v>30.13</v>
      </c>
      <c r="K487">
        <v>1</v>
      </c>
      <c r="L487">
        <f t="shared" si="14"/>
        <v>2E-3</v>
      </c>
      <c r="M487">
        <f t="shared" si="15"/>
        <v>0.96600000000000075</v>
      </c>
    </row>
    <row r="488" spans="2:13" x14ac:dyDescent="0.25">
      <c r="B488" s="7">
        <v>25.11</v>
      </c>
      <c r="J488" s="7">
        <v>30.18</v>
      </c>
      <c r="K488">
        <v>1</v>
      </c>
      <c r="L488">
        <f t="shared" si="14"/>
        <v>2E-3</v>
      </c>
      <c r="M488">
        <f t="shared" si="15"/>
        <v>0.96800000000000075</v>
      </c>
    </row>
    <row r="489" spans="2:13" x14ac:dyDescent="0.25">
      <c r="B489" s="7">
        <v>31.69</v>
      </c>
      <c r="J489" s="7">
        <v>30.36</v>
      </c>
      <c r="K489">
        <v>1</v>
      </c>
      <c r="L489">
        <f t="shared" si="14"/>
        <v>2E-3</v>
      </c>
      <c r="M489">
        <f t="shared" si="15"/>
        <v>0.97000000000000075</v>
      </c>
    </row>
    <row r="490" spans="2:13" x14ac:dyDescent="0.25">
      <c r="B490" s="7">
        <v>23.74</v>
      </c>
      <c r="J490" s="7">
        <v>30.42</v>
      </c>
      <c r="K490">
        <v>1</v>
      </c>
      <c r="L490">
        <f t="shared" si="14"/>
        <v>2E-3</v>
      </c>
      <c r="M490">
        <f t="shared" si="15"/>
        <v>0.97200000000000075</v>
      </c>
    </row>
    <row r="491" spans="2:13" x14ac:dyDescent="0.25">
      <c r="B491" s="7">
        <v>22.59</v>
      </c>
      <c r="J491" s="7">
        <v>30.45</v>
      </c>
      <c r="K491">
        <v>1</v>
      </c>
      <c r="L491">
        <f t="shared" si="14"/>
        <v>2E-3</v>
      </c>
      <c r="M491">
        <f t="shared" si="15"/>
        <v>0.97400000000000075</v>
      </c>
    </row>
    <row r="492" spans="2:13" x14ac:dyDescent="0.25">
      <c r="B492" s="7">
        <v>26.03</v>
      </c>
      <c r="J492" s="7">
        <v>30.52</v>
      </c>
      <c r="K492">
        <v>1</v>
      </c>
      <c r="L492">
        <f t="shared" si="14"/>
        <v>2E-3</v>
      </c>
      <c r="M492">
        <f t="shared" si="15"/>
        <v>0.97600000000000076</v>
      </c>
    </row>
    <row r="493" spans="2:13" x14ac:dyDescent="0.25">
      <c r="B493" s="7">
        <v>23.35</v>
      </c>
      <c r="J493" s="7">
        <v>30.56</v>
      </c>
      <c r="K493">
        <v>1</v>
      </c>
      <c r="L493">
        <f t="shared" si="14"/>
        <v>2E-3</v>
      </c>
      <c r="M493">
        <f t="shared" si="15"/>
        <v>0.97800000000000076</v>
      </c>
    </row>
    <row r="494" spans="2:13" x14ac:dyDescent="0.25">
      <c r="B494" s="7">
        <v>28.54</v>
      </c>
      <c r="J494" s="7">
        <v>30.9</v>
      </c>
      <c r="K494">
        <v>1</v>
      </c>
      <c r="L494">
        <f t="shared" si="14"/>
        <v>2E-3</v>
      </c>
      <c r="M494">
        <f t="shared" si="15"/>
        <v>0.98000000000000076</v>
      </c>
    </row>
    <row r="495" spans="2:13" x14ac:dyDescent="0.25">
      <c r="B495" s="7">
        <v>28.83</v>
      </c>
      <c r="J495" s="7">
        <v>31.18</v>
      </c>
      <c r="K495">
        <v>1</v>
      </c>
      <c r="L495">
        <f t="shared" si="14"/>
        <v>2E-3</v>
      </c>
      <c r="M495">
        <f t="shared" si="15"/>
        <v>0.98200000000000076</v>
      </c>
    </row>
    <row r="496" spans="2:13" x14ac:dyDescent="0.25">
      <c r="B496" s="7">
        <v>25.52</v>
      </c>
      <c r="J496" s="7">
        <v>31.45</v>
      </c>
      <c r="K496">
        <v>1</v>
      </c>
      <c r="L496">
        <f t="shared" si="14"/>
        <v>2E-3</v>
      </c>
      <c r="M496">
        <f t="shared" si="15"/>
        <v>0.98400000000000076</v>
      </c>
    </row>
    <row r="497" spans="2:13" x14ac:dyDescent="0.25">
      <c r="B497" s="7">
        <v>25.92</v>
      </c>
      <c r="J497" s="7">
        <v>31.45</v>
      </c>
      <c r="K497">
        <v>1</v>
      </c>
      <c r="L497">
        <f t="shared" si="14"/>
        <v>2E-3</v>
      </c>
      <c r="M497">
        <f t="shared" si="15"/>
        <v>0.98600000000000076</v>
      </c>
    </row>
    <row r="498" spans="2:13" x14ac:dyDescent="0.25">
      <c r="B498" s="7">
        <v>20.92</v>
      </c>
      <c r="J498" s="7">
        <v>31.54</v>
      </c>
      <c r="K498">
        <v>1</v>
      </c>
      <c r="L498">
        <f t="shared" si="14"/>
        <v>2E-3</v>
      </c>
      <c r="M498">
        <f t="shared" si="15"/>
        <v>0.98800000000000077</v>
      </c>
    </row>
    <row r="499" spans="2:13" x14ac:dyDescent="0.25">
      <c r="B499" s="7">
        <v>28.91</v>
      </c>
      <c r="J499" s="7">
        <v>31.68</v>
      </c>
      <c r="K499">
        <v>1</v>
      </c>
      <c r="L499">
        <f t="shared" si="14"/>
        <v>2E-3</v>
      </c>
      <c r="M499">
        <f t="shared" si="15"/>
        <v>0.99000000000000077</v>
      </c>
    </row>
    <row r="500" spans="2:13" x14ac:dyDescent="0.25">
      <c r="B500" s="7">
        <v>20</v>
      </c>
      <c r="J500" s="7">
        <v>31.69</v>
      </c>
      <c r="K500">
        <v>1</v>
      </c>
      <c r="L500">
        <f t="shared" si="14"/>
        <v>2E-3</v>
      </c>
      <c r="M500">
        <f t="shared" si="15"/>
        <v>0.99200000000000077</v>
      </c>
    </row>
    <row r="501" spans="2:13" x14ac:dyDescent="0.25">
      <c r="B501" s="7">
        <v>25.91</v>
      </c>
      <c r="J501" s="7">
        <v>31.96</v>
      </c>
      <c r="K501">
        <v>1</v>
      </c>
      <c r="L501">
        <f t="shared" si="14"/>
        <v>2E-3</v>
      </c>
      <c r="M501">
        <f t="shared" si="15"/>
        <v>0.99400000000000077</v>
      </c>
    </row>
    <row r="502" spans="2:13" x14ac:dyDescent="0.25">
      <c r="B502" s="7">
        <v>19.5</v>
      </c>
      <c r="J502" s="7">
        <v>32.090000000000003</v>
      </c>
      <c r="K502">
        <v>1</v>
      </c>
      <c r="L502">
        <f t="shared" si="14"/>
        <v>2E-3</v>
      </c>
      <c r="M502">
        <f t="shared" si="15"/>
        <v>0.99600000000000077</v>
      </c>
    </row>
    <row r="503" spans="2:13" x14ac:dyDescent="0.25">
      <c r="B503" s="7">
        <v>24.89</v>
      </c>
      <c r="J503" s="7">
        <v>32.15</v>
      </c>
      <c r="K503">
        <v>1</v>
      </c>
      <c r="L503">
        <f t="shared" si="14"/>
        <v>2E-3</v>
      </c>
      <c r="M503">
        <f t="shared" si="15"/>
        <v>0.99800000000000078</v>
      </c>
    </row>
    <row r="504" spans="2:13" x14ac:dyDescent="0.25">
      <c r="B504" s="7">
        <v>23.53</v>
      </c>
      <c r="J504" s="7">
        <v>32.61</v>
      </c>
      <c r="K504">
        <v>1</v>
      </c>
      <c r="L504">
        <f t="shared" si="14"/>
        <v>2E-3</v>
      </c>
      <c r="M504">
        <f t="shared" si="15"/>
        <v>1.0000000000000007</v>
      </c>
    </row>
  </sheetData>
  <sortState ref="J5:J504">
    <sortCondition ref="J5"/>
  </sortState>
  <mergeCells count="1">
    <mergeCell ref="J2:N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uniforme</vt:lpstr>
      <vt:lpstr>triangular</vt:lpstr>
      <vt:lpstr>exponencial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USER-6</dc:creator>
  <cp:lastModifiedBy>USER-6</cp:lastModifiedBy>
  <dcterms:created xsi:type="dcterms:W3CDTF">2017-07-06T14:40:04Z</dcterms:created>
  <dcterms:modified xsi:type="dcterms:W3CDTF">2017-07-06T15:59:18Z</dcterms:modified>
</cp:coreProperties>
</file>