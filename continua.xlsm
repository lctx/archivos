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2435" activeTab="6"/>
  </bookViews>
  <sheets>
    <sheet name="uniforme" sheetId="1" r:id="rId1"/>
    <sheet name="triangular" sheetId="2" r:id="rId2"/>
    <sheet name="exponencial" sheetId="3" r:id="rId3"/>
    <sheet name="expo" sheetId="5" r:id="rId4"/>
    <sheet name="triang" sheetId="6" r:id="rId5"/>
    <sheet name="unif" sheetId="4" r:id="rId6"/>
    <sheet name="normal" sheetId="7" r:id="rId7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6" l="1"/>
  <c r="P5" i="6" s="1"/>
  <c r="H9" i="5"/>
  <c r="P5" i="5" s="1"/>
  <c r="H10" i="7" l="1"/>
  <c r="P5" i="7" s="1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6" i="7"/>
  <c r="N5" i="7"/>
  <c r="N506" i="7"/>
  <c r="L504" i="7"/>
  <c r="L503" i="7"/>
  <c r="L502" i="7"/>
  <c r="L501" i="7"/>
  <c r="L500" i="7"/>
  <c r="L499" i="7"/>
  <c r="L498" i="7"/>
  <c r="L497" i="7"/>
  <c r="L496" i="7"/>
  <c r="L495" i="7"/>
  <c r="L494" i="7"/>
  <c r="L493" i="7"/>
  <c r="L492" i="7"/>
  <c r="L491" i="7"/>
  <c r="L490" i="7"/>
  <c r="L489" i="7"/>
  <c r="L488" i="7"/>
  <c r="L487" i="7"/>
  <c r="L486" i="7"/>
  <c r="L485" i="7"/>
  <c r="L484" i="7"/>
  <c r="L483" i="7"/>
  <c r="L482" i="7"/>
  <c r="L481" i="7"/>
  <c r="L480" i="7"/>
  <c r="L479" i="7"/>
  <c r="L478" i="7"/>
  <c r="L477" i="7"/>
  <c r="L476" i="7"/>
  <c r="L475" i="7"/>
  <c r="L474" i="7"/>
  <c r="L473" i="7"/>
  <c r="L472" i="7"/>
  <c r="L471" i="7"/>
  <c r="L470" i="7"/>
  <c r="L469" i="7"/>
  <c r="L468" i="7"/>
  <c r="L467" i="7"/>
  <c r="L466" i="7"/>
  <c r="L465" i="7"/>
  <c r="L464" i="7"/>
  <c r="L463" i="7"/>
  <c r="L462" i="7"/>
  <c r="L461" i="7"/>
  <c r="L460" i="7"/>
  <c r="L459" i="7"/>
  <c r="L458" i="7"/>
  <c r="L457" i="7"/>
  <c r="L456" i="7"/>
  <c r="L455" i="7"/>
  <c r="L454" i="7"/>
  <c r="L453" i="7"/>
  <c r="L452" i="7"/>
  <c r="L451" i="7"/>
  <c r="L450" i="7"/>
  <c r="L449" i="7"/>
  <c r="L448" i="7"/>
  <c r="L447" i="7"/>
  <c r="L446" i="7"/>
  <c r="L445" i="7"/>
  <c r="L444" i="7"/>
  <c r="L443" i="7"/>
  <c r="L442" i="7"/>
  <c r="L441" i="7"/>
  <c r="L440" i="7"/>
  <c r="L439" i="7"/>
  <c r="L438" i="7"/>
  <c r="L437" i="7"/>
  <c r="L436" i="7"/>
  <c r="L435" i="7"/>
  <c r="L434" i="7"/>
  <c r="L433" i="7"/>
  <c r="L432" i="7"/>
  <c r="L431" i="7"/>
  <c r="L430" i="7"/>
  <c r="L429" i="7"/>
  <c r="L428" i="7"/>
  <c r="L427" i="7"/>
  <c r="L426" i="7"/>
  <c r="L425" i="7"/>
  <c r="L424" i="7"/>
  <c r="L423" i="7"/>
  <c r="L422" i="7"/>
  <c r="L421" i="7"/>
  <c r="L420" i="7"/>
  <c r="L419" i="7"/>
  <c r="L418" i="7"/>
  <c r="L417" i="7"/>
  <c r="L416" i="7"/>
  <c r="L415" i="7"/>
  <c r="L414" i="7"/>
  <c r="L413" i="7"/>
  <c r="L412" i="7"/>
  <c r="L411" i="7"/>
  <c r="L410" i="7"/>
  <c r="L409" i="7"/>
  <c r="L408" i="7"/>
  <c r="L407" i="7"/>
  <c r="L406" i="7"/>
  <c r="L405" i="7"/>
  <c r="L404" i="7"/>
  <c r="L403" i="7"/>
  <c r="L402" i="7"/>
  <c r="L401" i="7"/>
  <c r="L400" i="7"/>
  <c r="L399" i="7"/>
  <c r="L398" i="7"/>
  <c r="L397" i="7"/>
  <c r="L396" i="7"/>
  <c r="L395" i="7"/>
  <c r="L394" i="7"/>
  <c r="L393" i="7"/>
  <c r="L392" i="7"/>
  <c r="L391" i="7"/>
  <c r="L390" i="7"/>
  <c r="L389" i="7"/>
  <c r="L388" i="7"/>
  <c r="L387" i="7"/>
  <c r="L386" i="7"/>
  <c r="L385" i="7"/>
  <c r="L384" i="7"/>
  <c r="L383" i="7"/>
  <c r="L382" i="7"/>
  <c r="L381" i="7"/>
  <c r="L380" i="7"/>
  <c r="L379" i="7"/>
  <c r="L378" i="7"/>
  <c r="L377" i="7"/>
  <c r="L376" i="7"/>
  <c r="L375" i="7"/>
  <c r="L374" i="7"/>
  <c r="L373" i="7"/>
  <c r="L372" i="7"/>
  <c r="L371" i="7"/>
  <c r="L370" i="7"/>
  <c r="L369" i="7"/>
  <c r="L368" i="7"/>
  <c r="L367" i="7"/>
  <c r="L366" i="7"/>
  <c r="L365" i="7"/>
  <c r="L364" i="7"/>
  <c r="L363" i="7"/>
  <c r="L362" i="7"/>
  <c r="L361" i="7"/>
  <c r="L360" i="7"/>
  <c r="L359" i="7"/>
  <c r="L358" i="7"/>
  <c r="L357" i="7"/>
  <c r="L356" i="7"/>
  <c r="L355" i="7"/>
  <c r="L354" i="7"/>
  <c r="L353" i="7"/>
  <c r="L352" i="7"/>
  <c r="L351" i="7"/>
  <c r="L350" i="7"/>
  <c r="L349" i="7"/>
  <c r="L348" i="7"/>
  <c r="L347" i="7"/>
  <c r="L346" i="7"/>
  <c r="L345" i="7"/>
  <c r="L344" i="7"/>
  <c r="L343" i="7"/>
  <c r="L342" i="7"/>
  <c r="L341" i="7"/>
  <c r="L340" i="7"/>
  <c r="L339" i="7"/>
  <c r="L338" i="7"/>
  <c r="L337" i="7"/>
  <c r="L336" i="7"/>
  <c r="L335" i="7"/>
  <c r="L334" i="7"/>
  <c r="L333" i="7"/>
  <c r="L332" i="7"/>
  <c r="L331" i="7"/>
  <c r="L330" i="7"/>
  <c r="L329" i="7"/>
  <c r="L328" i="7"/>
  <c r="L327" i="7"/>
  <c r="L326" i="7"/>
  <c r="L325" i="7"/>
  <c r="L324" i="7"/>
  <c r="L323" i="7"/>
  <c r="L322" i="7"/>
  <c r="L321" i="7"/>
  <c r="L320" i="7"/>
  <c r="L319" i="7"/>
  <c r="L318" i="7"/>
  <c r="L317" i="7"/>
  <c r="L316" i="7"/>
  <c r="L315" i="7"/>
  <c r="L314" i="7"/>
  <c r="L313" i="7"/>
  <c r="L312" i="7"/>
  <c r="L311" i="7"/>
  <c r="L310" i="7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H9" i="7"/>
  <c r="M8" i="7"/>
  <c r="L8" i="7"/>
  <c r="H8" i="7"/>
  <c r="L7" i="7"/>
  <c r="H7" i="7"/>
  <c r="M6" i="7"/>
  <c r="M7" i="7" s="1"/>
  <c r="L6" i="7"/>
  <c r="M5" i="7"/>
  <c r="L5" i="7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M9" i="7" l="1"/>
  <c r="O8" i="7"/>
  <c r="O5" i="7"/>
  <c r="O7" i="7"/>
  <c r="O6" i="7"/>
  <c r="O9" i="7" l="1"/>
  <c r="M10" i="7"/>
  <c r="M11" i="7" l="1"/>
  <c r="O10" i="7"/>
  <c r="O11" i="7" l="1"/>
  <c r="M12" i="7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5" i="6"/>
  <c r="H9" i="6"/>
  <c r="M13" i="7" l="1"/>
  <c r="O12" i="7"/>
  <c r="N506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H8" i="6"/>
  <c r="L7" i="6"/>
  <c r="H7" i="6"/>
  <c r="L6" i="6"/>
  <c r="L5" i="6"/>
  <c r="M5" i="6" s="1"/>
  <c r="N9" i="5"/>
  <c r="N5" i="5"/>
  <c r="N6" i="5"/>
  <c r="N7" i="5"/>
  <c r="N8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H11" i="5"/>
  <c r="N506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H8" i="5"/>
  <c r="L7" i="5"/>
  <c r="H7" i="5"/>
  <c r="L6" i="5"/>
  <c r="L5" i="5"/>
  <c r="M5" i="5" s="1"/>
  <c r="N506" i="4"/>
  <c r="O50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" i="4"/>
  <c r="O5" i="4"/>
  <c r="O13" i="7" l="1"/>
  <c r="M14" i="7"/>
  <c r="M6" i="6"/>
  <c r="O5" i="6"/>
  <c r="M6" i="5"/>
  <c r="O5" i="5"/>
  <c r="H8" i="4"/>
  <c r="H7" i="4"/>
  <c r="M7" i="4"/>
  <c r="M8" i="4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3" i="4" s="1"/>
  <c r="M104" i="4" s="1"/>
  <c r="M105" i="4" s="1"/>
  <c r="M106" i="4" s="1"/>
  <c r="M107" i="4" s="1"/>
  <c r="M108" i="4" s="1"/>
  <c r="M109" i="4" s="1"/>
  <c r="M110" i="4" s="1"/>
  <c r="M111" i="4" s="1"/>
  <c r="M112" i="4" s="1"/>
  <c r="M113" i="4" s="1"/>
  <c r="M114" i="4" s="1"/>
  <c r="M115" i="4" s="1"/>
  <c r="M116" i="4" s="1"/>
  <c r="M117" i="4" s="1"/>
  <c r="M118" i="4" s="1"/>
  <c r="M119" i="4" s="1"/>
  <c r="M120" i="4" s="1"/>
  <c r="M121" i="4" s="1"/>
  <c r="M122" i="4" s="1"/>
  <c r="M123" i="4" s="1"/>
  <c r="M124" i="4" s="1"/>
  <c r="M125" i="4" s="1"/>
  <c r="M126" i="4" s="1"/>
  <c r="M127" i="4" s="1"/>
  <c r="M128" i="4" s="1"/>
  <c r="M129" i="4" s="1"/>
  <c r="M130" i="4" s="1"/>
  <c r="M131" i="4" s="1"/>
  <c r="M132" i="4" s="1"/>
  <c r="M133" i="4" s="1"/>
  <c r="M134" i="4" s="1"/>
  <c r="M135" i="4" s="1"/>
  <c r="M136" i="4" s="1"/>
  <c r="M137" i="4" s="1"/>
  <c r="M138" i="4" s="1"/>
  <c r="M139" i="4" s="1"/>
  <c r="M140" i="4" s="1"/>
  <c r="M141" i="4" s="1"/>
  <c r="M142" i="4" s="1"/>
  <c r="M143" i="4" s="1"/>
  <c r="M144" i="4" s="1"/>
  <c r="M145" i="4" s="1"/>
  <c r="M146" i="4" s="1"/>
  <c r="M147" i="4" s="1"/>
  <c r="M148" i="4" s="1"/>
  <c r="M149" i="4" s="1"/>
  <c r="M150" i="4" s="1"/>
  <c r="M151" i="4" s="1"/>
  <c r="M152" i="4" s="1"/>
  <c r="M153" i="4" s="1"/>
  <c r="M154" i="4" s="1"/>
  <c r="M155" i="4" s="1"/>
  <c r="M156" i="4" s="1"/>
  <c r="M157" i="4" s="1"/>
  <c r="M158" i="4" s="1"/>
  <c r="M159" i="4" s="1"/>
  <c r="M160" i="4" s="1"/>
  <c r="M161" i="4" s="1"/>
  <c r="M162" i="4" s="1"/>
  <c r="M163" i="4" s="1"/>
  <c r="M164" i="4" s="1"/>
  <c r="M165" i="4" s="1"/>
  <c r="M166" i="4" s="1"/>
  <c r="M167" i="4" s="1"/>
  <c r="M168" i="4" s="1"/>
  <c r="M169" i="4" s="1"/>
  <c r="M170" i="4" s="1"/>
  <c r="M171" i="4" s="1"/>
  <c r="M172" i="4" s="1"/>
  <c r="M173" i="4" s="1"/>
  <c r="M174" i="4" s="1"/>
  <c r="M175" i="4" s="1"/>
  <c r="M176" i="4" s="1"/>
  <c r="M177" i="4" s="1"/>
  <c r="M178" i="4" s="1"/>
  <c r="M179" i="4" s="1"/>
  <c r="M180" i="4" s="1"/>
  <c r="M181" i="4" s="1"/>
  <c r="M182" i="4" s="1"/>
  <c r="M183" i="4" s="1"/>
  <c r="M184" i="4" s="1"/>
  <c r="M185" i="4" s="1"/>
  <c r="M186" i="4" s="1"/>
  <c r="M187" i="4" s="1"/>
  <c r="M188" i="4" s="1"/>
  <c r="M189" i="4" s="1"/>
  <c r="M190" i="4" s="1"/>
  <c r="M191" i="4" s="1"/>
  <c r="M192" i="4" s="1"/>
  <c r="M193" i="4" s="1"/>
  <c r="M194" i="4" s="1"/>
  <c r="M195" i="4" s="1"/>
  <c r="M196" i="4" s="1"/>
  <c r="M197" i="4" s="1"/>
  <c r="M198" i="4" s="1"/>
  <c r="M199" i="4" s="1"/>
  <c r="M200" i="4" s="1"/>
  <c r="M201" i="4" s="1"/>
  <c r="M202" i="4" s="1"/>
  <c r="M203" i="4" s="1"/>
  <c r="M204" i="4" s="1"/>
  <c r="M205" i="4" s="1"/>
  <c r="M206" i="4" s="1"/>
  <c r="M207" i="4" s="1"/>
  <c r="M208" i="4" s="1"/>
  <c r="M209" i="4" s="1"/>
  <c r="M210" i="4" s="1"/>
  <c r="M211" i="4" s="1"/>
  <c r="M212" i="4" s="1"/>
  <c r="M213" i="4" s="1"/>
  <c r="M214" i="4" s="1"/>
  <c r="M215" i="4" s="1"/>
  <c r="M216" i="4" s="1"/>
  <c r="M217" i="4" s="1"/>
  <c r="M218" i="4" s="1"/>
  <c r="M219" i="4" s="1"/>
  <c r="M220" i="4" s="1"/>
  <c r="M221" i="4" s="1"/>
  <c r="M222" i="4" s="1"/>
  <c r="M223" i="4" s="1"/>
  <c r="M224" i="4" s="1"/>
  <c r="M225" i="4" s="1"/>
  <c r="M226" i="4" s="1"/>
  <c r="M227" i="4" s="1"/>
  <c r="M228" i="4" s="1"/>
  <c r="M229" i="4" s="1"/>
  <c r="M230" i="4" s="1"/>
  <c r="M231" i="4" s="1"/>
  <c r="M232" i="4" s="1"/>
  <c r="M233" i="4" s="1"/>
  <c r="M234" i="4" s="1"/>
  <c r="M235" i="4" s="1"/>
  <c r="M236" i="4" s="1"/>
  <c r="M237" i="4" s="1"/>
  <c r="M238" i="4" s="1"/>
  <c r="M239" i="4" s="1"/>
  <c r="M240" i="4" s="1"/>
  <c r="M241" i="4" s="1"/>
  <c r="M242" i="4" s="1"/>
  <c r="M243" i="4" s="1"/>
  <c r="M244" i="4" s="1"/>
  <c r="M245" i="4" s="1"/>
  <c r="M246" i="4" s="1"/>
  <c r="M247" i="4" s="1"/>
  <c r="M248" i="4" s="1"/>
  <c r="M249" i="4" s="1"/>
  <c r="M250" i="4" s="1"/>
  <c r="M251" i="4" s="1"/>
  <c r="M252" i="4" s="1"/>
  <c r="M253" i="4" s="1"/>
  <c r="M254" i="4" s="1"/>
  <c r="M255" i="4" s="1"/>
  <c r="M256" i="4" s="1"/>
  <c r="M257" i="4" s="1"/>
  <c r="M258" i="4" s="1"/>
  <c r="M259" i="4" s="1"/>
  <c r="M260" i="4" s="1"/>
  <c r="M261" i="4" s="1"/>
  <c r="M262" i="4" s="1"/>
  <c r="M263" i="4" s="1"/>
  <c r="M264" i="4" s="1"/>
  <c r="M265" i="4" s="1"/>
  <c r="M266" i="4" s="1"/>
  <c r="M267" i="4" s="1"/>
  <c r="M268" i="4" s="1"/>
  <c r="M269" i="4" s="1"/>
  <c r="M270" i="4" s="1"/>
  <c r="M271" i="4" s="1"/>
  <c r="M272" i="4" s="1"/>
  <c r="M273" i="4" s="1"/>
  <c r="M274" i="4" s="1"/>
  <c r="M275" i="4" s="1"/>
  <c r="M276" i="4" s="1"/>
  <c r="M277" i="4" s="1"/>
  <c r="M278" i="4" s="1"/>
  <c r="M279" i="4" s="1"/>
  <c r="M280" i="4" s="1"/>
  <c r="M281" i="4" s="1"/>
  <c r="M282" i="4" s="1"/>
  <c r="M283" i="4" s="1"/>
  <c r="M284" i="4" s="1"/>
  <c r="M285" i="4" s="1"/>
  <c r="M286" i="4" s="1"/>
  <c r="M287" i="4" s="1"/>
  <c r="M288" i="4" s="1"/>
  <c r="M289" i="4" s="1"/>
  <c r="M290" i="4" s="1"/>
  <c r="M291" i="4" s="1"/>
  <c r="M292" i="4" s="1"/>
  <c r="M293" i="4" s="1"/>
  <c r="M294" i="4" s="1"/>
  <c r="M295" i="4" s="1"/>
  <c r="M296" i="4" s="1"/>
  <c r="M297" i="4" s="1"/>
  <c r="M298" i="4" s="1"/>
  <c r="M299" i="4" s="1"/>
  <c r="M300" i="4" s="1"/>
  <c r="M301" i="4" s="1"/>
  <c r="M302" i="4" s="1"/>
  <c r="M303" i="4" s="1"/>
  <c r="M304" i="4" s="1"/>
  <c r="M305" i="4" s="1"/>
  <c r="M306" i="4" s="1"/>
  <c r="M307" i="4" s="1"/>
  <c r="M308" i="4" s="1"/>
  <c r="M309" i="4" s="1"/>
  <c r="M310" i="4" s="1"/>
  <c r="M311" i="4" s="1"/>
  <c r="M312" i="4" s="1"/>
  <c r="M313" i="4" s="1"/>
  <c r="M314" i="4" s="1"/>
  <c r="M315" i="4" s="1"/>
  <c r="M316" i="4" s="1"/>
  <c r="M317" i="4" s="1"/>
  <c r="M318" i="4" s="1"/>
  <c r="M319" i="4" s="1"/>
  <c r="M320" i="4" s="1"/>
  <c r="M321" i="4" s="1"/>
  <c r="M322" i="4" s="1"/>
  <c r="M323" i="4" s="1"/>
  <c r="M324" i="4" s="1"/>
  <c r="M325" i="4" s="1"/>
  <c r="M326" i="4" s="1"/>
  <c r="M327" i="4" s="1"/>
  <c r="M328" i="4" s="1"/>
  <c r="M329" i="4" s="1"/>
  <c r="M330" i="4" s="1"/>
  <c r="M331" i="4" s="1"/>
  <c r="M332" i="4" s="1"/>
  <c r="M333" i="4" s="1"/>
  <c r="M334" i="4" s="1"/>
  <c r="M335" i="4" s="1"/>
  <c r="M336" i="4" s="1"/>
  <c r="M337" i="4" s="1"/>
  <c r="M338" i="4" s="1"/>
  <c r="M339" i="4" s="1"/>
  <c r="M340" i="4" s="1"/>
  <c r="M341" i="4" s="1"/>
  <c r="M342" i="4" s="1"/>
  <c r="M343" i="4" s="1"/>
  <c r="M344" i="4" s="1"/>
  <c r="M345" i="4" s="1"/>
  <c r="M346" i="4" s="1"/>
  <c r="M347" i="4" s="1"/>
  <c r="M348" i="4" s="1"/>
  <c r="M349" i="4" s="1"/>
  <c r="M350" i="4" s="1"/>
  <c r="M351" i="4" s="1"/>
  <c r="M352" i="4" s="1"/>
  <c r="M353" i="4" s="1"/>
  <c r="M354" i="4" s="1"/>
  <c r="M355" i="4" s="1"/>
  <c r="M356" i="4" s="1"/>
  <c r="M357" i="4" s="1"/>
  <c r="M358" i="4" s="1"/>
  <c r="M359" i="4" s="1"/>
  <c r="M360" i="4" s="1"/>
  <c r="M361" i="4" s="1"/>
  <c r="M362" i="4" s="1"/>
  <c r="M363" i="4" s="1"/>
  <c r="M364" i="4" s="1"/>
  <c r="M365" i="4" s="1"/>
  <c r="M366" i="4" s="1"/>
  <c r="M367" i="4" s="1"/>
  <c r="M368" i="4" s="1"/>
  <c r="M369" i="4" s="1"/>
  <c r="M370" i="4" s="1"/>
  <c r="M371" i="4" s="1"/>
  <c r="M372" i="4" s="1"/>
  <c r="M373" i="4" s="1"/>
  <c r="M374" i="4" s="1"/>
  <c r="M375" i="4" s="1"/>
  <c r="M376" i="4" s="1"/>
  <c r="M377" i="4" s="1"/>
  <c r="M378" i="4" s="1"/>
  <c r="M379" i="4" s="1"/>
  <c r="M380" i="4" s="1"/>
  <c r="M381" i="4" s="1"/>
  <c r="M382" i="4" s="1"/>
  <c r="M383" i="4" s="1"/>
  <c r="M384" i="4" s="1"/>
  <c r="M385" i="4" s="1"/>
  <c r="M386" i="4" s="1"/>
  <c r="M387" i="4" s="1"/>
  <c r="M388" i="4" s="1"/>
  <c r="M389" i="4" s="1"/>
  <c r="M390" i="4" s="1"/>
  <c r="M391" i="4" s="1"/>
  <c r="M392" i="4" s="1"/>
  <c r="M393" i="4" s="1"/>
  <c r="M394" i="4" s="1"/>
  <c r="M395" i="4" s="1"/>
  <c r="M396" i="4" s="1"/>
  <c r="M397" i="4" s="1"/>
  <c r="M398" i="4" s="1"/>
  <c r="M399" i="4" s="1"/>
  <c r="M400" i="4" s="1"/>
  <c r="M401" i="4" s="1"/>
  <c r="M402" i="4" s="1"/>
  <c r="M403" i="4" s="1"/>
  <c r="M404" i="4" s="1"/>
  <c r="M405" i="4" s="1"/>
  <c r="M406" i="4" s="1"/>
  <c r="M407" i="4" s="1"/>
  <c r="M408" i="4" s="1"/>
  <c r="M409" i="4" s="1"/>
  <c r="M410" i="4" s="1"/>
  <c r="M411" i="4" s="1"/>
  <c r="M412" i="4" s="1"/>
  <c r="M413" i="4" s="1"/>
  <c r="M414" i="4" s="1"/>
  <c r="M415" i="4" s="1"/>
  <c r="M416" i="4" s="1"/>
  <c r="M417" i="4" s="1"/>
  <c r="M418" i="4" s="1"/>
  <c r="M419" i="4" s="1"/>
  <c r="M420" i="4" s="1"/>
  <c r="M421" i="4" s="1"/>
  <c r="M422" i="4" s="1"/>
  <c r="M423" i="4" s="1"/>
  <c r="M424" i="4" s="1"/>
  <c r="M425" i="4" s="1"/>
  <c r="M426" i="4" s="1"/>
  <c r="M427" i="4" s="1"/>
  <c r="M428" i="4" s="1"/>
  <c r="M429" i="4" s="1"/>
  <c r="M430" i="4" s="1"/>
  <c r="M431" i="4" s="1"/>
  <c r="M432" i="4" s="1"/>
  <c r="M433" i="4" s="1"/>
  <c r="M434" i="4" s="1"/>
  <c r="M435" i="4" s="1"/>
  <c r="M436" i="4" s="1"/>
  <c r="M437" i="4" s="1"/>
  <c r="M438" i="4" s="1"/>
  <c r="M439" i="4" s="1"/>
  <c r="M440" i="4" s="1"/>
  <c r="M441" i="4" s="1"/>
  <c r="M442" i="4" s="1"/>
  <c r="M443" i="4" s="1"/>
  <c r="M444" i="4" s="1"/>
  <c r="M445" i="4" s="1"/>
  <c r="M446" i="4" s="1"/>
  <c r="M447" i="4" s="1"/>
  <c r="M448" i="4" s="1"/>
  <c r="M449" i="4" s="1"/>
  <c r="M450" i="4" s="1"/>
  <c r="M451" i="4" s="1"/>
  <c r="M452" i="4" s="1"/>
  <c r="M453" i="4" s="1"/>
  <c r="M454" i="4" s="1"/>
  <c r="M455" i="4" s="1"/>
  <c r="M456" i="4" s="1"/>
  <c r="M457" i="4" s="1"/>
  <c r="M458" i="4" s="1"/>
  <c r="M459" i="4" s="1"/>
  <c r="M460" i="4" s="1"/>
  <c r="M461" i="4" s="1"/>
  <c r="M462" i="4" s="1"/>
  <c r="M463" i="4" s="1"/>
  <c r="M464" i="4" s="1"/>
  <c r="M465" i="4" s="1"/>
  <c r="M466" i="4" s="1"/>
  <c r="M467" i="4" s="1"/>
  <c r="M468" i="4" s="1"/>
  <c r="M469" i="4" s="1"/>
  <c r="M470" i="4" s="1"/>
  <c r="M471" i="4" s="1"/>
  <c r="M472" i="4" s="1"/>
  <c r="M473" i="4" s="1"/>
  <c r="M474" i="4" s="1"/>
  <c r="M475" i="4" s="1"/>
  <c r="M476" i="4" s="1"/>
  <c r="M477" i="4" s="1"/>
  <c r="M478" i="4" s="1"/>
  <c r="M479" i="4" s="1"/>
  <c r="M480" i="4" s="1"/>
  <c r="M481" i="4" s="1"/>
  <c r="M482" i="4" s="1"/>
  <c r="M483" i="4" s="1"/>
  <c r="M484" i="4" s="1"/>
  <c r="M485" i="4" s="1"/>
  <c r="M486" i="4" s="1"/>
  <c r="M487" i="4" s="1"/>
  <c r="M488" i="4" s="1"/>
  <c r="M489" i="4" s="1"/>
  <c r="M490" i="4" s="1"/>
  <c r="M491" i="4" s="1"/>
  <c r="M492" i="4" s="1"/>
  <c r="M493" i="4" s="1"/>
  <c r="M494" i="4" s="1"/>
  <c r="M495" i="4" s="1"/>
  <c r="M496" i="4" s="1"/>
  <c r="M497" i="4" s="1"/>
  <c r="M498" i="4" s="1"/>
  <c r="M499" i="4" s="1"/>
  <c r="M500" i="4" s="1"/>
  <c r="M501" i="4" s="1"/>
  <c r="M502" i="4" s="1"/>
  <c r="M503" i="4" s="1"/>
  <c r="M504" i="4" s="1"/>
  <c r="M6" i="4"/>
  <c r="M5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5" i="4"/>
  <c r="M15" i="7" l="1"/>
  <c r="O14" i="7"/>
  <c r="M7" i="6"/>
  <c r="O6" i="6"/>
  <c r="M7" i="5"/>
  <c r="O6" i="5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5" i="3"/>
  <c r="E15" i="2"/>
  <c r="E16" i="2"/>
  <c r="E17" i="2"/>
  <c r="E18" i="2"/>
  <c r="E19" i="2"/>
  <c r="E20" i="2"/>
  <c r="E21" i="2"/>
  <c r="E22" i="2"/>
  <c r="E23" i="2"/>
  <c r="E14" i="2"/>
  <c r="E9" i="2"/>
  <c r="E10" i="2"/>
  <c r="E11" i="2"/>
  <c r="E12" i="2"/>
  <c r="E13" i="2"/>
  <c r="E8" i="2"/>
  <c r="C14" i="2"/>
  <c r="C15" i="2"/>
  <c r="C16" i="2"/>
  <c r="C17" i="2"/>
  <c r="C18" i="2"/>
  <c r="C19" i="2"/>
  <c r="C20" i="2"/>
  <c r="C21" i="2"/>
  <c r="C22" i="2"/>
  <c r="C23" i="2"/>
  <c r="C11" i="2"/>
  <c r="C12" i="2"/>
  <c r="C13" i="2"/>
  <c r="C9" i="2"/>
  <c r="C10" i="2"/>
  <c r="C8" i="2"/>
  <c r="B10" i="2"/>
  <c r="B11" i="2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9" i="2"/>
  <c r="B8" i="2"/>
  <c r="E9" i="1"/>
  <c r="E10" i="1"/>
  <c r="E11" i="1"/>
  <c r="E12" i="1"/>
  <c r="E13" i="1"/>
  <c r="E14" i="1"/>
  <c r="E15" i="1"/>
  <c r="E16" i="1"/>
  <c r="E17" i="1"/>
  <c r="E18" i="1"/>
  <c r="E8" i="1"/>
  <c r="D9" i="1"/>
  <c r="D10" i="1"/>
  <c r="D11" i="1"/>
  <c r="D12" i="1"/>
  <c r="D13" i="1"/>
  <c r="D14" i="1"/>
  <c r="D15" i="1"/>
  <c r="D16" i="1"/>
  <c r="D17" i="1"/>
  <c r="D18" i="1"/>
  <c r="D8" i="1"/>
  <c r="C10" i="1"/>
  <c r="C11" i="1" s="1"/>
  <c r="C12" i="1" s="1"/>
  <c r="C13" i="1" s="1"/>
  <c r="C14" i="1" s="1"/>
  <c r="C15" i="1" s="1"/>
  <c r="C16" i="1" s="1"/>
  <c r="C17" i="1" s="1"/>
  <c r="C18" i="1" s="1"/>
  <c r="C9" i="1"/>
  <c r="C8" i="1"/>
  <c r="O15" i="7" l="1"/>
  <c r="M16" i="7"/>
  <c r="M8" i="6"/>
  <c r="O7" i="6"/>
  <c r="M8" i="5"/>
  <c r="O7" i="5"/>
  <c r="M17" i="7" l="1"/>
  <c r="O16" i="7"/>
  <c r="M9" i="6"/>
  <c r="O8" i="6"/>
  <c r="M9" i="5"/>
  <c r="O8" i="5"/>
  <c r="O17" i="7" l="1"/>
  <c r="M18" i="7"/>
  <c r="M10" i="6"/>
  <c r="O9" i="6"/>
  <c r="M10" i="5"/>
  <c r="O9" i="5"/>
  <c r="M19" i="7" l="1"/>
  <c r="O18" i="7"/>
  <c r="M11" i="6"/>
  <c r="O10" i="6"/>
  <c r="M11" i="5"/>
  <c r="O10" i="5"/>
  <c r="O19" i="7" l="1"/>
  <c r="M20" i="7"/>
  <c r="M12" i="6"/>
  <c r="O11" i="6"/>
  <c r="M12" i="5"/>
  <c r="O11" i="5"/>
  <c r="M21" i="7" l="1"/>
  <c r="O20" i="7"/>
  <c r="M13" i="6"/>
  <c r="O12" i="6"/>
  <c r="M13" i="5"/>
  <c r="O12" i="5"/>
  <c r="O21" i="7" l="1"/>
  <c r="M22" i="7"/>
  <c r="M14" i="6"/>
  <c r="O13" i="6"/>
  <c r="M14" i="5"/>
  <c r="O13" i="5"/>
  <c r="M23" i="7" l="1"/>
  <c r="O22" i="7"/>
  <c r="M15" i="6"/>
  <c r="O14" i="6"/>
  <c r="M15" i="5"/>
  <c r="O14" i="5"/>
  <c r="O23" i="7" l="1"/>
  <c r="M24" i="7"/>
  <c r="M16" i="6"/>
  <c r="O15" i="6"/>
  <c r="M16" i="5"/>
  <c r="O15" i="5"/>
  <c r="M25" i="7" l="1"/>
  <c r="O24" i="7"/>
  <c r="M17" i="6"/>
  <c r="O16" i="6"/>
  <c r="M17" i="5"/>
  <c r="O16" i="5"/>
  <c r="O25" i="7" l="1"/>
  <c r="M26" i="7"/>
  <c r="M18" i="6"/>
  <c r="O17" i="6"/>
  <c r="M18" i="5"/>
  <c r="O17" i="5"/>
  <c r="M27" i="7" l="1"/>
  <c r="O26" i="7"/>
  <c r="M19" i="6"/>
  <c r="O18" i="6"/>
  <c r="M19" i="5"/>
  <c r="O18" i="5"/>
  <c r="O27" i="7" l="1"/>
  <c r="M28" i="7"/>
  <c r="M20" i="6"/>
  <c r="O19" i="6"/>
  <c r="M20" i="5"/>
  <c r="O19" i="5"/>
  <c r="M29" i="7" l="1"/>
  <c r="O28" i="7"/>
  <c r="M21" i="6"/>
  <c r="O20" i="6"/>
  <c r="M21" i="5"/>
  <c r="O20" i="5"/>
  <c r="O29" i="7" l="1"/>
  <c r="M30" i="7"/>
  <c r="M22" i="6"/>
  <c r="O21" i="6"/>
  <c r="M22" i="5"/>
  <c r="O21" i="5"/>
  <c r="M31" i="7" l="1"/>
  <c r="O30" i="7"/>
  <c r="M23" i="6"/>
  <c r="O22" i="6"/>
  <c r="M23" i="5"/>
  <c r="O22" i="5"/>
  <c r="O31" i="7" l="1"/>
  <c r="M32" i="7"/>
  <c r="M24" i="6"/>
  <c r="O23" i="6"/>
  <c r="M24" i="5"/>
  <c r="O23" i="5"/>
  <c r="M33" i="7" l="1"/>
  <c r="O32" i="7"/>
  <c r="M25" i="6"/>
  <c r="O24" i="6"/>
  <c r="M25" i="5"/>
  <c r="O24" i="5"/>
  <c r="O33" i="7" l="1"/>
  <c r="M34" i="7"/>
  <c r="M26" i="6"/>
  <c r="O25" i="6"/>
  <c r="M26" i="5"/>
  <c r="O25" i="5"/>
  <c r="M35" i="7" l="1"/>
  <c r="O34" i="7"/>
  <c r="M27" i="6"/>
  <c r="O26" i="6"/>
  <c r="M27" i="5"/>
  <c r="O26" i="5"/>
  <c r="O35" i="7" l="1"/>
  <c r="M36" i="7"/>
  <c r="M28" i="6"/>
  <c r="O27" i="6"/>
  <c r="M28" i="5"/>
  <c r="O27" i="5"/>
  <c r="M37" i="7" l="1"/>
  <c r="O36" i="7"/>
  <c r="M29" i="6"/>
  <c r="O28" i="6"/>
  <c r="M29" i="5"/>
  <c r="O28" i="5"/>
  <c r="O37" i="7" l="1"/>
  <c r="M38" i="7"/>
  <c r="M30" i="6"/>
  <c r="O29" i="6"/>
  <c r="M30" i="5"/>
  <c r="O29" i="5"/>
  <c r="M39" i="7" l="1"/>
  <c r="O38" i="7"/>
  <c r="M31" i="6"/>
  <c r="O30" i="6"/>
  <c r="M31" i="5"/>
  <c r="O30" i="5"/>
  <c r="O39" i="7" l="1"/>
  <c r="M40" i="7"/>
  <c r="M32" i="6"/>
  <c r="O31" i="6"/>
  <c r="M32" i="5"/>
  <c r="O31" i="5"/>
  <c r="M41" i="7" l="1"/>
  <c r="O40" i="7"/>
  <c r="M33" i="6"/>
  <c r="O32" i="6"/>
  <c r="M33" i="5"/>
  <c r="O32" i="5"/>
  <c r="O41" i="7" l="1"/>
  <c r="M42" i="7"/>
  <c r="M34" i="6"/>
  <c r="O33" i="6"/>
  <c r="M34" i="5"/>
  <c r="O33" i="5"/>
  <c r="M43" i="7" l="1"/>
  <c r="O42" i="7"/>
  <c r="M35" i="6"/>
  <c r="O34" i="6"/>
  <c r="M35" i="5"/>
  <c r="O34" i="5"/>
  <c r="O43" i="7" l="1"/>
  <c r="M44" i="7"/>
  <c r="M36" i="6"/>
  <c r="O35" i="6"/>
  <c r="M36" i="5"/>
  <c r="O35" i="5"/>
  <c r="M45" i="7" l="1"/>
  <c r="O44" i="7"/>
  <c r="M37" i="6"/>
  <c r="O36" i="6"/>
  <c r="M37" i="5"/>
  <c r="O36" i="5"/>
  <c r="O45" i="7" l="1"/>
  <c r="M46" i="7"/>
  <c r="M38" i="6"/>
  <c r="O37" i="6"/>
  <c r="M38" i="5"/>
  <c r="O37" i="5"/>
  <c r="M47" i="7" l="1"/>
  <c r="O46" i="7"/>
  <c r="M39" i="6"/>
  <c r="O38" i="6"/>
  <c r="M39" i="5"/>
  <c r="O38" i="5"/>
  <c r="O47" i="7" l="1"/>
  <c r="M48" i="7"/>
  <c r="M40" i="6"/>
  <c r="O39" i="6"/>
  <c r="M40" i="5"/>
  <c r="O39" i="5"/>
  <c r="M49" i="7" l="1"/>
  <c r="O48" i="7"/>
  <c r="M41" i="6"/>
  <c r="O40" i="6"/>
  <c r="M41" i="5"/>
  <c r="O40" i="5"/>
  <c r="O49" i="7" l="1"/>
  <c r="M50" i="7"/>
  <c r="M42" i="6"/>
  <c r="O41" i="6"/>
  <c r="M42" i="5"/>
  <c r="O41" i="5"/>
  <c r="M51" i="7" l="1"/>
  <c r="O50" i="7"/>
  <c r="M43" i="6"/>
  <c r="O42" i="6"/>
  <c r="M43" i="5"/>
  <c r="O42" i="5"/>
  <c r="O51" i="7" l="1"/>
  <c r="M52" i="7"/>
  <c r="M44" i="6"/>
  <c r="O43" i="6"/>
  <c r="M44" i="5"/>
  <c r="O43" i="5"/>
  <c r="M53" i="7" l="1"/>
  <c r="O52" i="7"/>
  <c r="M45" i="6"/>
  <c r="O44" i="6"/>
  <c r="M45" i="5"/>
  <c r="O44" i="5"/>
  <c r="O53" i="7" l="1"/>
  <c r="M54" i="7"/>
  <c r="M46" i="6"/>
  <c r="O45" i="6"/>
  <c r="M46" i="5"/>
  <c r="O45" i="5"/>
  <c r="M55" i="7" l="1"/>
  <c r="O54" i="7"/>
  <c r="M47" i="6"/>
  <c r="O46" i="6"/>
  <c r="M47" i="5"/>
  <c r="O46" i="5"/>
  <c r="M56" i="7" l="1"/>
  <c r="O55" i="7"/>
  <c r="M48" i="6"/>
  <c r="O47" i="6"/>
  <c r="M48" i="5"/>
  <c r="O47" i="5"/>
  <c r="M57" i="7" l="1"/>
  <c r="O56" i="7"/>
  <c r="M49" i="6"/>
  <c r="O48" i="6"/>
  <c r="M49" i="5"/>
  <c r="O48" i="5"/>
  <c r="M58" i="7" l="1"/>
  <c r="O57" i="7"/>
  <c r="M50" i="6"/>
  <c r="O49" i="6"/>
  <c r="M50" i="5"/>
  <c r="O49" i="5"/>
  <c r="M59" i="7" l="1"/>
  <c r="O58" i="7"/>
  <c r="M51" i="6"/>
  <c r="O50" i="6"/>
  <c r="M51" i="5"/>
  <c r="O50" i="5"/>
  <c r="M60" i="7" l="1"/>
  <c r="O59" i="7"/>
  <c r="M52" i="6"/>
  <c r="O51" i="6"/>
  <c r="M52" i="5"/>
  <c r="O51" i="5"/>
  <c r="M61" i="7" l="1"/>
  <c r="O60" i="7"/>
  <c r="M53" i="6"/>
  <c r="O52" i="6"/>
  <c r="M53" i="5"/>
  <c r="O52" i="5"/>
  <c r="M62" i="7" l="1"/>
  <c r="O61" i="7"/>
  <c r="M54" i="6"/>
  <c r="O53" i="6"/>
  <c r="M54" i="5"/>
  <c r="O53" i="5"/>
  <c r="M63" i="7" l="1"/>
  <c r="O62" i="7"/>
  <c r="M55" i="6"/>
  <c r="O54" i="6"/>
  <c r="M55" i="5"/>
  <c r="O54" i="5"/>
  <c r="M64" i="7" l="1"/>
  <c r="O63" i="7"/>
  <c r="M56" i="6"/>
  <c r="O55" i="6"/>
  <c r="M56" i="5"/>
  <c r="O55" i="5"/>
  <c r="M65" i="7" l="1"/>
  <c r="O64" i="7"/>
  <c r="M57" i="6"/>
  <c r="O56" i="6"/>
  <c r="M57" i="5"/>
  <c r="O56" i="5"/>
  <c r="M66" i="7" l="1"/>
  <c r="O65" i="7"/>
  <c r="M58" i="6"/>
  <c r="O57" i="6"/>
  <c r="M58" i="5"/>
  <c r="O57" i="5"/>
  <c r="M67" i="7" l="1"/>
  <c r="O66" i="7"/>
  <c r="M59" i="6"/>
  <c r="O58" i="6"/>
  <c r="M59" i="5"/>
  <c r="O58" i="5"/>
  <c r="M68" i="7" l="1"/>
  <c r="O67" i="7"/>
  <c r="M60" i="6"/>
  <c r="O59" i="6"/>
  <c r="M60" i="5"/>
  <c r="O59" i="5"/>
  <c r="M69" i="7" l="1"/>
  <c r="O68" i="7"/>
  <c r="M61" i="6"/>
  <c r="O60" i="6"/>
  <c r="M61" i="5"/>
  <c r="O60" i="5"/>
  <c r="M70" i="7" l="1"/>
  <c r="O69" i="7"/>
  <c r="M62" i="6"/>
  <c r="O61" i="6"/>
  <c r="M62" i="5"/>
  <c r="O61" i="5"/>
  <c r="M71" i="7" l="1"/>
  <c r="O70" i="7"/>
  <c r="M63" i="6"/>
  <c r="O62" i="6"/>
  <c r="M63" i="5"/>
  <c r="O62" i="5"/>
  <c r="M72" i="7" l="1"/>
  <c r="O71" i="7"/>
  <c r="M64" i="6"/>
  <c r="O63" i="6"/>
  <c r="M64" i="5"/>
  <c r="O63" i="5"/>
  <c r="M73" i="7" l="1"/>
  <c r="O72" i="7"/>
  <c r="M65" i="6"/>
  <c r="O64" i="6"/>
  <c r="M65" i="5"/>
  <c r="O64" i="5"/>
  <c r="M74" i="7" l="1"/>
  <c r="O73" i="7"/>
  <c r="M66" i="6"/>
  <c r="O65" i="6"/>
  <c r="M66" i="5"/>
  <c r="O65" i="5"/>
  <c r="M75" i="7" l="1"/>
  <c r="O74" i="7"/>
  <c r="M67" i="6"/>
  <c r="O66" i="6"/>
  <c r="M67" i="5"/>
  <c r="O66" i="5"/>
  <c r="M76" i="7" l="1"/>
  <c r="O75" i="7"/>
  <c r="M68" i="6"/>
  <c r="O67" i="6"/>
  <c r="M68" i="5"/>
  <c r="O67" i="5"/>
  <c r="M77" i="7" l="1"/>
  <c r="O76" i="7"/>
  <c r="M69" i="6"/>
  <c r="O68" i="6"/>
  <c r="M69" i="5"/>
  <c r="O68" i="5"/>
  <c r="M78" i="7" l="1"/>
  <c r="O77" i="7"/>
  <c r="M70" i="6"/>
  <c r="O69" i="6"/>
  <c r="M70" i="5"/>
  <c r="O69" i="5"/>
  <c r="M79" i="7" l="1"/>
  <c r="O78" i="7"/>
  <c r="M71" i="6"/>
  <c r="O70" i="6"/>
  <c r="M71" i="5"/>
  <c r="O70" i="5"/>
  <c r="M80" i="7" l="1"/>
  <c r="O79" i="7"/>
  <c r="M72" i="6"/>
  <c r="O71" i="6"/>
  <c r="M72" i="5"/>
  <c r="O71" i="5"/>
  <c r="M81" i="7" l="1"/>
  <c r="O80" i="7"/>
  <c r="M73" i="6"/>
  <c r="O72" i="6"/>
  <c r="M73" i="5"/>
  <c r="O72" i="5"/>
  <c r="M82" i="7" l="1"/>
  <c r="O81" i="7"/>
  <c r="M74" i="6"/>
  <c r="O73" i="6"/>
  <c r="M74" i="5"/>
  <c r="O73" i="5"/>
  <c r="M83" i="7" l="1"/>
  <c r="O82" i="7"/>
  <c r="M75" i="6"/>
  <c r="O74" i="6"/>
  <c r="M75" i="5"/>
  <c r="O74" i="5"/>
  <c r="M84" i="7" l="1"/>
  <c r="O83" i="7"/>
  <c r="M76" i="6"/>
  <c r="O75" i="6"/>
  <c r="M76" i="5"/>
  <c r="O75" i="5"/>
  <c r="M85" i="7" l="1"/>
  <c r="O84" i="7"/>
  <c r="M77" i="6"/>
  <c r="O76" i="6"/>
  <c r="M77" i="5"/>
  <c r="O76" i="5"/>
  <c r="M86" i="7" l="1"/>
  <c r="O85" i="7"/>
  <c r="M78" i="6"/>
  <c r="O77" i="6"/>
  <c r="M78" i="5"/>
  <c r="O77" i="5"/>
  <c r="M87" i="7" l="1"/>
  <c r="O86" i="7"/>
  <c r="M79" i="6"/>
  <c r="O78" i="6"/>
  <c r="M79" i="5"/>
  <c r="O78" i="5"/>
  <c r="M88" i="7" l="1"/>
  <c r="O87" i="7"/>
  <c r="M80" i="6"/>
  <c r="O79" i="6"/>
  <c r="M80" i="5"/>
  <c r="O79" i="5"/>
  <c r="M89" i="7" l="1"/>
  <c r="O88" i="7"/>
  <c r="M81" i="6"/>
  <c r="O80" i="6"/>
  <c r="M81" i="5"/>
  <c r="O80" i="5"/>
  <c r="M90" i="7" l="1"/>
  <c r="O89" i="7"/>
  <c r="M82" i="6"/>
  <c r="O81" i="6"/>
  <c r="M82" i="5"/>
  <c r="O81" i="5"/>
  <c r="M91" i="7" l="1"/>
  <c r="O90" i="7"/>
  <c r="M83" i="6"/>
  <c r="O82" i="6"/>
  <c r="M83" i="5"/>
  <c r="O82" i="5"/>
  <c r="M92" i="7" l="1"/>
  <c r="O91" i="7"/>
  <c r="M84" i="6"/>
  <c r="O83" i="6"/>
  <c r="M84" i="5"/>
  <c r="O83" i="5"/>
  <c r="M93" i="7" l="1"/>
  <c r="O92" i="7"/>
  <c r="M85" i="6"/>
  <c r="O84" i="6"/>
  <c r="M85" i="5"/>
  <c r="O84" i="5"/>
  <c r="M94" i="7" l="1"/>
  <c r="O93" i="7"/>
  <c r="M86" i="6"/>
  <c r="O85" i="6"/>
  <c r="M86" i="5"/>
  <c r="O85" i="5"/>
  <c r="M95" i="7" l="1"/>
  <c r="O94" i="7"/>
  <c r="M87" i="6"/>
  <c r="O86" i="6"/>
  <c r="M87" i="5"/>
  <c r="O86" i="5"/>
  <c r="M96" i="7" l="1"/>
  <c r="O95" i="7"/>
  <c r="M88" i="6"/>
  <c r="O87" i="6"/>
  <c r="M88" i="5"/>
  <c r="O87" i="5"/>
  <c r="M97" i="7" l="1"/>
  <c r="O96" i="7"/>
  <c r="M89" i="6"/>
  <c r="O88" i="6"/>
  <c r="M89" i="5"/>
  <c r="O88" i="5"/>
  <c r="M98" i="7" l="1"/>
  <c r="O97" i="7"/>
  <c r="M90" i="6"/>
  <c r="O89" i="6"/>
  <c r="M90" i="5"/>
  <c r="O89" i="5"/>
  <c r="M99" i="7" l="1"/>
  <c r="O98" i="7"/>
  <c r="M91" i="6"/>
  <c r="O90" i="6"/>
  <c r="M91" i="5"/>
  <c r="O90" i="5"/>
  <c r="M100" i="7" l="1"/>
  <c r="O99" i="7"/>
  <c r="M92" i="6"/>
  <c r="O91" i="6"/>
  <c r="M92" i="5"/>
  <c r="O91" i="5"/>
  <c r="M101" i="7" l="1"/>
  <c r="O100" i="7"/>
  <c r="M93" i="6"/>
  <c r="O92" i="6"/>
  <c r="M93" i="5"/>
  <c r="O92" i="5"/>
  <c r="M102" i="7" l="1"/>
  <c r="O101" i="7"/>
  <c r="M94" i="6"/>
  <c r="O93" i="6"/>
  <c r="M94" i="5"/>
  <c r="O93" i="5"/>
  <c r="M103" i="7" l="1"/>
  <c r="O102" i="7"/>
  <c r="M95" i="6"/>
  <c r="O94" i="6"/>
  <c r="M95" i="5"/>
  <c r="O94" i="5"/>
  <c r="M104" i="7" l="1"/>
  <c r="O103" i="7"/>
  <c r="M96" i="6"/>
  <c r="O95" i="6"/>
  <c r="M96" i="5"/>
  <c r="O95" i="5"/>
  <c r="M105" i="7" l="1"/>
  <c r="O104" i="7"/>
  <c r="M97" i="6"/>
  <c r="O96" i="6"/>
  <c r="M97" i="5"/>
  <c r="O96" i="5"/>
  <c r="M106" i="7" l="1"/>
  <c r="O105" i="7"/>
  <c r="M98" i="6"/>
  <c r="O97" i="6"/>
  <c r="M98" i="5"/>
  <c r="O97" i="5"/>
  <c r="M107" i="7" l="1"/>
  <c r="O106" i="7"/>
  <c r="M99" i="6"/>
  <c r="O98" i="6"/>
  <c r="M99" i="5"/>
  <c r="O98" i="5"/>
  <c r="M108" i="7" l="1"/>
  <c r="O107" i="7"/>
  <c r="M100" i="6"/>
  <c r="O99" i="6"/>
  <c r="M100" i="5"/>
  <c r="O99" i="5"/>
  <c r="M109" i="7" l="1"/>
  <c r="O108" i="7"/>
  <c r="M101" i="6"/>
  <c r="O100" i="6"/>
  <c r="M101" i="5"/>
  <c r="O100" i="5"/>
  <c r="M110" i="7" l="1"/>
  <c r="O109" i="7"/>
  <c r="M102" i="6"/>
  <c r="O101" i="6"/>
  <c r="M102" i="5"/>
  <c r="O101" i="5"/>
  <c r="M111" i="7" l="1"/>
  <c r="O110" i="7"/>
  <c r="M103" i="6"/>
  <c r="O102" i="6"/>
  <c r="M103" i="5"/>
  <c r="O102" i="5"/>
  <c r="M112" i="7" l="1"/>
  <c r="O111" i="7"/>
  <c r="M104" i="6"/>
  <c r="O103" i="6"/>
  <c r="M104" i="5"/>
  <c r="O103" i="5"/>
  <c r="M113" i="7" l="1"/>
  <c r="O112" i="7"/>
  <c r="M105" i="6"/>
  <c r="O104" i="6"/>
  <c r="M105" i="5"/>
  <c r="O104" i="5"/>
  <c r="M114" i="7" l="1"/>
  <c r="O113" i="7"/>
  <c r="M106" i="6"/>
  <c r="O105" i="6"/>
  <c r="M106" i="5"/>
  <c r="O105" i="5"/>
  <c r="M115" i="7" l="1"/>
  <c r="O114" i="7"/>
  <c r="M107" i="6"/>
  <c r="O106" i="6"/>
  <c r="M107" i="5"/>
  <c r="O106" i="5"/>
  <c r="M116" i="7" l="1"/>
  <c r="O115" i="7"/>
  <c r="M108" i="6"/>
  <c r="O107" i="6"/>
  <c r="M108" i="5"/>
  <c r="O107" i="5"/>
  <c r="M117" i="7" l="1"/>
  <c r="O116" i="7"/>
  <c r="M109" i="6"/>
  <c r="O108" i="6"/>
  <c r="M109" i="5"/>
  <c r="O108" i="5"/>
  <c r="M118" i="7" l="1"/>
  <c r="O117" i="7"/>
  <c r="M110" i="6"/>
  <c r="O109" i="6"/>
  <c r="M110" i="5"/>
  <c r="O109" i="5"/>
  <c r="M119" i="7" l="1"/>
  <c r="O118" i="7"/>
  <c r="M111" i="6"/>
  <c r="O110" i="6"/>
  <c r="M111" i="5"/>
  <c r="O110" i="5"/>
  <c r="M120" i="7" l="1"/>
  <c r="O119" i="7"/>
  <c r="M112" i="6"/>
  <c r="O111" i="6"/>
  <c r="M112" i="5"/>
  <c r="O111" i="5"/>
  <c r="M121" i="7" l="1"/>
  <c r="O120" i="7"/>
  <c r="M113" i="6"/>
  <c r="O112" i="6"/>
  <c r="M113" i="5"/>
  <c r="O112" i="5"/>
  <c r="M122" i="7" l="1"/>
  <c r="O121" i="7"/>
  <c r="M114" i="6"/>
  <c r="O113" i="6"/>
  <c r="M114" i="5"/>
  <c r="O113" i="5"/>
  <c r="M123" i="7" l="1"/>
  <c r="O122" i="7"/>
  <c r="M115" i="6"/>
  <c r="O114" i="6"/>
  <c r="M115" i="5"/>
  <c r="O114" i="5"/>
  <c r="M124" i="7" l="1"/>
  <c r="O123" i="7"/>
  <c r="M116" i="6"/>
  <c r="O115" i="6"/>
  <c r="M116" i="5"/>
  <c r="O115" i="5"/>
  <c r="M125" i="7" l="1"/>
  <c r="O124" i="7"/>
  <c r="M117" i="6"/>
  <c r="O116" i="6"/>
  <c r="M117" i="5"/>
  <c r="O116" i="5"/>
  <c r="M126" i="7" l="1"/>
  <c r="O125" i="7"/>
  <c r="M118" i="6"/>
  <c r="O117" i="6"/>
  <c r="M118" i="5"/>
  <c r="O117" i="5"/>
  <c r="M127" i="7" l="1"/>
  <c r="O126" i="7"/>
  <c r="M119" i="6"/>
  <c r="O118" i="6"/>
  <c r="M119" i="5"/>
  <c r="O118" i="5"/>
  <c r="M128" i="7" l="1"/>
  <c r="O127" i="7"/>
  <c r="M120" i="6"/>
  <c r="O119" i="6"/>
  <c r="M120" i="5"/>
  <c r="O119" i="5"/>
  <c r="M129" i="7" l="1"/>
  <c r="O128" i="7"/>
  <c r="M121" i="6"/>
  <c r="O120" i="6"/>
  <c r="M121" i="5"/>
  <c r="O120" i="5"/>
  <c r="O129" i="7" l="1"/>
  <c r="M130" i="7"/>
  <c r="M122" i="6"/>
  <c r="O121" i="6"/>
  <c r="M122" i="5"/>
  <c r="O121" i="5"/>
  <c r="O130" i="7" l="1"/>
  <c r="M131" i="7"/>
  <c r="M123" i="6"/>
  <c r="O122" i="6"/>
  <c r="M123" i="5"/>
  <c r="O122" i="5"/>
  <c r="O131" i="7" l="1"/>
  <c r="M132" i="7"/>
  <c r="M124" i="6"/>
  <c r="O123" i="6"/>
  <c r="M124" i="5"/>
  <c r="O123" i="5"/>
  <c r="O132" i="7" l="1"/>
  <c r="M133" i="7"/>
  <c r="M125" i="6"/>
  <c r="O124" i="6"/>
  <c r="M125" i="5"/>
  <c r="O124" i="5"/>
  <c r="M134" i="7" l="1"/>
  <c r="O133" i="7"/>
  <c r="M126" i="6"/>
  <c r="O125" i="6"/>
  <c r="M126" i="5"/>
  <c r="O125" i="5"/>
  <c r="M135" i="7" l="1"/>
  <c r="O134" i="7"/>
  <c r="M127" i="6"/>
  <c r="O126" i="6"/>
  <c r="M127" i="5"/>
  <c r="O126" i="5"/>
  <c r="M136" i="7" l="1"/>
  <c r="O135" i="7"/>
  <c r="M128" i="6"/>
  <c r="O127" i="6"/>
  <c r="M128" i="5"/>
  <c r="O127" i="5"/>
  <c r="M137" i="7" l="1"/>
  <c r="O136" i="7"/>
  <c r="M129" i="6"/>
  <c r="O128" i="6"/>
  <c r="M129" i="5"/>
  <c r="O128" i="5"/>
  <c r="O137" i="7" l="1"/>
  <c r="M138" i="7"/>
  <c r="M130" i="6"/>
  <c r="O129" i="6"/>
  <c r="M130" i="5"/>
  <c r="O129" i="5"/>
  <c r="M139" i="7" l="1"/>
  <c r="O138" i="7"/>
  <c r="M131" i="6"/>
  <c r="O130" i="6"/>
  <c r="M131" i="5"/>
  <c r="O130" i="5"/>
  <c r="O139" i="7" l="1"/>
  <c r="M140" i="7"/>
  <c r="M132" i="6"/>
  <c r="O131" i="6"/>
  <c r="M132" i="5"/>
  <c r="O131" i="5"/>
  <c r="O140" i="7" l="1"/>
  <c r="M141" i="7"/>
  <c r="M133" i="6"/>
  <c r="O132" i="6"/>
  <c r="M133" i="5"/>
  <c r="O132" i="5"/>
  <c r="M142" i="7" l="1"/>
  <c r="O141" i="7"/>
  <c r="M134" i="6"/>
  <c r="O133" i="6"/>
  <c r="M134" i="5"/>
  <c r="O133" i="5"/>
  <c r="M143" i="7" l="1"/>
  <c r="O142" i="7"/>
  <c r="M135" i="6"/>
  <c r="O134" i="6"/>
  <c r="M135" i="5"/>
  <c r="O134" i="5"/>
  <c r="M144" i="7" l="1"/>
  <c r="O143" i="7"/>
  <c r="M136" i="6"/>
  <c r="O135" i="6"/>
  <c r="M136" i="5"/>
  <c r="O135" i="5"/>
  <c r="M145" i="7" l="1"/>
  <c r="O144" i="7"/>
  <c r="M137" i="6"/>
  <c r="O136" i="6"/>
  <c r="M137" i="5"/>
  <c r="O136" i="5"/>
  <c r="O145" i="7" l="1"/>
  <c r="M146" i="7"/>
  <c r="M138" i="6"/>
  <c r="O137" i="6"/>
  <c r="M138" i="5"/>
  <c r="O137" i="5"/>
  <c r="M147" i="7" l="1"/>
  <c r="O146" i="7"/>
  <c r="M139" i="6"/>
  <c r="O138" i="6"/>
  <c r="M139" i="5"/>
  <c r="O138" i="5"/>
  <c r="O147" i="7" l="1"/>
  <c r="M148" i="7"/>
  <c r="M140" i="6"/>
  <c r="O139" i="6"/>
  <c r="M140" i="5"/>
  <c r="O139" i="5"/>
  <c r="M149" i="7" l="1"/>
  <c r="O148" i="7"/>
  <c r="M141" i="6"/>
  <c r="O140" i="6"/>
  <c r="M141" i="5"/>
  <c r="O140" i="5"/>
  <c r="M150" i="7" l="1"/>
  <c r="O149" i="7"/>
  <c r="M142" i="6"/>
  <c r="O141" i="6"/>
  <c r="M142" i="5"/>
  <c r="O141" i="5"/>
  <c r="M151" i="7" l="1"/>
  <c r="O150" i="7"/>
  <c r="M143" i="6"/>
  <c r="O142" i="6"/>
  <c r="M143" i="5"/>
  <c r="O142" i="5"/>
  <c r="M152" i="7" l="1"/>
  <c r="O151" i="7"/>
  <c r="M144" i="6"/>
  <c r="O143" i="6"/>
  <c r="M144" i="5"/>
  <c r="O143" i="5"/>
  <c r="M153" i="7" l="1"/>
  <c r="O152" i="7"/>
  <c r="M145" i="6"/>
  <c r="O144" i="6"/>
  <c r="M145" i="5"/>
  <c r="O144" i="5"/>
  <c r="O153" i="7" l="1"/>
  <c r="M154" i="7"/>
  <c r="M146" i="6"/>
  <c r="O145" i="6"/>
  <c r="M146" i="5"/>
  <c r="O145" i="5"/>
  <c r="M155" i="7" l="1"/>
  <c r="O154" i="7"/>
  <c r="M147" i="6"/>
  <c r="O146" i="6"/>
  <c r="M147" i="5"/>
  <c r="O146" i="5"/>
  <c r="M156" i="7" l="1"/>
  <c r="O155" i="7"/>
  <c r="M148" i="6"/>
  <c r="O147" i="6"/>
  <c r="M148" i="5"/>
  <c r="O147" i="5"/>
  <c r="M157" i="7" l="1"/>
  <c r="O156" i="7"/>
  <c r="M149" i="6"/>
  <c r="O148" i="6"/>
  <c r="M149" i="5"/>
  <c r="O148" i="5"/>
  <c r="M158" i="7" l="1"/>
  <c r="O157" i="7"/>
  <c r="M150" i="6"/>
  <c r="O149" i="6"/>
  <c r="M150" i="5"/>
  <c r="O149" i="5"/>
  <c r="M159" i="7" l="1"/>
  <c r="O158" i="7"/>
  <c r="M151" i="6"/>
  <c r="O150" i="6"/>
  <c r="M151" i="5"/>
  <c r="O150" i="5"/>
  <c r="M160" i="7" l="1"/>
  <c r="O159" i="7"/>
  <c r="M152" i="6"/>
  <c r="O151" i="6"/>
  <c r="M152" i="5"/>
  <c r="O151" i="5"/>
  <c r="M161" i="7" l="1"/>
  <c r="O160" i="7"/>
  <c r="M153" i="6"/>
  <c r="O152" i="6"/>
  <c r="M153" i="5"/>
  <c r="O152" i="5"/>
  <c r="O161" i="7" l="1"/>
  <c r="M162" i="7"/>
  <c r="M154" i="6"/>
  <c r="O153" i="6"/>
  <c r="M154" i="5"/>
  <c r="O153" i="5"/>
  <c r="M163" i="7" l="1"/>
  <c r="O162" i="7"/>
  <c r="M155" i="6"/>
  <c r="O154" i="6"/>
  <c r="M155" i="5"/>
  <c r="O154" i="5"/>
  <c r="O163" i="7" l="1"/>
  <c r="M164" i="7"/>
  <c r="M156" i="6"/>
  <c r="O155" i="6"/>
  <c r="M156" i="5"/>
  <c r="O155" i="5"/>
  <c r="M165" i="7" l="1"/>
  <c r="O164" i="7"/>
  <c r="M157" i="6"/>
  <c r="O156" i="6"/>
  <c r="M157" i="5"/>
  <c r="O156" i="5"/>
  <c r="M166" i="7" l="1"/>
  <c r="O165" i="7"/>
  <c r="M158" i="6"/>
  <c r="O157" i="6"/>
  <c r="M158" i="5"/>
  <c r="O157" i="5"/>
  <c r="M167" i="7" l="1"/>
  <c r="O166" i="7"/>
  <c r="M159" i="6"/>
  <c r="O158" i="6"/>
  <c r="M159" i="5"/>
  <c r="O158" i="5"/>
  <c r="M168" i="7" l="1"/>
  <c r="O167" i="7"/>
  <c r="M160" i="6"/>
  <c r="O159" i="6"/>
  <c r="M160" i="5"/>
  <c r="O159" i="5"/>
  <c r="M169" i="7" l="1"/>
  <c r="O168" i="7"/>
  <c r="M161" i="6"/>
  <c r="O160" i="6"/>
  <c r="M161" i="5"/>
  <c r="O160" i="5"/>
  <c r="O169" i="7" l="1"/>
  <c r="M170" i="7"/>
  <c r="M162" i="6"/>
  <c r="O161" i="6"/>
  <c r="M162" i="5"/>
  <c r="O161" i="5"/>
  <c r="M171" i="7" l="1"/>
  <c r="O170" i="7"/>
  <c r="M163" i="6"/>
  <c r="O162" i="6"/>
  <c r="M163" i="5"/>
  <c r="O162" i="5"/>
  <c r="M172" i="7" l="1"/>
  <c r="O171" i="7"/>
  <c r="M164" i="6"/>
  <c r="O163" i="6"/>
  <c r="M164" i="5"/>
  <c r="O163" i="5"/>
  <c r="M173" i="7" l="1"/>
  <c r="O172" i="7"/>
  <c r="M165" i="6"/>
  <c r="O164" i="6"/>
  <c r="M165" i="5"/>
  <c r="O164" i="5"/>
  <c r="M174" i="7" l="1"/>
  <c r="O173" i="7"/>
  <c r="M166" i="6"/>
  <c r="O165" i="6"/>
  <c r="M166" i="5"/>
  <c r="O165" i="5"/>
  <c r="M175" i="7" l="1"/>
  <c r="O174" i="7"/>
  <c r="M167" i="6"/>
  <c r="O166" i="6"/>
  <c r="M167" i="5"/>
  <c r="O166" i="5"/>
  <c r="M176" i="7" l="1"/>
  <c r="O175" i="7"/>
  <c r="M168" i="6"/>
  <c r="O167" i="6"/>
  <c r="M168" i="5"/>
  <c r="O167" i="5"/>
  <c r="M177" i="7" l="1"/>
  <c r="O176" i="7"/>
  <c r="M169" i="6"/>
  <c r="O168" i="6"/>
  <c r="M169" i="5"/>
  <c r="O168" i="5"/>
  <c r="O177" i="7" l="1"/>
  <c r="M178" i="7"/>
  <c r="M170" i="6"/>
  <c r="O169" i="6"/>
  <c r="M170" i="5"/>
  <c r="O169" i="5"/>
  <c r="M179" i="7" l="1"/>
  <c r="O178" i="7"/>
  <c r="M171" i="6"/>
  <c r="O170" i="6"/>
  <c r="M171" i="5"/>
  <c r="O170" i="5"/>
  <c r="O179" i="7" l="1"/>
  <c r="M180" i="7"/>
  <c r="M172" i="6"/>
  <c r="O171" i="6"/>
  <c r="M172" i="5"/>
  <c r="O171" i="5"/>
  <c r="M181" i="7" l="1"/>
  <c r="O180" i="7"/>
  <c r="M173" i="6"/>
  <c r="O172" i="6"/>
  <c r="M173" i="5"/>
  <c r="O172" i="5"/>
  <c r="M182" i="7" l="1"/>
  <c r="O181" i="7"/>
  <c r="M174" i="6"/>
  <c r="O173" i="6"/>
  <c r="M174" i="5"/>
  <c r="O173" i="5"/>
  <c r="M183" i="7" l="1"/>
  <c r="O182" i="7"/>
  <c r="M175" i="6"/>
  <c r="O174" i="6"/>
  <c r="M175" i="5"/>
  <c r="O174" i="5"/>
  <c r="O183" i="7" l="1"/>
  <c r="M184" i="7"/>
  <c r="M176" i="6"/>
  <c r="O175" i="6"/>
  <c r="M176" i="5"/>
  <c r="O175" i="5"/>
  <c r="M185" i="7" l="1"/>
  <c r="O184" i="7"/>
  <c r="M177" i="6"/>
  <c r="O176" i="6"/>
  <c r="M177" i="5"/>
  <c r="O176" i="5"/>
  <c r="O185" i="7" l="1"/>
  <c r="M186" i="7"/>
  <c r="M178" i="6"/>
  <c r="O177" i="6"/>
  <c r="M178" i="5"/>
  <c r="O177" i="5"/>
  <c r="M187" i="7" l="1"/>
  <c r="O186" i="7"/>
  <c r="M179" i="6"/>
  <c r="O178" i="6"/>
  <c r="M179" i="5"/>
  <c r="O178" i="5"/>
  <c r="M188" i="7" l="1"/>
  <c r="O187" i="7"/>
  <c r="M180" i="6"/>
  <c r="O179" i="6"/>
  <c r="M180" i="5"/>
  <c r="O179" i="5"/>
  <c r="M189" i="7" l="1"/>
  <c r="O188" i="7"/>
  <c r="M181" i="6"/>
  <c r="O180" i="6"/>
  <c r="M181" i="5"/>
  <c r="O180" i="5"/>
  <c r="M190" i="7" l="1"/>
  <c r="O189" i="7"/>
  <c r="M182" i="6"/>
  <c r="O181" i="6"/>
  <c r="M182" i="5"/>
  <c r="O181" i="5"/>
  <c r="M191" i="7" l="1"/>
  <c r="O190" i="7"/>
  <c r="M183" i="6"/>
  <c r="O182" i="6"/>
  <c r="M183" i="5"/>
  <c r="O182" i="5"/>
  <c r="M192" i="7" l="1"/>
  <c r="O191" i="7"/>
  <c r="M184" i="6"/>
  <c r="O183" i="6"/>
  <c r="M184" i="5"/>
  <c r="O183" i="5"/>
  <c r="M193" i="7" l="1"/>
  <c r="O192" i="7"/>
  <c r="M185" i="6"/>
  <c r="O184" i="6"/>
  <c r="M185" i="5"/>
  <c r="O184" i="5"/>
  <c r="O193" i="7" l="1"/>
  <c r="M194" i="7"/>
  <c r="M186" i="6"/>
  <c r="O185" i="6"/>
  <c r="M186" i="5"/>
  <c r="O185" i="5"/>
  <c r="M195" i="7" l="1"/>
  <c r="O194" i="7"/>
  <c r="M187" i="6"/>
  <c r="O186" i="6"/>
  <c r="M187" i="5"/>
  <c r="O186" i="5"/>
  <c r="O195" i="7" l="1"/>
  <c r="M196" i="7"/>
  <c r="M188" i="6"/>
  <c r="O187" i="6"/>
  <c r="M188" i="5"/>
  <c r="O187" i="5"/>
  <c r="M197" i="7" l="1"/>
  <c r="O196" i="7"/>
  <c r="M189" i="6"/>
  <c r="O188" i="6"/>
  <c r="M189" i="5"/>
  <c r="O188" i="5"/>
  <c r="M198" i="7" l="1"/>
  <c r="O197" i="7"/>
  <c r="M190" i="6"/>
  <c r="O189" i="6"/>
  <c r="M190" i="5"/>
  <c r="O189" i="5"/>
  <c r="M199" i="7" l="1"/>
  <c r="O198" i="7"/>
  <c r="M191" i="6"/>
  <c r="O190" i="6"/>
  <c r="M191" i="5"/>
  <c r="O190" i="5"/>
  <c r="O199" i="7" l="1"/>
  <c r="M200" i="7"/>
  <c r="M192" i="6"/>
  <c r="O191" i="6"/>
  <c r="M192" i="5"/>
  <c r="O191" i="5"/>
  <c r="M201" i="7" l="1"/>
  <c r="O200" i="7"/>
  <c r="M193" i="6"/>
  <c r="O192" i="6"/>
  <c r="M193" i="5"/>
  <c r="O192" i="5"/>
  <c r="O201" i="7" l="1"/>
  <c r="M202" i="7"/>
  <c r="M194" i="6"/>
  <c r="O193" i="6"/>
  <c r="M194" i="5"/>
  <c r="O193" i="5"/>
  <c r="M203" i="7" l="1"/>
  <c r="O202" i="7"/>
  <c r="M195" i="6"/>
  <c r="O194" i="6"/>
  <c r="M195" i="5"/>
  <c r="O194" i="5"/>
  <c r="O203" i="7" l="1"/>
  <c r="M204" i="7"/>
  <c r="M196" i="6"/>
  <c r="O195" i="6"/>
  <c r="M196" i="5"/>
  <c r="O195" i="5"/>
  <c r="M205" i="7" l="1"/>
  <c r="O204" i="7"/>
  <c r="M197" i="6"/>
  <c r="O196" i="6"/>
  <c r="M197" i="5"/>
  <c r="O196" i="5"/>
  <c r="M206" i="7" l="1"/>
  <c r="O205" i="7"/>
  <c r="M198" i="6"/>
  <c r="O197" i="6"/>
  <c r="M198" i="5"/>
  <c r="O197" i="5"/>
  <c r="M207" i="7" l="1"/>
  <c r="O206" i="7"/>
  <c r="M199" i="6"/>
  <c r="O198" i="6"/>
  <c r="M199" i="5"/>
  <c r="O198" i="5"/>
  <c r="M208" i="7" l="1"/>
  <c r="O207" i="7"/>
  <c r="M200" i="6"/>
  <c r="O199" i="6"/>
  <c r="M200" i="5"/>
  <c r="O199" i="5"/>
  <c r="M209" i="7" l="1"/>
  <c r="O208" i="7"/>
  <c r="M201" i="6"/>
  <c r="O200" i="6"/>
  <c r="M201" i="5"/>
  <c r="O200" i="5"/>
  <c r="O209" i="7" l="1"/>
  <c r="M210" i="7"/>
  <c r="M202" i="6"/>
  <c r="O201" i="6"/>
  <c r="M202" i="5"/>
  <c r="O201" i="5"/>
  <c r="M211" i="7" l="1"/>
  <c r="O210" i="7"/>
  <c r="M203" i="6"/>
  <c r="O202" i="6"/>
  <c r="M203" i="5"/>
  <c r="O202" i="5"/>
  <c r="M212" i="7" l="1"/>
  <c r="O211" i="7"/>
  <c r="M204" i="6"/>
  <c r="O203" i="6"/>
  <c r="M204" i="5"/>
  <c r="O203" i="5"/>
  <c r="O212" i="7" l="1"/>
  <c r="M213" i="7"/>
  <c r="M205" i="6"/>
  <c r="O204" i="6"/>
  <c r="M205" i="5"/>
  <c r="O204" i="5"/>
  <c r="M214" i="7" l="1"/>
  <c r="O213" i="7"/>
  <c r="M206" i="6"/>
  <c r="O205" i="6"/>
  <c r="M206" i="5"/>
  <c r="O205" i="5"/>
  <c r="O214" i="7" l="1"/>
  <c r="M215" i="7"/>
  <c r="M207" i="6"/>
  <c r="O206" i="6"/>
  <c r="M207" i="5"/>
  <c r="O206" i="5"/>
  <c r="M216" i="7" l="1"/>
  <c r="O215" i="7"/>
  <c r="M208" i="6"/>
  <c r="O207" i="6"/>
  <c r="M208" i="5"/>
  <c r="O207" i="5"/>
  <c r="M217" i="7" l="1"/>
  <c r="O216" i="7"/>
  <c r="M209" i="6"/>
  <c r="O208" i="6"/>
  <c r="M209" i="5"/>
  <c r="O208" i="5"/>
  <c r="M218" i="7" l="1"/>
  <c r="O217" i="7"/>
  <c r="M210" i="6"/>
  <c r="O209" i="6"/>
  <c r="M210" i="5"/>
  <c r="O209" i="5"/>
  <c r="M219" i="7" l="1"/>
  <c r="O218" i="7"/>
  <c r="M211" i="6"/>
  <c r="O210" i="6"/>
  <c r="M211" i="5"/>
  <c r="O210" i="5"/>
  <c r="M220" i="7" l="1"/>
  <c r="O219" i="7"/>
  <c r="M212" i="6"/>
  <c r="O211" i="6"/>
  <c r="M212" i="5"/>
  <c r="O211" i="5"/>
  <c r="O220" i="7" l="1"/>
  <c r="M221" i="7"/>
  <c r="M213" i="6"/>
  <c r="O212" i="6"/>
  <c r="M213" i="5"/>
  <c r="O212" i="5"/>
  <c r="M222" i="7" l="1"/>
  <c r="O221" i="7"/>
  <c r="M214" i="6"/>
  <c r="O213" i="6"/>
  <c r="M214" i="5"/>
  <c r="O213" i="5"/>
  <c r="O222" i="7" l="1"/>
  <c r="M223" i="7"/>
  <c r="M215" i="6"/>
  <c r="O214" i="6"/>
  <c r="M215" i="5"/>
  <c r="O214" i="5"/>
  <c r="M224" i="7" l="1"/>
  <c r="O223" i="7"/>
  <c r="M216" i="6"/>
  <c r="O215" i="6"/>
  <c r="M216" i="5"/>
  <c r="O215" i="5"/>
  <c r="M225" i="7" l="1"/>
  <c r="O224" i="7"/>
  <c r="M217" i="6"/>
  <c r="O216" i="6"/>
  <c r="M217" i="5"/>
  <c r="O216" i="5"/>
  <c r="M226" i="7" l="1"/>
  <c r="O225" i="7"/>
  <c r="M218" i="6"/>
  <c r="O217" i="6"/>
  <c r="M218" i="5"/>
  <c r="O217" i="5"/>
  <c r="M227" i="7" l="1"/>
  <c r="O226" i="7"/>
  <c r="M219" i="6"/>
  <c r="O218" i="6"/>
  <c r="M219" i="5"/>
  <c r="O218" i="5"/>
  <c r="M228" i="7" l="1"/>
  <c r="O227" i="7"/>
  <c r="M220" i="6"/>
  <c r="O219" i="6"/>
  <c r="M220" i="5"/>
  <c r="O219" i="5"/>
  <c r="O228" i="7" l="1"/>
  <c r="M229" i="7"/>
  <c r="M221" i="6"/>
  <c r="O220" i="6"/>
  <c r="M221" i="5"/>
  <c r="O220" i="5"/>
  <c r="M230" i="7" l="1"/>
  <c r="O229" i="7"/>
  <c r="M222" i="6"/>
  <c r="O221" i="6"/>
  <c r="M222" i="5"/>
  <c r="O221" i="5"/>
  <c r="O230" i="7" l="1"/>
  <c r="M231" i="7"/>
  <c r="M223" i="6"/>
  <c r="O222" i="6"/>
  <c r="M223" i="5"/>
  <c r="O222" i="5"/>
  <c r="M232" i="7" l="1"/>
  <c r="O231" i="7"/>
  <c r="M224" i="6"/>
  <c r="O223" i="6"/>
  <c r="M224" i="5"/>
  <c r="O223" i="5"/>
  <c r="M233" i="7" l="1"/>
  <c r="O232" i="7"/>
  <c r="O224" i="6"/>
  <c r="M225" i="6"/>
  <c r="M225" i="5"/>
  <c r="O224" i="5"/>
  <c r="M234" i="7" l="1"/>
  <c r="O233" i="7"/>
  <c r="M226" i="6"/>
  <c r="O225" i="6"/>
  <c r="M226" i="5"/>
  <c r="O225" i="5"/>
  <c r="O234" i="7" l="1"/>
  <c r="M235" i="7"/>
  <c r="O226" i="6"/>
  <c r="M227" i="6"/>
  <c r="M227" i="5"/>
  <c r="O226" i="5"/>
  <c r="M236" i="7" l="1"/>
  <c r="O235" i="7"/>
  <c r="O227" i="6"/>
  <c r="M228" i="6"/>
  <c r="M228" i="5"/>
  <c r="O227" i="5"/>
  <c r="O236" i="7" l="1"/>
  <c r="M237" i="7"/>
  <c r="O228" i="6"/>
  <c r="M229" i="6"/>
  <c r="M229" i="5"/>
  <c r="O228" i="5"/>
  <c r="M238" i="7" l="1"/>
  <c r="O237" i="7"/>
  <c r="O229" i="6"/>
  <c r="M230" i="6"/>
  <c r="M230" i="5"/>
  <c r="O229" i="5"/>
  <c r="O238" i="7" l="1"/>
  <c r="M239" i="7"/>
  <c r="O230" i="6"/>
  <c r="M231" i="6"/>
  <c r="M231" i="5"/>
  <c r="O230" i="5"/>
  <c r="M240" i="7" l="1"/>
  <c r="O239" i="7"/>
  <c r="M232" i="6"/>
  <c r="O231" i="6"/>
  <c r="M232" i="5"/>
  <c r="O231" i="5"/>
  <c r="M241" i="7" l="1"/>
  <c r="O240" i="7"/>
  <c r="O232" i="6"/>
  <c r="M233" i="6"/>
  <c r="M233" i="5"/>
  <c r="O232" i="5"/>
  <c r="M242" i="7" l="1"/>
  <c r="O241" i="7"/>
  <c r="M234" i="6"/>
  <c r="O233" i="6"/>
  <c r="M234" i="5"/>
  <c r="O233" i="5"/>
  <c r="M243" i="7" l="1"/>
  <c r="O242" i="7"/>
  <c r="O234" i="6"/>
  <c r="M235" i="6"/>
  <c r="M235" i="5"/>
  <c r="O234" i="5"/>
  <c r="M244" i="7" l="1"/>
  <c r="O243" i="7"/>
  <c r="M236" i="6"/>
  <c r="O235" i="6"/>
  <c r="M236" i="5"/>
  <c r="O235" i="5"/>
  <c r="O244" i="7" l="1"/>
  <c r="M245" i="7"/>
  <c r="O236" i="6"/>
  <c r="M237" i="6"/>
  <c r="M237" i="5"/>
  <c r="O236" i="5"/>
  <c r="M246" i="7" l="1"/>
  <c r="O245" i="7"/>
  <c r="M238" i="6"/>
  <c r="O237" i="6"/>
  <c r="M238" i="5"/>
  <c r="O237" i="5"/>
  <c r="M247" i="7" l="1"/>
  <c r="O246" i="7"/>
  <c r="O238" i="6"/>
  <c r="M239" i="6"/>
  <c r="M239" i="5"/>
  <c r="O238" i="5"/>
  <c r="M248" i="7" l="1"/>
  <c r="O247" i="7"/>
  <c r="M240" i="6"/>
  <c r="O239" i="6"/>
  <c r="M240" i="5"/>
  <c r="O239" i="5"/>
  <c r="M249" i="7" l="1"/>
  <c r="O248" i="7"/>
  <c r="O240" i="6"/>
  <c r="M241" i="6"/>
  <c r="M241" i="5"/>
  <c r="O240" i="5"/>
  <c r="M250" i="7" l="1"/>
  <c r="O249" i="7"/>
  <c r="M242" i="6"/>
  <c r="O241" i="6"/>
  <c r="M242" i="5"/>
  <c r="O241" i="5"/>
  <c r="O250" i="7" l="1"/>
  <c r="M251" i="7"/>
  <c r="O242" i="6"/>
  <c r="M243" i="6"/>
  <c r="M243" i="5"/>
  <c r="O242" i="5"/>
  <c r="M252" i="7" l="1"/>
  <c r="O251" i="7"/>
  <c r="O243" i="6"/>
  <c r="M244" i="6"/>
  <c r="M244" i="5"/>
  <c r="O243" i="5"/>
  <c r="O252" i="7" l="1"/>
  <c r="M253" i="7"/>
  <c r="O244" i="6"/>
  <c r="M245" i="6"/>
  <c r="M245" i="5"/>
  <c r="O244" i="5"/>
  <c r="M254" i="7" l="1"/>
  <c r="O253" i="7"/>
  <c r="O245" i="6"/>
  <c r="M246" i="6"/>
  <c r="M246" i="5"/>
  <c r="O245" i="5"/>
  <c r="O254" i="7" l="1"/>
  <c r="M255" i="7"/>
  <c r="O246" i="6"/>
  <c r="M247" i="6"/>
  <c r="M247" i="5"/>
  <c r="O246" i="5"/>
  <c r="M256" i="7" l="1"/>
  <c r="O255" i="7"/>
  <c r="M248" i="6"/>
  <c r="O247" i="6"/>
  <c r="M248" i="5"/>
  <c r="O247" i="5"/>
  <c r="M257" i="7" l="1"/>
  <c r="O256" i="7"/>
  <c r="O248" i="6"/>
  <c r="M249" i="6"/>
  <c r="M249" i="5"/>
  <c r="O248" i="5"/>
  <c r="M258" i="7" l="1"/>
  <c r="O257" i="7"/>
  <c r="M250" i="6"/>
  <c r="O249" i="6"/>
  <c r="M250" i="5"/>
  <c r="O249" i="5"/>
  <c r="M259" i="7" l="1"/>
  <c r="O258" i="7"/>
  <c r="O250" i="6"/>
  <c r="M251" i="6"/>
  <c r="M251" i="5"/>
  <c r="O250" i="5"/>
  <c r="M260" i="7" l="1"/>
  <c r="O259" i="7"/>
  <c r="M252" i="6"/>
  <c r="O251" i="6"/>
  <c r="M252" i="5"/>
  <c r="O251" i="5"/>
  <c r="O260" i="7" l="1"/>
  <c r="M261" i="7"/>
  <c r="O252" i="6"/>
  <c r="M253" i="6"/>
  <c r="M253" i="5"/>
  <c r="O252" i="5"/>
  <c r="M262" i="7" l="1"/>
  <c r="O261" i="7"/>
  <c r="M254" i="6"/>
  <c r="O253" i="6"/>
  <c r="M254" i="5"/>
  <c r="O253" i="5"/>
  <c r="M263" i="7" l="1"/>
  <c r="O262" i="7"/>
  <c r="O254" i="6"/>
  <c r="M255" i="6"/>
  <c r="M255" i="5"/>
  <c r="O254" i="5"/>
  <c r="M264" i="7" l="1"/>
  <c r="O263" i="7"/>
  <c r="M256" i="6"/>
  <c r="O255" i="6"/>
  <c r="M256" i="5"/>
  <c r="O255" i="5"/>
  <c r="M265" i="7" l="1"/>
  <c r="O264" i="7"/>
  <c r="O256" i="6"/>
  <c r="M257" i="6"/>
  <c r="M257" i="5"/>
  <c r="O256" i="5"/>
  <c r="M266" i="7" l="1"/>
  <c r="O265" i="7"/>
  <c r="M258" i="6"/>
  <c r="O257" i="6"/>
  <c r="M258" i="5"/>
  <c r="O257" i="5"/>
  <c r="M267" i="7" l="1"/>
  <c r="O266" i="7"/>
  <c r="O258" i="6"/>
  <c r="M259" i="6"/>
  <c r="M259" i="5"/>
  <c r="O258" i="5"/>
  <c r="M268" i="7" l="1"/>
  <c r="O267" i="7"/>
  <c r="O259" i="6"/>
  <c r="M260" i="6"/>
  <c r="M260" i="5"/>
  <c r="O259" i="5"/>
  <c r="O268" i="7" l="1"/>
  <c r="M269" i="7"/>
  <c r="O260" i="6"/>
  <c r="M261" i="6"/>
  <c r="M261" i="5"/>
  <c r="O260" i="5"/>
  <c r="M270" i="7" l="1"/>
  <c r="O269" i="7"/>
  <c r="O261" i="6"/>
  <c r="M262" i="6"/>
  <c r="M262" i="5"/>
  <c r="O261" i="5"/>
  <c r="O270" i="7" l="1"/>
  <c r="M271" i="7"/>
  <c r="O262" i="6"/>
  <c r="M263" i="6"/>
  <c r="M263" i="5"/>
  <c r="O262" i="5"/>
  <c r="M272" i="7" l="1"/>
  <c r="O271" i="7"/>
  <c r="M264" i="6"/>
  <c r="O263" i="6"/>
  <c r="M264" i="5"/>
  <c r="O263" i="5"/>
  <c r="M273" i="7" l="1"/>
  <c r="O272" i="7"/>
  <c r="O264" i="6"/>
  <c r="M265" i="6"/>
  <c r="M265" i="5"/>
  <c r="O264" i="5"/>
  <c r="M274" i="7" l="1"/>
  <c r="O273" i="7"/>
  <c r="M266" i="6"/>
  <c r="O265" i="6"/>
  <c r="M266" i="5"/>
  <c r="O265" i="5"/>
  <c r="M275" i="7" l="1"/>
  <c r="O274" i="7"/>
  <c r="O266" i="6"/>
  <c r="M267" i="6"/>
  <c r="M267" i="5"/>
  <c r="O266" i="5"/>
  <c r="M276" i="7" l="1"/>
  <c r="O275" i="7"/>
  <c r="M268" i="6"/>
  <c r="O267" i="6"/>
  <c r="M268" i="5"/>
  <c r="O267" i="5"/>
  <c r="O276" i="7" l="1"/>
  <c r="M277" i="7"/>
  <c r="O268" i="6"/>
  <c r="M269" i="6"/>
  <c r="M269" i="5"/>
  <c r="O268" i="5"/>
  <c r="M278" i="7" l="1"/>
  <c r="O277" i="7"/>
  <c r="M270" i="6"/>
  <c r="O269" i="6"/>
  <c r="M270" i="5"/>
  <c r="O269" i="5"/>
  <c r="O278" i="7" l="1"/>
  <c r="M279" i="7"/>
  <c r="O270" i="6"/>
  <c r="M271" i="6"/>
  <c r="M271" i="5"/>
  <c r="O270" i="5"/>
  <c r="M280" i="7" l="1"/>
  <c r="O279" i="7"/>
  <c r="M272" i="6"/>
  <c r="O271" i="6"/>
  <c r="M272" i="5"/>
  <c r="O271" i="5"/>
  <c r="M281" i="7" l="1"/>
  <c r="O280" i="7"/>
  <c r="O272" i="6"/>
  <c r="M273" i="6"/>
  <c r="M273" i="5"/>
  <c r="O272" i="5"/>
  <c r="M282" i="7" l="1"/>
  <c r="O281" i="7"/>
  <c r="M274" i="6"/>
  <c r="O273" i="6"/>
  <c r="M274" i="5"/>
  <c r="O273" i="5"/>
  <c r="M283" i="7" l="1"/>
  <c r="O282" i="7"/>
  <c r="O274" i="6"/>
  <c r="M275" i="6"/>
  <c r="M275" i="5"/>
  <c r="O274" i="5"/>
  <c r="M284" i="7" l="1"/>
  <c r="O283" i="7"/>
  <c r="O275" i="6"/>
  <c r="M276" i="6"/>
  <c r="M276" i="5"/>
  <c r="O275" i="5"/>
  <c r="O284" i="7" l="1"/>
  <c r="M285" i="7"/>
  <c r="O276" i="6"/>
  <c r="M277" i="6"/>
  <c r="M277" i="5"/>
  <c r="O276" i="5"/>
  <c r="M286" i="7" l="1"/>
  <c r="O285" i="7"/>
  <c r="O277" i="6"/>
  <c r="M278" i="6"/>
  <c r="M278" i="5"/>
  <c r="O277" i="5"/>
  <c r="O286" i="7" l="1"/>
  <c r="M287" i="7"/>
  <c r="O278" i="6"/>
  <c r="M279" i="6"/>
  <c r="M279" i="5"/>
  <c r="O278" i="5"/>
  <c r="M288" i="7" l="1"/>
  <c r="O287" i="7"/>
  <c r="M280" i="6"/>
  <c r="O279" i="6"/>
  <c r="M280" i="5"/>
  <c r="O279" i="5"/>
  <c r="M289" i="7" l="1"/>
  <c r="O288" i="7"/>
  <c r="O280" i="6"/>
  <c r="M281" i="6"/>
  <c r="M281" i="5"/>
  <c r="O280" i="5"/>
  <c r="M290" i="7" l="1"/>
  <c r="O289" i="7"/>
  <c r="M282" i="6"/>
  <c r="O281" i="6"/>
  <c r="M282" i="5"/>
  <c r="O281" i="5"/>
  <c r="M291" i="7" l="1"/>
  <c r="O290" i="7"/>
  <c r="O282" i="6"/>
  <c r="M283" i="6"/>
  <c r="M283" i="5"/>
  <c r="O282" i="5"/>
  <c r="M292" i="7" l="1"/>
  <c r="O291" i="7"/>
  <c r="M284" i="6"/>
  <c r="O283" i="6"/>
  <c r="M284" i="5"/>
  <c r="O283" i="5"/>
  <c r="O292" i="7" l="1"/>
  <c r="M293" i="7"/>
  <c r="O284" i="6"/>
  <c r="M285" i="6"/>
  <c r="M285" i="5"/>
  <c r="O284" i="5"/>
  <c r="M294" i="7" l="1"/>
  <c r="O293" i="7"/>
  <c r="M286" i="6"/>
  <c r="O285" i="6"/>
  <c r="M286" i="5"/>
  <c r="O285" i="5"/>
  <c r="O294" i="7" l="1"/>
  <c r="M295" i="7"/>
  <c r="O286" i="6"/>
  <c r="M287" i="6"/>
  <c r="M287" i="5"/>
  <c r="O286" i="5"/>
  <c r="M296" i="7" l="1"/>
  <c r="O295" i="7"/>
  <c r="M288" i="6"/>
  <c r="O287" i="6"/>
  <c r="M288" i="5"/>
  <c r="O287" i="5"/>
  <c r="M297" i="7" l="1"/>
  <c r="O296" i="7"/>
  <c r="O288" i="6"/>
  <c r="M289" i="6"/>
  <c r="M289" i="5"/>
  <c r="O288" i="5"/>
  <c r="M298" i="7" l="1"/>
  <c r="O297" i="7"/>
  <c r="M290" i="6"/>
  <c r="O289" i="6"/>
  <c r="M290" i="5"/>
  <c r="O289" i="5"/>
  <c r="M299" i="7" l="1"/>
  <c r="O298" i="7"/>
  <c r="O290" i="6"/>
  <c r="M291" i="6"/>
  <c r="M291" i="5"/>
  <c r="O290" i="5"/>
  <c r="M300" i="7" l="1"/>
  <c r="O299" i="7"/>
  <c r="O291" i="6"/>
  <c r="M292" i="6"/>
  <c r="M292" i="5"/>
  <c r="O291" i="5"/>
  <c r="O300" i="7" l="1"/>
  <c r="M301" i="7"/>
  <c r="O292" i="6"/>
  <c r="M293" i="6"/>
  <c r="M293" i="5"/>
  <c r="O292" i="5"/>
  <c r="M302" i="7" l="1"/>
  <c r="O301" i="7"/>
  <c r="O293" i="6"/>
  <c r="M294" i="6"/>
  <c r="M294" i="5"/>
  <c r="O293" i="5"/>
  <c r="O302" i="7" l="1"/>
  <c r="M303" i="7"/>
  <c r="O294" i="6"/>
  <c r="M295" i="6"/>
  <c r="M295" i="5"/>
  <c r="O294" i="5"/>
  <c r="M304" i="7" l="1"/>
  <c r="O303" i="7"/>
  <c r="M296" i="6"/>
  <c r="O295" i="6"/>
  <c r="M296" i="5"/>
  <c r="O295" i="5"/>
  <c r="M305" i="7" l="1"/>
  <c r="O304" i="7"/>
  <c r="O296" i="6"/>
  <c r="M297" i="6"/>
  <c r="M297" i="5"/>
  <c r="O296" i="5"/>
  <c r="M306" i="7" l="1"/>
  <c r="O305" i="7"/>
  <c r="O297" i="6"/>
  <c r="M298" i="6"/>
  <c r="M298" i="5"/>
  <c r="O297" i="5"/>
  <c r="M307" i="7" l="1"/>
  <c r="O306" i="7"/>
  <c r="O298" i="6"/>
  <c r="M299" i="6"/>
  <c r="M299" i="5"/>
  <c r="O298" i="5"/>
  <c r="M308" i="7" l="1"/>
  <c r="O307" i="7"/>
  <c r="M300" i="6"/>
  <c r="O299" i="6"/>
  <c r="M300" i="5"/>
  <c r="O299" i="5"/>
  <c r="O308" i="7" l="1"/>
  <c r="M309" i="7"/>
  <c r="O300" i="6"/>
  <c r="M301" i="6"/>
  <c r="M301" i="5"/>
  <c r="O300" i="5"/>
  <c r="M310" i="7" l="1"/>
  <c r="O309" i="7"/>
  <c r="M302" i="6"/>
  <c r="O301" i="6"/>
  <c r="M302" i="5"/>
  <c r="O301" i="5"/>
  <c r="O310" i="7" l="1"/>
  <c r="M311" i="7"/>
  <c r="O302" i="6"/>
  <c r="M303" i="6"/>
  <c r="M303" i="5"/>
  <c r="O302" i="5"/>
  <c r="M312" i="7" l="1"/>
  <c r="O311" i="7"/>
  <c r="M304" i="6"/>
  <c r="O303" i="6"/>
  <c r="M304" i="5"/>
  <c r="O303" i="5"/>
  <c r="M313" i="7" l="1"/>
  <c r="O312" i="7"/>
  <c r="O304" i="6"/>
  <c r="M305" i="6"/>
  <c r="M305" i="5"/>
  <c r="O304" i="5"/>
  <c r="M314" i="7" l="1"/>
  <c r="O313" i="7"/>
  <c r="M306" i="6"/>
  <c r="O305" i="6"/>
  <c r="M306" i="5"/>
  <c r="O305" i="5"/>
  <c r="O314" i="7" l="1"/>
  <c r="M315" i="7"/>
  <c r="O306" i="6"/>
  <c r="M307" i="6"/>
  <c r="M307" i="5"/>
  <c r="O306" i="5"/>
  <c r="M316" i="7" l="1"/>
  <c r="O315" i="7"/>
  <c r="O307" i="6"/>
  <c r="M308" i="6"/>
  <c r="M308" i="5"/>
  <c r="O307" i="5"/>
  <c r="O316" i="7" l="1"/>
  <c r="M317" i="7"/>
  <c r="O308" i="6"/>
  <c r="M309" i="6"/>
  <c r="M309" i="5"/>
  <c r="O308" i="5"/>
  <c r="M318" i="7" l="1"/>
  <c r="O317" i="7"/>
  <c r="O309" i="6"/>
  <c r="M310" i="6"/>
  <c r="M310" i="5"/>
  <c r="O309" i="5"/>
  <c r="O318" i="7" l="1"/>
  <c r="M319" i="7"/>
  <c r="O310" i="6"/>
  <c r="M311" i="6"/>
  <c r="M311" i="5"/>
  <c r="O310" i="5"/>
  <c r="M320" i="7" l="1"/>
  <c r="O319" i="7"/>
  <c r="M312" i="6"/>
  <c r="O311" i="6"/>
  <c r="M312" i="5"/>
  <c r="O311" i="5"/>
  <c r="M321" i="7" l="1"/>
  <c r="O320" i="7"/>
  <c r="O312" i="6"/>
  <c r="M313" i="6"/>
  <c r="M313" i="5"/>
  <c r="O312" i="5"/>
  <c r="M322" i="7" l="1"/>
  <c r="O321" i="7"/>
  <c r="O313" i="6"/>
  <c r="M314" i="6"/>
  <c r="M314" i="5"/>
  <c r="O313" i="5"/>
  <c r="M323" i="7" l="1"/>
  <c r="O322" i="7"/>
  <c r="O314" i="6"/>
  <c r="M315" i="6"/>
  <c r="M315" i="5"/>
  <c r="O314" i="5"/>
  <c r="M324" i="7" l="1"/>
  <c r="O323" i="7"/>
  <c r="M316" i="6"/>
  <c r="O315" i="6"/>
  <c r="M316" i="5"/>
  <c r="O315" i="5"/>
  <c r="O324" i="7" l="1"/>
  <c r="M325" i="7"/>
  <c r="O316" i="6"/>
  <c r="M317" i="6"/>
  <c r="M317" i="5"/>
  <c r="O316" i="5"/>
  <c r="M326" i="7" l="1"/>
  <c r="O325" i="7"/>
  <c r="O317" i="6"/>
  <c r="M318" i="6"/>
  <c r="M318" i="5"/>
  <c r="O317" i="5"/>
  <c r="M327" i="7" l="1"/>
  <c r="O326" i="7"/>
  <c r="O318" i="6"/>
  <c r="M319" i="6"/>
  <c r="M319" i="5"/>
  <c r="O318" i="5"/>
  <c r="M328" i="7" l="1"/>
  <c r="O327" i="7"/>
  <c r="M320" i="6"/>
  <c r="O319" i="6"/>
  <c r="M320" i="5"/>
  <c r="O319" i="5"/>
  <c r="M329" i="7" l="1"/>
  <c r="O328" i="7"/>
  <c r="O320" i="6"/>
  <c r="M321" i="6"/>
  <c r="M321" i="5"/>
  <c r="O320" i="5"/>
  <c r="M330" i="7" l="1"/>
  <c r="O329" i="7"/>
  <c r="M322" i="6"/>
  <c r="O321" i="6"/>
  <c r="M322" i="5"/>
  <c r="O321" i="5"/>
  <c r="M331" i="7" l="1"/>
  <c r="O330" i="7"/>
  <c r="O322" i="6"/>
  <c r="M323" i="6"/>
  <c r="M323" i="5"/>
  <c r="O322" i="5"/>
  <c r="M332" i="7" l="1"/>
  <c r="O331" i="7"/>
  <c r="O323" i="6"/>
  <c r="M324" i="6"/>
  <c r="M324" i="5"/>
  <c r="O323" i="5"/>
  <c r="O332" i="7" l="1"/>
  <c r="M333" i="7"/>
  <c r="O324" i="6"/>
  <c r="M325" i="6"/>
  <c r="M325" i="5"/>
  <c r="O324" i="5"/>
  <c r="M334" i="7" l="1"/>
  <c r="O333" i="7"/>
  <c r="O325" i="6"/>
  <c r="M326" i="6"/>
  <c r="M326" i="5"/>
  <c r="O325" i="5"/>
  <c r="O334" i="7" l="1"/>
  <c r="M335" i="7"/>
  <c r="O326" i="6"/>
  <c r="M327" i="6"/>
  <c r="M327" i="5"/>
  <c r="O326" i="5"/>
  <c r="M336" i="7" l="1"/>
  <c r="O335" i="7"/>
  <c r="M328" i="6"/>
  <c r="O327" i="6"/>
  <c r="M328" i="5"/>
  <c r="O327" i="5"/>
  <c r="O336" i="7" l="1"/>
  <c r="M337" i="7"/>
  <c r="O328" i="6"/>
  <c r="M329" i="6"/>
  <c r="M329" i="5"/>
  <c r="O328" i="5"/>
  <c r="M338" i="7" l="1"/>
  <c r="O337" i="7"/>
  <c r="M330" i="6"/>
  <c r="O329" i="6"/>
  <c r="M330" i="5"/>
  <c r="O329" i="5"/>
  <c r="O338" i="7" l="1"/>
  <c r="M339" i="7"/>
  <c r="O330" i="6"/>
  <c r="M331" i="6"/>
  <c r="M331" i="5"/>
  <c r="O330" i="5"/>
  <c r="O339" i="7" l="1"/>
  <c r="M340" i="7"/>
  <c r="M332" i="6"/>
  <c r="O331" i="6"/>
  <c r="M332" i="5"/>
  <c r="O331" i="5"/>
  <c r="O340" i="7" l="1"/>
  <c r="M341" i="7"/>
  <c r="O332" i="6"/>
  <c r="M333" i="6"/>
  <c r="M333" i="5"/>
  <c r="O332" i="5"/>
  <c r="O341" i="7" l="1"/>
  <c r="M342" i="7"/>
  <c r="O333" i="6"/>
  <c r="M334" i="6"/>
  <c r="M334" i="5"/>
  <c r="O333" i="5"/>
  <c r="O342" i="7" l="1"/>
  <c r="M343" i="7"/>
  <c r="O334" i="6"/>
  <c r="M335" i="6"/>
  <c r="M335" i="5"/>
  <c r="O334" i="5"/>
  <c r="O343" i="7" l="1"/>
  <c r="M344" i="7"/>
  <c r="M336" i="6"/>
  <c r="O335" i="6"/>
  <c r="M336" i="5"/>
  <c r="O335" i="5"/>
  <c r="O344" i="7" l="1"/>
  <c r="M345" i="7"/>
  <c r="M337" i="6"/>
  <c r="O336" i="6"/>
  <c r="O336" i="5"/>
  <c r="M337" i="5"/>
  <c r="M346" i="7" l="1"/>
  <c r="O345" i="7"/>
  <c r="M338" i="6"/>
  <c r="O337" i="6"/>
  <c r="M338" i="5"/>
  <c r="O337" i="5"/>
  <c r="O346" i="7" l="1"/>
  <c r="M347" i="7"/>
  <c r="M339" i="6"/>
  <c r="O338" i="6"/>
  <c r="O338" i="5"/>
  <c r="M339" i="5"/>
  <c r="O347" i="7" l="1"/>
  <c r="M348" i="7"/>
  <c r="M340" i="6"/>
  <c r="O339" i="6"/>
  <c r="M340" i="5"/>
  <c r="O339" i="5"/>
  <c r="O348" i="7" l="1"/>
  <c r="M349" i="7"/>
  <c r="M341" i="6"/>
  <c r="O340" i="6"/>
  <c r="O340" i="5"/>
  <c r="M341" i="5"/>
  <c r="O349" i="7" l="1"/>
  <c r="M350" i="7"/>
  <c r="M342" i="6"/>
  <c r="O341" i="6"/>
  <c r="M342" i="5"/>
  <c r="O341" i="5"/>
  <c r="O350" i="7" l="1"/>
  <c r="M351" i="7"/>
  <c r="O342" i="6"/>
  <c r="M343" i="6"/>
  <c r="O342" i="5"/>
  <c r="M343" i="5"/>
  <c r="M352" i="7" l="1"/>
  <c r="O351" i="7"/>
  <c r="M344" i="6"/>
  <c r="O343" i="6"/>
  <c r="M344" i="5"/>
  <c r="O343" i="5"/>
  <c r="O352" i="7" l="1"/>
  <c r="M353" i="7"/>
  <c r="M345" i="6"/>
  <c r="O344" i="6"/>
  <c r="O344" i="5"/>
  <c r="M345" i="5"/>
  <c r="M354" i="7" l="1"/>
  <c r="O353" i="7"/>
  <c r="M346" i="6"/>
  <c r="O345" i="6"/>
  <c r="M346" i="5"/>
  <c r="O345" i="5"/>
  <c r="O354" i="7" l="1"/>
  <c r="M355" i="7"/>
  <c r="O346" i="6"/>
  <c r="M347" i="6"/>
  <c r="O346" i="5"/>
  <c r="M347" i="5"/>
  <c r="M356" i="7" l="1"/>
  <c r="O355" i="7"/>
  <c r="M348" i="6"/>
  <c r="O347" i="6"/>
  <c r="M348" i="5"/>
  <c r="O347" i="5"/>
  <c r="O356" i="7" l="1"/>
  <c r="M357" i="7"/>
  <c r="M349" i="6"/>
  <c r="O348" i="6"/>
  <c r="M349" i="5"/>
  <c r="O348" i="5"/>
  <c r="O357" i="7" l="1"/>
  <c r="M358" i="7"/>
  <c r="M350" i="6"/>
  <c r="O349" i="6"/>
  <c r="M350" i="5"/>
  <c r="O349" i="5"/>
  <c r="O358" i="7" l="1"/>
  <c r="M359" i="7"/>
  <c r="M351" i="6"/>
  <c r="O350" i="6"/>
  <c r="M351" i="5"/>
  <c r="O350" i="5"/>
  <c r="O359" i="7" l="1"/>
  <c r="M360" i="7"/>
  <c r="M352" i="6"/>
  <c r="O351" i="6"/>
  <c r="M352" i="5"/>
  <c r="O351" i="5"/>
  <c r="O360" i="7" l="1"/>
  <c r="M361" i="7"/>
  <c r="M353" i="6"/>
  <c r="O352" i="6"/>
  <c r="M353" i="5"/>
  <c r="O352" i="5"/>
  <c r="M362" i="7" l="1"/>
  <c r="O361" i="7"/>
  <c r="M354" i="6"/>
  <c r="O353" i="6"/>
  <c r="M354" i="5"/>
  <c r="O353" i="5"/>
  <c r="O362" i="7" l="1"/>
  <c r="M363" i="7"/>
  <c r="M355" i="6"/>
  <c r="O354" i="6"/>
  <c r="M355" i="5"/>
  <c r="O354" i="5"/>
  <c r="O363" i="7" l="1"/>
  <c r="M364" i="7"/>
  <c r="M356" i="6"/>
  <c r="O355" i="6"/>
  <c r="M356" i="5"/>
  <c r="O355" i="5"/>
  <c r="O364" i="7" l="1"/>
  <c r="M365" i="7"/>
  <c r="O356" i="6"/>
  <c r="M357" i="6"/>
  <c r="M357" i="5"/>
  <c r="O356" i="5"/>
  <c r="O365" i="7" l="1"/>
  <c r="M366" i="7"/>
  <c r="M358" i="6"/>
  <c r="O357" i="6"/>
  <c r="M358" i="5"/>
  <c r="O357" i="5"/>
  <c r="O366" i="7" l="1"/>
  <c r="M367" i="7"/>
  <c r="M359" i="6"/>
  <c r="O358" i="6"/>
  <c r="M359" i="5"/>
  <c r="O358" i="5"/>
  <c r="M368" i="7" l="1"/>
  <c r="O367" i="7"/>
  <c r="M360" i="6"/>
  <c r="O359" i="6"/>
  <c r="M360" i="5"/>
  <c r="O359" i="5"/>
  <c r="O368" i="7" l="1"/>
  <c r="M369" i="7"/>
  <c r="M361" i="6"/>
  <c r="O360" i="6"/>
  <c r="M361" i="5"/>
  <c r="O360" i="5"/>
  <c r="M370" i="7" l="1"/>
  <c r="O369" i="7"/>
  <c r="M362" i="6"/>
  <c r="O361" i="6"/>
  <c r="M362" i="5"/>
  <c r="O361" i="5"/>
  <c r="O370" i="7" l="1"/>
  <c r="M371" i="7"/>
  <c r="M363" i="6"/>
  <c r="O362" i="6"/>
  <c r="M363" i="5"/>
  <c r="O362" i="5"/>
  <c r="M372" i="7" l="1"/>
  <c r="O371" i="7"/>
  <c r="M364" i="6"/>
  <c r="O363" i="6"/>
  <c r="M364" i="5"/>
  <c r="O363" i="5"/>
  <c r="O372" i="7" l="1"/>
  <c r="M373" i="7"/>
  <c r="O364" i="6"/>
  <c r="M365" i="6"/>
  <c r="M365" i="5"/>
  <c r="O364" i="5"/>
  <c r="M374" i="7" l="1"/>
  <c r="O373" i="7"/>
  <c r="M366" i="6"/>
  <c r="O365" i="6"/>
  <c r="M366" i="5"/>
  <c r="O365" i="5"/>
  <c r="O374" i="7" l="1"/>
  <c r="M375" i="7"/>
  <c r="M367" i="6"/>
  <c r="O366" i="6"/>
  <c r="M367" i="5"/>
  <c r="O366" i="5"/>
  <c r="M376" i="7" l="1"/>
  <c r="O375" i="7"/>
  <c r="M368" i="6"/>
  <c r="O367" i="6"/>
  <c r="M368" i="5"/>
  <c r="O367" i="5"/>
  <c r="O376" i="7" l="1"/>
  <c r="M377" i="7"/>
  <c r="M369" i="6"/>
  <c r="O368" i="6"/>
  <c r="M369" i="5"/>
  <c r="O368" i="5"/>
  <c r="M378" i="7" l="1"/>
  <c r="O377" i="7"/>
  <c r="M370" i="6"/>
  <c r="O369" i="6"/>
  <c r="M370" i="5"/>
  <c r="O369" i="5"/>
  <c r="O378" i="7" l="1"/>
  <c r="M379" i="7"/>
  <c r="M371" i="6"/>
  <c r="O370" i="6"/>
  <c r="M371" i="5"/>
  <c r="O370" i="5"/>
  <c r="M380" i="7" l="1"/>
  <c r="O379" i="7"/>
  <c r="M372" i="6"/>
  <c r="O371" i="6"/>
  <c r="M372" i="5"/>
  <c r="O371" i="5"/>
  <c r="O380" i="7" l="1"/>
  <c r="M381" i="7"/>
  <c r="O372" i="6"/>
  <c r="M373" i="6"/>
  <c r="M373" i="5"/>
  <c r="O372" i="5"/>
  <c r="M382" i="7" l="1"/>
  <c r="O381" i="7"/>
  <c r="M374" i="6"/>
  <c r="O373" i="6"/>
  <c r="M374" i="5"/>
  <c r="O373" i="5"/>
  <c r="O382" i="7" l="1"/>
  <c r="M383" i="7"/>
  <c r="M375" i="6"/>
  <c r="O374" i="6"/>
  <c r="M375" i="5"/>
  <c r="O374" i="5"/>
  <c r="M384" i="7" l="1"/>
  <c r="O383" i="7"/>
  <c r="M376" i="6"/>
  <c r="O375" i="6"/>
  <c r="M376" i="5"/>
  <c r="O375" i="5"/>
  <c r="O384" i="7" l="1"/>
  <c r="M385" i="7"/>
  <c r="M377" i="6"/>
  <c r="O376" i="6"/>
  <c r="M377" i="5"/>
  <c r="O376" i="5"/>
  <c r="M386" i="7" l="1"/>
  <c r="O385" i="7"/>
  <c r="M378" i="6"/>
  <c r="O377" i="6"/>
  <c r="M378" i="5"/>
  <c r="O377" i="5"/>
  <c r="O386" i="7" l="1"/>
  <c r="M387" i="7"/>
  <c r="M379" i="6"/>
  <c r="O378" i="6"/>
  <c r="M379" i="5"/>
  <c r="O378" i="5"/>
  <c r="M388" i="7" l="1"/>
  <c r="O387" i="7"/>
  <c r="M380" i="6"/>
  <c r="O379" i="6"/>
  <c r="M380" i="5"/>
  <c r="O379" i="5"/>
  <c r="O388" i="7" l="1"/>
  <c r="M389" i="7"/>
  <c r="O380" i="6"/>
  <c r="M381" i="6"/>
  <c r="M381" i="5"/>
  <c r="O380" i="5"/>
  <c r="M390" i="7" l="1"/>
  <c r="O389" i="7"/>
  <c r="M382" i="6"/>
  <c r="O381" i="6"/>
  <c r="M382" i="5"/>
  <c r="O381" i="5"/>
  <c r="O390" i="7" l="1"/>
  <c r="M391" i="7"/>
  <c r="M383" i="6"/>
  <c r="O382" i="6"/>
  <c r="M383" i="5"/>
  <c r="O382" i="5"/>
  <c r="M392" i="7" l="1"/>
  <c r="O391" i="7"/>
  <c r="M384" i="6"/>
  <c r="O383" i="6"/>
  <c r="M384" i="5"/>
  <c r="O383" i="5"/>
  <c r="O392" i="7" l="1"/>
  <c r="M393" i="7"/>
  <c r="M385" i="6"/>
  <c r="O384" i="6"/>
  <c r="M385" i="5"/>
  <c r="O384" i="5"/>
  <c r="M394" i="7" l="1"/>
  <c r="O393" i="7"/>
  <c r="M386" i="6"/>
  <c r="O385" i="6"/>
  <c r="M386" i="5"/>
  <c r="O385" i="5"/>
  <c r="O394" i="7" l="1"/>
  <c r="M395" i="7"/>
  <c r="M387" i="6"/>
  <c r="O386" i="6"/>
  <c r="M387" i="5"/>
  <c r="O386" i="5"/>
  <c r="M396" i="7" l="1"/>
  <c r="O395" i="7"/>
  <c r="M388" i="6"/>
  <c r="O387" i="6"/>
  <c r="M388" i="5"/>
  <c r="O387" i="5"/>
  <c r="O396" i="7" l="1"/>
  <c r="M397" i="7"/>
  <c r="O388" i="6"/>
  <c r="M389" i="6"/>
  <c r="M389" i="5"/>
  <c r="O388" i="5"/>
  <c r="M398" i="7" l="1"/>
  <c r="O397" i="7"/>
  <c r="M390" i="6"/>
  <c r="O389" i="6"/>
  <c r="M390" i="5"/>
  <c r="O389" i="5"/>
  <c r="O398" i="7" l="1"/>
  <c r="M399" i="7"/>
  <c r="M391" i="6"/>
  <c r="O390" i="6"/>
  <c r="M391" i="5"/>
  <c r="O390" i="5"/>
  <c r="M400" i="7" l="1"/>
  <c r="O399" i="7"/>
  <c r="M392" i="6"/>
  <c r="O391" i="6"/>
  <c r="M392" i="5"/>
  <c r="O391" i="5"/>
  <c r="O400" i="7" l="1"/>
  <c r="M401" i="7"/>
  <c r="O392" i="6"/>
  <c r="M393" i="6"/>
  <c r="M393" i="5"/>
  <c r="O392" i="5"/>
  <c r="M402" i="7" l="1"/>
  <c r="O401" i="7"/>
  <c r="M394" i="6"/>
  <c r="O393" i="6"/>
  <c r="M394" i="5"/>
  <c r="O393" i="5"/>
  <c r="O402" i="7" l="1"/>
  <c r="M403" i="7"/>
  <c r="O394" i="6"/>
  <c r="M395" i="6"/>
  <c r="M395" i="5"/>
  <c r="O394" i="5"/>
  <c r="M404" i="7" l="1"/>
  <c r="O403" i="7"/>
  <c r="M396" i="6"/>
  <c r="O395" i="6"/>
  <c r="M396" i="5"/>
  <c r="O395" i="5"/>
  <c r="O404" i="7" l="1"/>
  <c r="M405" i="7"/>
  <c r="O396" i="6"/>
  <c r="M397" i="6"/>
  <c r="M397" i="5"/>
  <c r="O396" i="5"/>
  <c r="M406" i="7" l="1"/>
  <c r="O405" i="7"/>
  <c r="M398" i="6"/>
  <c r="O397" i="6"/>
  <c r="M398" i="5"/>
  <c r="O397" i="5"/>
  <c r="O406" i="7" l="1"/>
  <c r="M407" i="7"/>
  <c r="O398" i="6"/>
  <c r="M399" i="6"/>
  <c r="M399" i="5"/>
  <c r="O398" i="5"/>
  <c r="M408" i="7" l="1"/>
  <c r="O407" i="7"/>
  <c r="M400" i="6"/>
  <c r="O399" i="6"/>
  <c r="M400" i="5"/>
  <c r="O399" i="5"/>
  <c r="O408" i="7" l="1"/>
  <c r="M409" i="7"/>
  <c r="O400" i="6"/>
  <c r="M401" i="6"/>
  <c r="M401" i="5"/>
  <c r="O400" i="5"/>
  <c r="M410" i="7" l="1"/>
  <c r="O409" i="7"/>
  <c r="M402" i="6"/>
  <c r="O401" i="6"/>
  <c r="M402" i="5"/>
  <c r="O401" i="5"/>
  <c r="O410" i="7" l="1"/>
  <c r="M411" i="7"/>
  <c r="O402" i="6"/>
  <c r="M403" i="6"/>
  <c r="M403" i="5"/>
  <c r="O402" i="5"/>
  <c r="M412" i="7" l="1"/>
  <c r="O411" i="7"/>
  <c r="M404" i="6"/>
  <c r="O403" i="6"/>
  <c r="M404" i="5"/>
  <c r="O403" i="5"/>
  <c r="O412" i="7" l="1"/>
  <c r="M413" i="7"/>
  <c r="O404" i="6"/>
  <c r="M405" i="6"/>
  <c r="M405" i="5"/>
  <c r="O404" i="5"/>
  <c r="M414" i="7" l="1"/>
  <c r="O413" i="7"/>
  <c r="M406" i="6"/>
  <c r="O405" i="6"/>
  <c r="M406" i="5"/>
  <c r="O405" i="5"/>
  <c r="O414" i="7" l="1"/>
  <c r="M415" i="7"/>
  <c r="O406" i="6"/>
  <c r="M407" i="6"/>
  <c r="M407" i="5"/>
  <c r="O406" i="5"/>
  <c r="M416" i="7" l="1"/>
  <c r="O415" i="7"/>
  <c r="M408" i="6"/>
  <c r="O407" i="6"/>
  <c r="M408" i="5"/>
  <c r="O407" i="5"/>
  <c r="O416" i="7" l="1"/>
  <c r="M417" i="7"/>
  <c r="O408" i="6"/>
  <c r="M409" i="6"/>
  <c r="M409" i="5"/>
  <c r="O408" i="5"/>
  <c r="M418" i="7" l="1"/>
  <c r="O417" i="7"/>
  <c r="M410" i="6"/>
  <c r="O409" i="6"/>
  <c r="M410" i="5"/>
  <c r="O409" i="5"/>
  <c r="O418" i="7" l="1"/>
  <c r="M419" i="7"/>
  <c r="O410" i="6"/>
  <c r="M411" i="6"/>
  <c r="M411" i="5"/>
  <c r="O410" i="5"/>
  <c r="M420" i="7" l="1"/>
  <c r="O419" i="7"/>
  <c r="M412" i="6"/>
  <c r="O411" i="6"/>
  <c r="M412" i="5"/>
  <c r="O411" i="5"/>
  <c r="O420" i="7" l="1"/>
  <c r="M421" i="7"/>
  <c r="O412" i="6"/>
  <c r="M413" i="6"/>
  <c r="M413" i="5"/>
  <c r="O412" i="5"/>
  <c r="M422" i="7" l="1"/>
  <c r="O421" i="7"/>
  <c r="M414" i="6"/>
  <c r="O413" i="6"/>
  <c r="M414" i="5"/>
  <c r="O413" i="5"/>
  <c r="O422" i="7" l="1"/>
  <c r="M423" i="7"/>
  <c r="O414" i="6"/>
  <c r="M415" i="6"/>
  <c r="M415" i="5"/>
  <c r="O414" i="5"/>
  <c r="M424" i="7" l="1"/>
  <c r="O423" i="7"/>
  <c r="M416" i="6"/>
  <c r="O415" i="6"/>
  <c r="M416" i="5"/>
  <c r="O415" i="5"/>
  <c r="O424" i="7" l="1"/>
  <c r="M425" i="7"/>
  <c r="O416" i="6"/>
  <c r="M417" i="6"/>
  <c r="M417" i="5"/>
  <c r="O416" i="5"/>
  <c r="M426" i="7" l="1"/>
  <c r="O425" i="7"/>
  <c r="M418" i="6"/>
  <c r="O417" i="6"/>
  <c r="M418" i="5"/>
  <c r="O417" i="5"/>
  <c r="O426" i="7" l="1"/>
  <c r="M427" i="7"/>
  <c r="O418" i="6"/>
  <c r="M419" i="6"/>
  <c r="M419" i="5"/>
  <c r="O418" i="5"/>
  <c r="M428" i="7" l="1"/>
  <c r="O427" i="7"/>
  <c r="M420" i="6"/>
  <c r="O419" i="6"/>
  <c r="M420" i="5"/>
  <c r="O419" i="5"/>
  <c r="O428" i="7" l="1"/>
  <c r="M429" i="7"/>
  <c r="O420" i="6"/>
  <c r="M421" i="6"/>
  <c r="M421" i="5"/>
  <c r="O420" i="5"/>
  <c r="M430" i="7" l="1"/>
  <c r="O429" i="7"/>
  <c r="M422" i="6"/>
  <c r="O421" i="6"/>
  <c r="M422" i="5"/>
  <c r="O421" i="5"/>
  <c r="O430" i="7" l="1"/>
  <c r="M431" i="7"/>
  <c r="O422" i="6"/>
  <c r="M423" i="6"/>
  <c r="M423" i="5"/>
  <c r="O422" i="5"/>
  <c r="M432" i="7" l="1"/>
  <c r="O431" i="7"/>
  <c r="M424" i="6"/>
  <c r="O423" i="6"/>
  <c r="M424" i="5"/>
  <c r="O423" i="5"/>
  <c r="O432" i="7" l="1"/>
  <c r="M433" i="7"/>
  <c r="O424" i="6"/>
  <c r="M425" i="6"/>
  <c r="M425" i="5"/>
  <c r="O424" i="5"/>
  <c r="M434" i="7" l="1"/>
  <c r="O433" i="7"/>
  <c r="M426" i="6"/>
  <c r="O425" i="6"/>
  <c r="M426" i="5"/>
  <c r="O425" i="5"/>
  <c r="O434" i="7" l="1"/>
  <c r="M435" i="7"/>
  <c r="O426" i="6"/>
  <c r="M427" i="6"/>
  <c r="M427" i="5"/>
  <c r="O426" i="5"/>
  <c r="M436" i="7" l="1"/>
  <c r="O435" i="7"/>
  <c r="M428" i="6"/>
  <c r="O427" i="6"/>
  <c r="M428" i="5"/>
  <c r="O427" i="5"/>
  <c r="O436" i="7" l="1"/>
  <c r="M437" i="7"/>
  <c r="O428" i="6"/>
  <c r="M429" i="6"/>
  <c r="M429" i="5"/>
  <c r="O428" i="5"/>
  <c r="M438" i="7" l="1"/>
  <c r="O437" i="7"/>
  <c r="M430" i="6"/>
  <c r="O429" i="6"/>
  <c r="M430" i="5"/>
  <c r="O429" i="5"/>
  <c r="O438" i="7" l="1"/>
  <c r="M439" i="7"/>
  <c r="O430" i="6"/>
  <c r="M431" i="6"/>
  <c r="M431" i="5"/>
  <c r="O430" i="5"/>
  <c r="M440" i="7" l="1"/>
  <c r="O439" i="7"/>
  <c r="M432" i="6"/>
  <c r="O431" i="6"/>
  <c r="M432" i="5"/>
  <c r="O431" i="5"/>
  <c r="O440" i="7" l="1"/>
  <c r="M441" i="7"/>
  <c r="O432" i="6"/>
  <c r="M433" i="6"/>
  <c r="M433" i="5"/>
  <c r="O432" i="5"/>
  <c r="M442" i="7" l="1"/>
  <c r="O441" i="7"/>
  <c r="M434" i="6"/>
  <c r="O433" i="6"/>
  <c r="M434" i="5"/>
  <c r="O433" i="5"/>
  <c r="O442" i="7" l="1"/>
  <c r="M443" i="7"/>
  <c r="O434" i="6"/>
  <c r="M435" i="6"/>
  <c r="M435" i="5"/>
  <c r="O434" i="5"/>
  <c r="M444" i="7" l="1"/>
  <c r="O443" i="7"/>
  <c r="M436" i="6"/>
  <c r="O435" i="6"/>
  <c r="M436" i="5"/>
  <c r="O435" i="5"/>
  <c r="O444" i="7" l="1"/>
  <c r="M445" i="7"/>
  <c r="O436" i="6"/>
  <c r="M437" i="6"/>
  <c r="M437" i="5"/>
  <c r="O436" i="5"/>
  <c r="M446" i="7" l="1"/>
  <c r="O445" i="7"/>
  <c r="M438" i="6"/>
  <c r="O437" i="6"/>
  <c r="M438" i="5"/>
  <c r="O437" i="5"/>
  <c r="O446" i="7" l="1"/>
  <c r="M447" i="7"/>
  <c r="O438" i="6"/>
  <c r="M439" i="6"/>
  <c r="M439" i="5"/>
  <c r="O438" i="5"/>
  <c r="M448" i="7" l="1"/>
  <c r="O447" i="7"/>
  <c r="M440" i="6"/>
  <c r="O439" i="6"/>
  <c r="M440" i="5"/>
  <c r="O439" i="5"/>
  <c r="O448" i="7" l="1"/>
  <c r="M449" i="7"/>
  <c r="O440" i="6"/>
  <c r="M441" i="6"/>
  <c r="M441" i="5"/>
  <c r="O440" i="5"/>
  <c r="M450" i="7" l="1"/>
  <c r="O449" i="7"/>
  <c r="M442" i="6"/>
  <c r="O441" i="6"/>
  <c r="M442" i="5"/>
  <c r="O441" i="5"/>
  <c r="O450" i="7" l="1"/>
  <c r="M451" i="7"/>
  <c r="O442" i="6"/>
  <c r="M443" i="6"/>
  <c r="M443" i="5"/>
  <c r="O442" i="5"/>
  <c r="M452" i="7" l="1"/>
  <c r="O451" i="7"/>
  <c r="M444" i="6"/>
  <c r="O443" i="6"/>
  <c r="M444" i="5"/>
  <c r="O443" i="5"/>
  <c r="O452" i="7" l="1"/>
  <c r="M453" i="7"/>
  <c r="O444" i="6"/>
  <c r="M445" i="6"/>
  <c r="M445" i="5"/>
  <c r="O444" i="5"/>
  <c r="M454" i="7" l="1"/>
  <c r="O453" i="7"/>
  <c r="M446" i="6"/>
  <c r="O445" i="6"/>
  <c r="M446" i="5"/>
  <c r="O445" i="5"/>
  <c r="O454" i="7" l="1"/>
  <c r="M455" i="7"/>
  <c r="O446" i="6"/>
  <c r="M447" i="6"/>
  <c r="M447" i="5"/>
  <c r="O446" i="5"/>
  <c r="M456" i="7" l="1"/>
  <c r="O455" i="7"/>
  <c r="M448" i="6"/>
  <c r="O447" i="6"/>
  <c r="M448" i="5"/>
  <c r="O447" i="5"/>
  <c r="O456" i="7" l="1"/>
  <c r="M457" i="7"/>
  <c r="O448" i="6"/>
  <c r="M449" i="6"/>
  <c r="M449" i="5"/>
  <c r="O448" i="5"/>
  <c r="M458" i="7" l="1"/>
  <c r="O457" i="7"/>
  <c r="M450" i="6"/>
  <c r="O449" i="6"/>
  <c r="M450" i="5"/>
  <c r="O449" i="5"/>
  <c r="O458" i="7" l="1"/>
  <c r="M459" i="7"/>
  <c r="O450" i="6"/>
  <c r="M451" i="6"/>
  <c r="M451" i="5"/>
  <c r="O450" i="5"/>
  <c r="M460" i="7" l="1"/>
  <c r="O459" i="7"/>
  <c r="M452" i="6"/>
  <c r="O451" i="6"/>
  <c r="M452" i="5"/>
  <c r="O451" i="5"/>
  <c r="O460" i="7" l="1"/>
  <c r="M461" i="7"/>
  <c r="O452" i="6"/>
  <c r="M453" i="6"/>
  <c r="M453" i="5"/>
  <c r="O452" i="5"/>
  <c r="M462" i="7" l="1"/>
  <c r="O461" i="7"/>
  <c r="M454" i="6"/>
  <c r="O453" i="6"/>
  <c r="M454" i="5"/>
  <c r="O453" i="5"/>
  <c r="O462" i="7" l="1"/>
  <c r="M463" i="7"/>
  <c r="O454" i="6"/>
  <c r="M455" i="6"/>
  <c r="M455" i="5"/>
  <c r="O454" i="5"/>
  <c r="M464" i="7" l="1"/>
  <c r="O463" i="7"/>
  <c r="M456" i="6"/>
  <c r="O455" i="6"/>
  <c r="M456" i="5"/>
  <c r="O455" i="5"/>
  <c r="O464" i="7" l="1"/>
  <c r="M465" i="7"/>
  <c r="O456" i="6"/>
  <c r="M457" i="6"/>
  <c r="M457" i="5"/>
  <c r="O456" i="5"/>
  <c r="M466" i="7" l="1"/>
  <c r="O465" i="7"/>
  <c r="M458" i="6"/>
  <c r="O457" i="6"/>
  <c r="M458" i="5"/>
  <c r="O457" i="5"/>
  <c r="O466" i="7" l="1"/>
  <c r="M467" i="7"/>
  <c r="O458" i="6"/>
  <c r="M459" i="6"/>
  <c r="M459" i="5"/>
  <c r="O458" i="5"/>
  <c r="M468" i="7" l="1"/>
  <c r="O467" i="7"/>
  <c r="M460" i="6"/>
  <c r="O459" i="6"/>
  <c r="M460" i="5"/>
  <c r="O459" i="5"/>
  <c r="O468" i="7" l="1"/>
  <c r="M469" i="7"/>
  <c r="O460" i="6"/>
  <c r="M461" i="6"/>
  <c r="M461" i="5"/>
  <c r="O460" i="5"/>
  <c r="M470" i="7" l="1"/>
  <c r="O469" i="7"/>
  <c r="M462" i="6"/>
  <c r="O461" i="6"/>
  <c r="M462" i="5"/>
  <c r="O461" i="5"/>
  <c r="O470" i="7" l="1"/>
  <c r="M471" i="7"/>
  <c r="O462" i="6"/>
  <c r="M463" i="6"/>
  <c r="M463" i="5"/>
  <c r="O462" i="5"/>
  <c r="M472" i="7" l="1"/>
  <c r="O471" i="7"/>
  <c r="M464" i="6"/>
  <c r="O463" i="6"/>
  <c r="M464" i="5"/>
  <c r="O463" i="5"/>
  <c r="O472" i="7" l="1"/>
  <c r="M473" i="7"/>
  <c r="O464" i="6"/>
  <c r="M465" i="6"/>
  <c r="M465" i="5"/>
  <c r="O464" i="5"/>
  <c r="M474" i="7" l="1"/>
  <c r="O473" i="7"/>
  <c r="M466" i="6"/>
  <c r="O465" i="6"/>
  <c r="M466" i="5"/>
  <c r="O465" i="5"/>
  <c r="O474" i="7" l="1"/>
  <c r="M475" i="7"/>
  <c r="O466" i="6"/>
  <c r="M467" i="6"/>
  <c r="M467" i="5"/>
  <c r="O466" i="5"/>
  <c r="M476" i="7" l="1"/>
  <c r="O475" i="7"/>
  <c r="M468" i="6"/>
  <c r="O467" i="6"/>
  <c r="M468" i="5"/>
  <c r="O467" i="5"/>
  <c r="O476" i="7" l="1"/>
  <c r="M477" i="7"/>
  <c r="O468" i="6"/>
  <c r="M469" i="6"/>
  <c r="M469" i="5"/>
  <c r="O468" i="5"/>
  <c r="M478" i="7" l="1"/>
  <c r="O477" i="7"/>
  <c r="M470" i="6"/>
  <c r="O469" i="6"/>
  <c r="M470" i="5"/>
  <c r="O469" i="5"/>
  <c r="O478" i="7" l="1"/>
  <c r="M479" i="7"/>
  <c r="O470" i="6"/>
  <c r="M471" i="6"/>
  <c r="M471" i="5"/>
  <c r="O470" i="5"/>
  <c r="M480" i="7" l="1"/>
  <c r="O479" i="7"/>
  <c r="M472" i="6"/>
  <c r="O471" i="6"/>
  <c r="M472" i="5"/>
  <c r="O471" i="5"/>
  <c r="O480" i="7" l="1"/>
  <c r="M481" i="7"/>
  <c r="O472" i="6"/>
  <c r="M473" i="6"/>
  <c r="M473" i="5"/>
  <c r="O472" i="5"/>
  <c r="M482" i="7" l="1"/>
  <c r="O481" i="7"/>
  <c r="M474" i="6"/>
  <c r="O473" i="6"/>
  <c r="M474" i="5"/>
  <c r="O473" i="5"/>
  <c r="O482" i="7" l="1"/>
  <c r="M483" i="7"/>
  <c r="O474" i="6"/>
  <c r="M475" i="6"/>
  <c r="M475" i="5"/>
  <c r="O474" i="5"/>
  <c r="M484" i="7" l="1"/>
  <c r="O483" i="7"/>
  <c r="M476" i="6"/>
  <c r="O475" i="6"/>
  <c r="M476" i="5"/>
  <c r="O475" i="5"/>
  <c r="O484" i="7" l="1"/>
  <c r="M485" i="7"/>
  <c r="O476" i="6"/>
  <c r="M477" i="6"/>
  <c r="M477" i="5"/>
  <c r="O476" i="5"/>
  <c r="M486" i="7" l="1"/>
  <c r="O485" i="7"/>
  <c r="M478" i="6"/>
  <c r="O477" i="6"/>
  <c r="M478" i="5"/>
  <c r="O477" i="5"/>
  <c r="O486" i="7" l="1"/>
  <c r="M487" i="7"/>
  <c r="O478" i="6"/>
  <c r="M479" i="6"/>
  <c r="M479" i="5"/>
  <c r="O478" i="5"/>
  <c r="M488" i="7" l="1"/>
  <c r="O487" i="7"/>
  <c r="M480" i="6"/>
  <c r="O479" i="6"/>
  <c r="M480" i="5"/>
  <c r="O479" i="5"/>
  <c r="O488" i="7" l="1"/>
  <c r="M489" i="7"/>
  <c r="O480" i="6"/>
  <c r="M481" i="6"/>
  <c r="M481" i="5"/>
  <c r="O480" i="5"/>
  <c r="M490" i="7" l="1"/>
  <c r="O489" i="7"/>
  <c r="M482" i="6"/>
  <c r="O481" i="6"/>
  <c r="M482" i="5"/>
  <c r="O481" i="5"/>
  <c r="O490" i="7" l="1"/>
  <c r="M491" i="7"/>
  <c r="O482" i="6"/>
  <c r="M483" i="6"/>
  <c r="M483" i="5"/>
  <c r="O482" i="5"/>
  <c r="M492" i="7" l="1"/>
  <c r="O491" i="7"/>
  <c r="M484" i="6"/>
  <c r="O483" i="6"/>
  <c r="M484" i="5"/>
  <c r="O483" i="5"/>
  <c r="O492" i="7" l="1"/>
  <c r="M493" i="7"/>
  <c r="O484" i="6"/>
  <c r="M485" i="6"/>
  <c r="M485" i="5"/>
  <c r="O484" i="5"/>
  <c r="M494" i="7" l="1"/>
  <c r="O493" i="7"/>
  <c r="M486" i="6"/>
  <c r="O485" i="6"/>
  <c r="M486" i="5"/>
  <c r="O485" i="5"/>
  <c r="O494" i="7" l="1"/>
  <c r="M495" i="7"/>
  <c r="O486" i="6"/>
  <c r="M487" i="6"/>
  <c r="M487" i="5"/>
  <c r="O486" i="5"/>
  <c r="M496" i="7" l="1"/>
  <c r="O495" i="7"/>
  <c r="M488" i="6"/>
  <c r="O487" i="6"/>
  <c r="M488" i="5"/>
  <c r="O487" i="5"/>
  <c r="O496" i="7" l="1"/>
  <c r="M497" i="7"/>
  <c r="O488" i="6"/>
  <c r="M489" i="6"/>
  <c r="M489" i="5"/>
  <c r="O488" i="5"/>
  <c r="M498" i="7" l="1"/>
  <c r="O497" i="7"/>
  <c r="M490" i="6"/>
  <c r="O489" i="6"/>
  <c r="M490" i="5"/>
  <c r="O489" i="5"/>
  <c r="O498" i="7" l="1"/>
  <c r="M499" i="7"/>
  <c r="O490" i="6"/>
  <c r="M491" i="6"/>
  <c r="M491" i="5"/>
  <c r="O490" i="5"/>
  <c r="M500" i="7" l="1"/>
  <c r="O499" i="7"/>
  <c r="M492" i="6"/>
  <c r="O491" i="6"/>
  <c r="M492" i="5"/>
  <c r="O491" i="5"/>
  <c r="O500" i="7" l="1"/>
  <c r="M501" i="7"/>
  <c r="O492" i="6"/>
  <c r="M493" i="6"/>
  <c r="M493" i="5"/>
  <c r="O492" i="5"/>
  <c r="M502" i="7" l="1"/>
  <c r="O501" i="7"/>
  <c r="M494" i="6"/>
  <c r="O493" i="6"/>
  <c r="M494" i="5"/>
  <c r="O493" i="5"/>
  <c r="O502" i="7" l="1"/>
  <c r="M503" i="7"/>
  <c r="O494" i="6"/>
  <c r="M495" i="6"/>
  <c r="M495" i="5"/>
  <c r="O494" i="5"/>
  <c r="M504" i="7" l="1"/>
  <c r="O504" i="7" s="1"/>
  <c r="O505" i="7" s="1"/>
  <c r="O503" i="7"/>
  <c r="M496" i="6"/>
  <c r="O495" i="6"/>
  <c r="M496" i="5"/>
  <c r="O495" i="5"/>
  <c r="O496" i="6" l="1"/>
  <c r="M497" i="6"/>
  <c r="M497" i="5"/>
  <c r="O496" i="5"/>
  <c r="M498" i="6" l="1"/>
  <c r="O497" i="6"/>
  <c r="M498" i="5"/>
  <c r="O497" i="5"/>
  <c r="O498" i="6" l="1"/>
  <c r="M499" i="6"/>
  <c r="M499" i="5"/>
  <c r="O498" i="5"/>
  <c r="M500" i="6" l="1"/>
  <c r="O499" i="6"/>
  <c r="M500" i="5"/>
  <c r="O499" i="5"/>
  <c r="O500" i="6" l="1"/>
  <c r="M501" i="6"/>
  <c r="M501" i="5"/>
  <c r="O500" i="5"/>
  <c r="M502" i="6" l="1"/>
  <c r="O501" i="6"/>
  <c r="M502" i="5"/>
  <c r="O501" i="5"/>
  <c r="O502" i="6" l="1"/>
  <c r="M503" i="6"/>
  <c r="M503" i="5"/>
  <c r="O502" i="5"/>
  <c r="M504" i="6" l="1"/>
  <c r="O504" i="6" s="1"/>
  <c r="O505" i="6" s="1"/>
  <c r="O503" i="6"/>
  <c r="M504" i="5"/>
  <c r="O504" i="5" s="1"/>
  <c r="O505" i="5" s="1"/>
  <c r="O503" i="5"/>
</calcChain>
</file>

<file path=xl/comments1.xml><?xml version="1.0" encoding="utf-8"?>
<comments xmlns="http://schemas.openxmlformats.org/spreadsheetml/2006/main">
  <authors>
    <author>USER-6</author>
  </authors>
  <commentList>
    <comment ref="G9" authorId="0" shapeId="0">
      <text>
        <r>
          <rPr>
            <b/>
            <sz val="9"/>
            <color indexed="81"/>
            <rFont val="Tahoma"/>
            <charset val="1"/>
          </rPr>
          <t>USER-6:</t>
        </r>
        <r>
          <rPr>
            <sz val="9"/>
            <color indexed="81"/>
            <rFont val="Tahoma"/>
            <charset val="1"/>
          </rPr>
          <t xml:space="preserve">
si no hay moda se coje el valor mas grande de la frecuencia</t>
        </r>
      </text>
    </comment>
  </commentList>
</comments>
</file>

<file path=xl/comments2.xml><?xml version="1.0" encoding="utf-8"?>
<comments xmlns="http://schemas.openxmlformats.org/spreadsheetml/2006/main">
  <authors>
    <author>USER-6</author>
  </authors>
  <commentList>
    <comment ref="G9" authorId="0" shapeId="0">
      <text>
        <r>
          <rPr>
            <b/>
            <sz val="9"/>
            <color indexed="81"/>
            <rFont val="Tahoma"/>
            <charset val="1"/>
          </rPr>
          <t>USER-6:</t>
        </r>
        <r>
          <rPr>
            <sz val="9"/>
            <color indexed="81"/>
            <rFont val="Tahoma"/>
            <charset val="1"/>
          </rPr>
          <t xml:space="preserve">
si no hay moda se coje el valor mas grande de la frecuencia</t>
        </r>
      </text>
    </comment>
  </commentList>
</comments>
</file>

<file path=xl/sharedStrings.xml><?xml version="1.0" encoding="utf-8"?>
<sst xmlns="http://schemas.openxmlformats.org/spreadsheetml/2006/main" count="214" uniqueCount="69">
  <si>
    <t>parametros</t>
  </si>
  <si>
    <t>a=</t>
  </si>
  <si>
    <t>b=</t>
  </si>
  <si>
    <t>x</t>
  </si>
  <si>
    <t>fx</t>
  </si>
  <si>
    <t>acumulado</t>
  </si>
  <si>
    <t>a</t>
  </si>
  <si>
    <t>b</t>
  </si>
  <si>
    <t>c</t>
  </si>
  <si>
    <t>minimo</t>
  </si>
  <si>
    <t>maximo</t>
  </si>
  <si>
    <t>moda</t>
  </si>
  <si>
    <t>ok</t>
  </si>
  <si>
    <t>formula</t>
  </si>
  <si>
    <t>acumulada</t>
  </si>
  <si>
    <t>parametro</t>
  </si>
  <si>
    <t>lambda</t>
  </si>
  <si>
    <t>FX</t>
  </si>
  <si>
    <t>DATOS</t>
  </si>
  <si>
    <t>Columna1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</si>
  <si>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</si>
  <si>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</si>
  <si>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</si>
  <si>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</si>
  <si>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</si>
  <si>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</si>
  <si>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</si>
  <si>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</si>
  <si>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</si>
  <si>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</si>
  <si>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</si>
  <si>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</si>
  <si>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</si>
  <si>
    <t>Clase</t>
  </si>
  <si>
    <t>y mayor...</t>
  </si>
  <si>
    <t>Frecuencia</t>
  </si>
  <si>
    <t>prueba de ajuste</t>
  </si>
  <si>
    <t>po</t>
  </si>
  <si>
    <t>poa</t>
  </si>
  <si>
    <t>prob obs</t>
  </si>
  <si>
    <t>probObsAcum</t>
  </si>
  <si>
    <t>fo</t>
  </si>
  <si>
    <t>frecObs</t>
  </si>
  <si>
    <t>pea</t>
  </si>
  <si>
    <t>ProbEspAcum</t>
  </si>
  <si>
    <t>UNIFORME</t>
  </si>
  <si>
    <t>(a)</t>
  </si>
  <si>
    <t>(b)</t>
  </si>
  <si>
    <t>distribucion uniforme para calcular pea poa</t>
  </si>
  <si>
    <t>generada</t>
  </si>
  <si>
    <t>abs(poa-pea)</t>
  </si>
  <si>
    <t>Dato critico</t>
  </si>
  <si>
    <t>Valor calculado</t>
  </si>
  <si>
    <t>si valor calculado es &gt; que critico rechazo ipotesis</t>
  </si>
  <si>
    <t>lambda=1/media o n/suma total</t>
  </si>
  <si>
    <t>exponencial</t>
  </si>
  <si>
    <t>si valor calculado es &gt; que critico rechazo hipotesis</t>
  </si>
  <si>
    <t>(c )</t>
  </si>
  <si>
    <t xml:space="preserve">(r ) </t>
  </si>
  <si>
    <t>generador</t>
  </si>
  <si>
    <t>x=a+(b-a)*r</t>
  </si>
  <si>
    <t>aleatorio</t>
  </si>
  <si>
    <t>macro</t>
  </si>
  <si>
    <t>x=-1/lambda*ln(1-r)</t>
  </si>
  <si>
    <t>(r )</t>
  </si>
  <si>
    <t>x=a+raiz(r*(b-a)(c-a))</t>
  </si>
  <si>
    <t>r&lt;=(c-a)/(b-a)</t>
  </si>
  <si>
    <t>x=b-raiz((b-a)(b-c)(1-r))</t>
  </si>
  <si>
    <t>r&gt;(c-a)/(b-a)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</si>
</sst>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0" fillId="0" borderId="0" xfId="0" applyFill="1" applyBorder="1" applyAlignment="1"/>
    <xf numFmtId="0" fontId="0" fillId="0" borderId="1" xfId="0" applyFill="1" applyBorder="1" applyAlignment="1"/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Continuous"/>
    </xf>
    <xf numFmtId="0" fontId="0" fillId="5" borderId="0" xfId="0" applyFill="1"/>
    <xf numFmtId="0" fontId="0" fillId="0" borderId="0" xfId="0" applyAlignment="1">
      <alignment horizontal="right"/>
    </xf>
    <xf numFmtId="0" fontId="0" fillId="7" borderId="0" xfId="0" applyFill="1"/>
    <xf numFmtId="0" fontId="0" fillId="6" borderId="0" xfId="0" applyFill="1" applyAlignment="1">
      <alignment horizontal="center"/>
    </xf>
    <xf numFmtId="0" fontId="5" fillId="8" borderId="0" xfId="0" applyFont="1" applyFill="1"/>
    <xf numFmtId="0" fontId="0" fillId="5" borderId="0" xfId="0" applyFill="1" applyBorder="1" applyAlignment="1">
      <alignment horizontal="center"/>
    </xf>
    <xf numFmtId="0" fontId="0" fillId="0" borderId="0" xfId="0" applyAlignment="1">
      <alignment wrapText="1"/>
    </xf>
    <xf numFmtId="0" fontId="3" fillId="9" borderId="0" xfId="0" applyFont="1" applyFill="1" applyAlignment="1">
      <alignment wrapText="1"/>
    </xf>
    <xf numFmtId="0" fontId="0" fillId="9" borderId="0" xfId="0" applyFill="1"/>
    <xf numFmtId="0" fontId="0" fillId="0" borderId="3" xfId="0" applyBorder="1"/>
    <xf numFmtId="0" fontId="0" fillId="0" borderId="4" xfId="0" applyBorder="1"/>
    <xf numFmtId="0" fontId="0" fillId="0" borderId="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uniforme!$D$8:$D$18</c:f>
              <c:numCache>
                <c:formatCode>General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A-45B9-9FD8-2F614928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519904"/>
        <c:axId val="568516952"/>
      </c:areaChart>
      <c:catAx>
        <c:axId val="56851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6952"/>
        <c:crosses val="autoZero"/>
        <c:auto val="1"/>
        <c:lblAlgn val="ctr"/>
        <c:lblOffset val="100"/>
        <c:noMultiLvlLbl val="0"/>
      </c:catAx>
      <c:valAx>
        <c:axId val="5685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triangular!$C$8:$C$23</c:f>
              <c:numCache>
                <c:formatCode>General</c:formatCode>
                <c:ptCount val="16"/>
                <c:pt idx="0">
                  <c:v>0</c:v>
                </c:pt>
                <c:pt idx="1">
                  <c:v>2.6666666666666668E-2</c:v>
                </c:pt>
                <c:pt idx="2">
                  <c:v>5.3333333333333337E-2</c:v>
                </c:pt>
                <c:pt idx="3">
                  <c:v>0.08</c:v>
                </c:pt>
                <c:pt idx="4">
                  <c:v>0.10666666666666667</c:v>
                </c:pt>
                <c:pt idx="5">
                  <c:v>0.13333333333333333</c:v>
                </c:pt>
                <c:pt idx="6">
                  <c:v>0.12</c:v>
                </c:pt>
                <c:pt idx="7">
                  <c:v>0.10666666666666667</c:v>
                </c:pt>
                <c:pt idx="8">
                  <c:v>9.3333333333333338E-2</c:v>
                </c:pt>
                <c:pt idx="9">
                  <c:v>0.08</c:v>
                </c:pt>
                <c:pt idx="10">
                  <c:v>6.6666666666666666E-2</c:v>
                </c:pt>
                <c:pt idx="11">
                  <c:v>5.3333333333333337E-2</c:v>
                </c:pt>
                <c:pt idx="12">
                  <c:v>0.04</c:v>
                </c:pt>
                <c:pt idx="13">
                  <c:v>2.6666666666666668E-2</c:v>
                </c:pt>
                <c:pt idx="14">
                  <c:v>1.3333333333333334E-2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4-460F-B696-18BDEA390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879720"/>
        <c:axId val="290646000"/>
      </c:lineChart>
      <c:catAx>
        <c:axId val="28987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90646000"/>
        <c:crosses val="autoZero"/>
        <c:auto val="1"/>
        <c:lblAlgn val="ctr"/>
        <c:lblOffset val="100"/>
        <c:noMultiLvlLbl val="0"/>
      </c:catAx>
      <c:valAx>
        <c:axId val="2906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8987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triangular!$E$8:$E$23</c:f>
              <c:numCache>
                <c:formatCode>General</c:formatCode>
                <c:ptCount val="16"/>
                <c:pt idx="0">
                  <c:v>0</c:v>
                </c:pt>
                <c:pt idx="1">
                  <c:v>1.3333333333333334E-2</c:v>
                </c:pt>
                <c:pt idx="2">
                  <c:v>5.3333333333333337E-2</c:v>
                </c:pt>
                <c:pt idx="3">
                  <c:v>0.12</c:v>
                </c:pt>
                <c:pt idx="4">
                  <c:v>0.21333333333333335</c:v>
                </c:pt>
                <c:pt idx="5">
                  <c:v>0.33333333333333331</c:v>
                </c:pt>
                <c:pt idx="6">
                  <c:v>0.45999999999999996</c:v>
                </c:pt>
                <c:pt idx="7">
                  <c:v>0.57333333333333325</c:v>
                </c:pt>
                <c:pt idx="8">
                  <c:v>0.67333333333333334</c:v>
                </c:pt>
                <c:pt idx="9">
                  <c:v>0.76</c:v>
                </c:pt>
                <c:pt idx="10">
                  <c:v>0.83333333333333337</c:v>
                </c:pt>
                <c:pt idx="11">
                  <c:v>0.89333333333333331</c:v>
                </c:pt>
                <c:pt idx="12">
                  <c:v>0.94</c:v>
                </c:pt>
                <c:pt idx="13">
                  <c:v>0.97333333333333338</c:v>
                </c:pt>
                <c:pt idx="14">
                  <c:v>0.99333333333333329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1-4516-B29E-A82C8158F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038408"/>
        <c:axId val="573040048"/>
      </c:lineChart>
      <c:catAx>
        <c:axId val="57303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40048"/>
        <c:crosses val="autoZero"/>
        <c:auto val="1"/>
        <c:lblAlgn val="ctr"/>
        <c:lblOffset val="100"/>
        <c:noMultiLvlLbl val="0"/>
      </c:catAx>
      <c:valAx>
        <c:axId val="5730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3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exponencial!$B$5:$B$35</c:f>
              <c:numCache>
                <c:formatCode>General</c:formatCode>
                <c:ptCount val="31"/>
                <c:pt idx="0">
                  <c:v>3</c:v>
                </c:pt>
                <c:pt idx="1">
                  <c:v>2.2224546620451537</c:v>
                </c:pt>
                <c:pt idx="2">
                  <c:v>1.6464349082820791</c:v>
                </c:pt>
                <c:pt idx="3">
                  <c:v>1.2197089792217974</c:v>
                </c:pt>
                <c:pt idx="4">
                  <c:v>0.90358263573660613</c:v>
                </c:pt>
                <c:pt idx="5">
                  <c:v>0.66939048044528948</c:v>
                </c:pt>
                <c:pt idx="6">
                  <c:v>0.49589666466475968</c:v>
                </c:pt>
                <c:pt idx="7">
                  <c:v>0.36736928475894581</c:v>
                </c:pt>
                <c:pt idx="8">
                  <c:v>0.27215385986823742</c:v>
                </c:pt>
                <c:pt idx="9">
                  <c:v>0.20161653821924927</c:v>
                </c:pt>
                <c:pt idx="10">
                  <c:v>0.14936120510359183</c:v>
                </c:pt>
                <c:pt idx="11">
                  <c:v>0.11064950220371998</c:v>
                </c:pt>
                <c:pt idx="12">
                  <c:v>8.1971167341877704E-2</c:v>
                </c:pt>
                <c:pt idx="13">
                  <c:v>6.0725734337413143E-2</c:v>
                </c:pt>
                <c:pt idx="14">
                  <c:v>4.4986730461433151E-2</c:v>
                </c:pt>
                <c:pt idx="15">
                  <c:v>3.3326989614726917E-2</c:v>
                </c:pt>
                <c:pt idx="16">
                  <c:v>2.468924114706007E-2</c:v>
                </c:pt>
                <c:pt idx="17">
                  <c:v>1.8290239696546914E-2</c:v>
                </c:pt>
                <c:pt idx="18">
                  <c:v>1.3549742827837998E-2</c:v>
                </c:pt>
                <c:pt idx="19">
                  <c:v>1.0037896372413825E-2</c:v>
                </c:pt>
                <c:pt idx="20">
                  <c:v>7.4362565299990755E-3</c:v>
                </c:pt>
                <c:pt idx="21">
                  <c:v>5.5089143310867172E-3</c:v>
                </c:pt>
                <c:pt idx="22">
                  <c:v>4.0811041126436786E-3</c:v>
                </c:pt>
                <c:pt idx="23">
                  <c:v>3.023356287145534E-3</c:v>
                </c:pt>
                <c:pt idx="24">
                  <c:v>2.2397574251300395E-3</c:v>
                </c:pt>
                <c:pt idx="25">
                  <c:v>1.659253110443501E-3</c:v>
                </c:pt>
                <c:pt idx="26">
                  <c:v>1.2292049369393592E-3</c:v>
                </c:pt>
                <c:pt idx="27">
                  <c:v>9.1061741423659865E-4</c:v>
                </c:pt>
                <c:pt idx="28">
                  <c:v>6.746019725365458E-4</c:v>
                </c:pt>
                <c:pt idx="29">
                  <c:v>4.9975743296290065E-4</c:v>
                </c:pt>
                <c:pt idx="30">
                  <c:v>3.7022941226003868E-4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4-478B-89AB-D561E9221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27056"/>
        <c:axId val="566823448"/>
      </c:lineChart>
      <c:catAx>
        <c:axId val="5668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3448"/>
        <c:crosses val="autoZero"/>
        <c:auto val="1"/>
        <c:lblAlgn val="ctr"/>
        <c:lblOffset val="100"/>
        <c:noMultiLvlLbl val="0"/>
      </c:catAx>
      <c:valAx>
        <c:axId val="5668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xVal>
          <c:yVal>
            <c:numRef>
              <c:f>exponencial!$C$5:$C$35</c:f>
              <c:numCache>
                <c:formatCode>General</c:formatCode>
                <c:ptCount val="31"/>
                <c:pt idx="0">
                  <c:v>0</c:v>
                </c:pt>
                <c:pt idx="1">
                  <c:v>0.25918177931828212</c:v>
                </c:pt>
                <c:pt idx="2">
                  <c:v>0.45118836390597361</c:v>
                </c:pt>
                <c:pt idx="3">
                  <c:v>0.59343034025940078</c:v>
                </c:pt>
                <c:pt idx="4">
                  <c:v>0.69880578808779803</c:v>
                </c:pt>
                <c:pt idx="5">
                  <c:v>0.77686983985157021</c:v>
                </c:pt>
                <c:pt idx="6">
                  <c:v>0.83470111177841344</c:v>
                </c:pt>
                <c:pt idx="7">
                  <c:v>0.87754357174701803</c:v>
                </c:pt>
                <c:pt idx="8">
                  <c:v>0.90928204671058754</c:v>
                </c:pt>
                <c:pt idx="9">
                  <c:v>0.93279448726025027</c:v>
                </c:pt>
                <c:pt idx="10">
                  <c:v>0.95021293163213605</c:v>
                </c:pt>
                <c:pt idx="11">
                  <c:v>0.96311683259876002</c:v>
                </c:pt>
                <c:pt idx="12">
                  <c:v>0.97267627755270747</c:v>
                </c:pt>
                <c:pt idx="13">
                  <c:v>0.97975808855419566</c:v>
                </c:pt>
                <c:pt idx="14">
                  <c:v>0.9850044231795223</c:v>
                </c:pt>
                <c:pt idx="15">
                  <c:v>0.98889100346175773</c:v>
                </c:pt>
                <c:pt idx="16">
                  <c:v>0.99177025295097998</c:v>
                </c:pt>
                <c:pt idx="17">
                  <c:v>0.99390325343448438</c:v>
                </c:pt>
                <c:pt idx="18">
                  <c:v>0.99548341905738735</c:v>
                </c:pt>
                <c:pt idx="19">
                  <c:v>0.99665403454252877</c:v>
                </c:pt>
                <c:pt idx="20">
                  <c:v>0.99752124782333362</c:v>
                </c:pt>
                <c:pt idx="21">
                  <c:v>0.9981636952229711</c:v>
                </c:pt>
                <c:pt idx="22">
                  <c:v>0.99863963196245209</c:v>
                </c:pt>
                <c:pt idx="23">
                  <c:v>0.99899221457095144</c:v>
                </c:pt>
                <c:pt idx="24">
                  <c:v>0.99925341419162328</c:v>
                </c:pt>
                <c:pt idx="25">
                  <c:v>0.99944691562985222</c:v>
                </c:pt>
                <c:pt idx="26">
                  <c:v>0.99959026502102022</c:v>
                </c:pt>
                <c:pt idx="27">
                  <c:v>0.9996964608619211</c:v>
                </c:pt>
                <c:pt idx="28">
                  <c:v>0.99977513267582119</c:v>
                </c:pt>
                <c:pt idx="29">
                  <c:v>0.99983341418901239</c:v>
                </c:pt>
                <c:pt idx="30">
                  <c:v>0.99987659019591335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8-41E1-B374-293DD89E9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648376"/>
        <c:axId val="569650672"/>
      </c:scatterChart>
      <c:valAx>
        <c:axId val="56964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50672"/>
        <c:crosses val="autoZero"/>
        <c:crossBetween val="midCat"/>
      </c:valAx>
      <c:valAx>
        <c:axId val="5696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4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expo!$D$23:$D$45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expo!$E$23:$E$45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3-4E41-AB28-1627276EB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expo!$M$5:$M$504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0-4970-8B97-EB26E78F03F1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expo!$N$5:$N$504</c:f>
              <c:numCache>
                <c:formatCode>General</c:formatCode>
                <c:ptCount val="500"/>
                <c:pt idx="0">
                  <c:v>0.43675540673019708</c:v>
                </c:pt>
                <c:pt idx="1">
                  <c:v>0.45563689939258911</c:v>
                </c:pt>
                <c:pt idx="2">
                  <c:v>0.4826752477921018</c:v>
                </c:pt>
                <c:pt idx="3">
                  <c:v>0.49436986271635064</c:v>
                </c:pt>
                <c:pt idx="4">
                  <c:v>0.50480788116066955</c:v>
                </c:pt>
                <c:pt idx="5">
                  <c:v>0.50915883969089171</c:v>
                </c:pt>
                <c:pt idx="6">
                  <c:v>0.5128857082811904</c:v>
                </c:pt>
                <c:pt idx="7">
                  <c:v>0.51948435669640525</c:v>
                </c:pt>
                <c:pt idx="8">
                  <c:v>0.51967707542880304</c:v>
                </c:pt>
                <c:pt idx="9">
                  <c:v>0.51967707542880304</c:v>
                </c:pt>
                <c:pt idx="10">
                  <c:v>0.52160001674699541</c:v>
                </c:pt>
                <c:pt idx="11">
                  <c:v>0.52485136573913493</c:v>
                </c:pt>
                <c:pt idx="12">
                  <c:v>0.53185165048875227</c:v>
                </c:pt>
                <c:pt idx="13">
                  <c:v>0.53203940911378189</c:v>
                </c:pt>
                <c:pt idx="14">
                  <c:v>0.53856373459006368</c:v>
                </c:pt>
                <c:pt idx="15">
                  <c:v>0.53985764335710673</c:v>
                </c:pt>
                <c:pt idx="16">
                  <c:v>0.54169979309549166</c:v>
                </c:pt>
                <c:pt idx="17">
                  <c:v>0.5424345863556147</c:v>
                </c:pt>
                <c:pt idx="18">
                  <c:v>0.54261810051948323</c:v>
                </c:pt>
                <c:pt idx="19">
                  <c:v>0.54463190511893633</c:v>
                </c:pt>
                <c:pt idx="20">
                  <c:v>0.54953736892348182</c:v>
                </c:pt>
                <c:pt idx="21">
                  <c:v>0.55043997200355088</c:v>
                </c:pt>
                <c:pt idx="22">
                  <c:v>0.55152070870884273</c:v>
                </c:pt>
                <c:pt idx="23">
                  <c:v>0.55170057873332323</c:v>
                </c:pt>
                <c:pt idx="24">
                  <c:v>0.55652989508056694</c:v>
                </c:pt>
                <c:pt idx="25">
                  <c:v>0.55724091122075559</c:v>
                </c:pt>
                <c:pt idx="26">
                  <c:v>0.55777342511860373</c:v>
                </c:pt>
                <c:pt idx="27">
                  <c:v>0.55777342511860373</c:v>
                </c:pt>
                <c:pt idx="28">
                  <c:v>0.55901346818663211</c:v>
                </c:pt>
                <c:pt idx="29">
                  <c:v>0.55936712711119418</c:v>
                </c:pt>
                <c:pt idx="30">
                  <c:v>0.55936712711119418</c:v>
                </c:pt>
                <c:pt idx="31">
                  <c:v>0.56042640304684943</c:v>
                </c:pt>
                <c:pt idx="32">
                  <c:v>0.56113117191123829</c:v>
                </c:pt>
                <c:pt idx="33">
                  <c:v>0.56113117191123829</c:v>
                </c:pt>
                <c:pt idx="34">
                  <c:v>0.56130718750077579</c:v>
                </c:pt>
                <c:pt idx="35">
                  <c:v>0.56201054420241492</c:v>
                </c:pt>
                <c:pt idx="36">
                  <c:v>0.56306346539632279</c:v>
                </c:pt>
                <c:pt idx="37">
                  <c:v>0.56411385538080094</c:v>
                </c:pt>
                <c:pt idx="38">
                  <c:v>0.56463810307163698</c:v>
                </c:pt>
                <c:pt idx="39">
                  <c:v>0.56533611931242844</c:v>
                </c:pt>
                <c:pt idx="40">
                  <c:v>0.56533611931242844</c:v>
                </c:pt>
                <c:pt idx="41">
                  <c:v>0.56672879619753735</c:v>
                </c:pt>
                <c:pt idx="42">
                  <c:v>0.56707626764377483</c:v>
                </c:pt>
                <c:pt idx="43">
                  <c:v>0.56724989885451116</c:v>
                </c:pt>
                <c:pt idx="44">
                  <c:v>0.56794372760005563</c:v>
                </c:pt>
                <c:pt idx="45">
                  <c:v>0.56967343654268787</c:v>
                </c:pt>
                <c:pt idx="46">
                  <c:v>0.5700185464693267</c:v>
                </c:pt>
                <c:pt idx="47">
                  <c:v>0.571739949010729</c:v>
                </c:pt>
                <c:pt idx="48">
                  <c:v>0.57208340165188543</c:v>
                </c:pt>
                <c:pt idx="49">
                  <c:v>0.57242657885358317</c:v>
                </c:pt>
                <c:pt idx="50">
                  <c:v>0.57311210782200361</c:v>
                </c:pt>
                <c:pt idx="51">
                  <c:v>0.57345446002998479</c:v>
                </c:pt>
                <c:pt idx="52">
                  <c:v>0.57345446002998479</c:v>
                </c:pt>
                <c:pt idx="53">
                  <c:v>0.57447987019284685</c:v>
                </c:pt>
                <c:pt idx="54">
                  <c:v>0.57516210711685101</c:v>
                </c:pt>
                <c:pt idx="55">
                  <c:v>0.57584325020959348</c:v>
                </c:pt>
                <c:pt idx="56">
                  <c:v>0.57584325020959348</c:v>
                </c:pt>
                <c:pt idx="57">
                  <c:v>0.57618341211739543</c:v>
                </c:pt>
                <c:pt idx="58">
                  <c:v>0.57618341211739543</c:v>
                </c:pt>
                <c:pt idx="59">
                  <c:v>0.57652330122481521</c:v>
                </c:pt>
                <c:pt idx="60">
                  <c:v>0.5766931435467566</c:v>
                </c:pt>
                <c:pt idx="61">
                  <c:v>0.57703262386375731</c:v>
                </c:pt>
                <c:pt idx="62">
                  <c:v>0.57720226191344515</c:v>
                </c:pt>
                <c:pt idx="63">
                  <c:v>0.5778801340236055</c:v>
                </c:pt>
                <c:pt idx="64">
                  <c:v>0.57804943216535087</c:v>
                </c:pt>
                <c:pt idx="65">
                  <c:v>0.57855691930061526</c:v>
                </c:pt>
                <c:pt idx="66">
                  <c:v>0.57889490492133566</c:v>
                </c:pt>
                <c:pt idx="67">
                  <c:v>0.57889490492133566</c:v>
                </c:pt>
                <c:pt idx="68">
                  <c:v>0.57906379607245784</c:v>
                </c:pt>
                <c:pt idx="69">
                  <c:v>0.57940137519211521</c:v>
                </c:pt>
                <c:pt idx="70">
                  <c:v>0.5797386835827143</c:v>
                </c:pt>
                <c:pt idx="71">
                  <c:v>0.57990723632247299</c:v>
                </c:pt>
                <c:pt idx="72">
                  <c:v>0.57990723632247299</c:v>
                </c:pt>
                <c:pt idx="73">
                  <c:v>0.58058077154398557</c:v>
                </c:pt>
                <c:pt idx="74">
                  <c:v>0.58192460407894786</c:v>
                </c:pt>
                <c:pt idx="75">
                  <c:v>0.58209228011920033</c:v>
                </c:pt>
                <c:pt idx="76">
                  <c:v>0.58259490485236665</c:v>
                </c:pt>
                <c:pt idx="77">
                  <c:v>0.58276231205742679</c:v>
                </c:pt>
                <c:pt idx="78">
                  <c:v>0.58309692507020472</c:v>
                </c:pt>
                <c:pt idx="79">
                  <c:v>0.58426595876802145</c:v>
                </c:pt>
                <c:pt idx="80">
                  <c:v>0.58443269576931844</c:v>
                </c:pt>
                <c:pt idx="81">
                  <c:v>0.58443269576931844</c:v>
                </c:pt>
                <c:pt idx="82">
                  <c:v>0.58459936589798822</c:v>
                </c:pt>
                <c:pt idx="83">
                  <c:v>0.58493250564471677</c:v>
                </c:pt>
                <c:pt idx="84">
                  <c:v>0.58509897531638377</c:v>
                </c:pt>
                <c:pt idx="85">
                  <c:v>0.58526537822264046</c:v>
                </c:pt>
                <c:pt idx="86">
                  <c:v>0.58609639220960075</c:v>
                </c:pt>
                <c:pt idx="87">
                  <c:v>0.58676000435020881</c:v>
                </c:pt>
                <c:pt idx="88">
                  <c:v>0.58725701513193429</c:v>
                </c:pt>
                <c:pt idx="89">
                  <c:v>0.58725701513193429</c:v>
                </c:pt>
                <c:pt idx="90">
                  <c:v>0.5887444637720084</c:v>
                </c:pt>
                <c:pt idx="91">
                  <c:v>0.58890940459493046</c:v>
                </c:pt>
                <c:pt idx="92">
                  <c:v>0.58956850662947646</c:v>
                </c:pt>
                <c:pt idx="93">
                  <c:v>0.58973311695640496</c:v>
                </c:pt>
                <c:pt idx="94">
                  <c:v>0.59006213957767195</c:v>
                </c:pt>
                <c:pt idx="95">
                  <c:v>0.59039089833195413</c:v>
                </c:pt>
                <c:pt idx="96">
                  <c:v>0.5905551788251121</c:v>
                </c:pt>
                <c:pt idx="97">
                  <c:v>0.59071939343086588</c:v>
                </c:pt>
                <c:pt idx="98">
                  <c:v>0.59088354217564065</c:v>
                </c:pt>
                <c:pt idx="99">
                  <c:v>0.59088354217564065</c:v>
                </c:pt>
                <c:pt idx="100">
                  <c:v>0.59137559350818503</c:v>
                </c:pt>
                <c:pt idx="101">
                  <c:v>0.59137559350818503</c:v>
                </c:pt>
                <c:pt idx="102">
                  <c:v>0.59284819956091206</c:v>
                </c:pt>
                <c:pt idx="103">
                  <c:v>0.59366401966180193</c:v>
                </c:pt>
                <c:pt idx="104">
                  <c:v>0.59366401966180193</c:v>
                </c:pt>
                <c:pt idx="105">
                  <c:v>0.59382698741560902</c:v>
                </c:pt>
                <c:pt idx="106">
                  <c:v>0.59382698741560902</c:v>
                </c:pt>
                <c:pt idx="107">
                  <c:v>0.59398988980850775</c:v>
                </c:pt>
                <c:pt idx="108">
                  <c:v>0.59415272686671217</c:v>
                </c:pt>
                <c:pt idx="109">
                  <c:v>0.59431549861642574</c:v>
                </c:pt>
                <c:pt idx="110">
                  <c:v>0.59431549861642574</c:v>
                </c:pt>
                <c:pt idx="111">
                  <c:v>0.59464084629514247</c:v>
                </c:pt>
                <c:pt idx="112">
                  <c:v>0.59561532464942879</c:v>
                </c:pt>
                <c:pt idx="113">
                  <c:v>0.59593962990384508</c:v>
                </c:pt>
                <c:pt idx="114">
                  <c:v>0.59610168498659266</c:v>
                </c:pt>
                <c:pt idx="115">
                  <c:v>0.59626367507447364</c:v>
                </c:pt>
                <c:pt idx="116">
                  <c:v>0.59739578802170978</c:v>
                </c:pt>
                <c:pt idx="117">
                  <c:v>0.59755725908820212</c:v>
                </c:pt>
                <c:pt idx="118">
                  <c:v>0.59755725908820212</c:v>
                </c:pt>
                <c:pt idx="119">
                  <c:v>0.59788000696524812</c:v>
                </c:pt>
                <c:pt idx="120">
                  <c:v>0.59788000696524812</c:v>
                </c:pt>
                <c:pt idx="121">
                  <c:v>0.59820249600747988</c:v>
                </c:pt>
                <c:pt idx="122">
                  <c:v>0.59820249600747988</c:v>
                </c:pt>
                <c:pt idx="123">
                  <c:v>0.59884669841764704</c:v>
                </c:pt>
                <c:pt idx="124">
                  <c:v>0.59981106595584022</c:v>
                </c:pt>
                <c:pt idx="125">
                  <c:v>0.59997156833523912</c:v>
                </c:pt>
                <c:pt idx="126">
                  <c:v>0.60045268934391949</c:v>
                </c:pt>
                <c:pt idx="127">
                  <c:v>0.6006129343896649</c:v>
                </c:pt>
                <c:pt idx="128">
                  <c:v>0.60141319609993849</c:v>
                </c:pt>
                <c:pt idx="129">
                  <c:v>0.60157305591859078</c:v>
                </c:pt>
                <c:pt idx="130">
                  <c:v>0.60173285162282331</c:v>
                </c:pt>
                <c:pt idx="131">
                  <c:v>0.60221185430609281</c:v>
                </c:pt>
                <c:pt idx="132">
                  <c:v>0.60269028088467602</c:v>
                </c:pt>
                <c:pt idx="133">
                  <c:v>0.60316813205146391</c:v>
                </c:pt>
                <c:pt idx="134">
                  <c:v>0.60364540849851389</c:v>
                </c:pt>
                <c:pt idx="135">
                  <c:v>0.60380437305152812</c:v>
                </c:pt>
                <c:pt idx="136">
                  <c:v>0.60380437305152812</c:v>
                </c:pt>
                <c:pt idx="137">
                  <c:v>0.60412211091705137</c:v>
                </c:pt>
                <c:pt idx="138">
                  <c:v>0.60428088428068993</c:v>
                </c:pt>
                <c:pt idx="139">
                  <c:v>0.60443959396564972</c:v>
                </c:pt>
                <c:pt idx="140">
                  <c:v>0.60475682240167972</c:v>
                </c:pt>
                <c:pt idx="141">
                  <c:v>0.60523218810378454</c:v>
                </c:pt>
                <c:pt idx="142">
                  <c:v>0.6053905162526394</c:v>
                </c:pt>
                <c:pt idx="143">
                  <c:v>0.60554878090137598</c:v>
                </c:pt>
                <c:pt idx="144">
                  <c:v>0.60570698207546214</c:v>
                </c:pt>
                <c:pt idx="145">
                  <c:v>0.60602319410150318</c:v>
                </c:pt>
                <c:pt idx="146">
                  <c:v>0.60602319410150318</c:v>
                </c:pt>
                <c:pt idx="147">
                  <c:v>0.60602319410150318</c:v>
                </c:pt>
                <c:pt idx="148">
                  <c:v>0.60618120500434269</c:v>
                </c:pt>
                <c:pt idx="149">
                  <c:v>0.60633915253430049</c:v>
                </c:pt>
                <c:pt idx="150">
                  <c:v>0.60665485757722881</c:v>
                </c:pt>
                <c:pt idx="151">
                  <c:v>0.60712794048009755</c:v>
                </c:pt>
                <c:pt idx="152">
                  <c:v>0.60712794048009755</c:v>
                </c:pt>
                <c:pt idx="153">
                  <c:v>0.6074430129370475</c:v>
                </c:pt>
                <c:pt idx="154">
                  <c:v>0.60807240001556617</c:v>
                </c:pt>
                <c:pt idx="155">
                  <c:v>0.60822958905053981</c:v>
                </c:pt>
                <c:pt idx="156">
                  <c:v>0.60838671504225572</c:v>
                </c:pt>
                <c:pt idx="157">
                  <c:v>0.60854377801599835</c:v>
                </c:pt>
                <c:pt idx="158">
                  <c:v>0.60854377801599835</c:v>
                </c:pt>
                <c:pt idx="159">
                  <c:v>0.60870077799704236</c:v>
                </c:pt>
                <c:pt idx="160">
                  <c:v>0.60870077799704236</c:v>
                </c:pt>
                <c:pt idx="161">
                  <c:v>0.60870077799704236</c:v>
                </c:pt>
                <c:pt idx="162">
                  <c:v>0.60885771501065156</c:v>
                </c:pt>
                <c:pt idx="163">
                  <c:v>0.60932814849936257</c:v>
                </c:pt>
                <c:pt idx="164">
                  <c:v>0.60932814849936257</c:v>
                </c:pt>
                <c:pt idx="165">
                  <c:v>0.60932814849936257</c:v>
                </c:pt>
                <c:pt idx="166">
                  <c:v>0.60948483389567354</c:v>
                </c:pt>
                <c:pt idx="167">
                  <c:v>0.60964145645071932</c:v>
                </c:pt>
                <c:pt idx="168">
                  <c:v>0.60979801618970364</c:v>
                </c:pt>
                <c:pt idx="169">
                  <c:v>0.60995451313781945</c:v>
                </c:pt>
                <c:pt idx="170">
                  <c:v>0.61026731876216989</c:v>
                </c:pt>
                <c:pt idx="171">
                  <c:v>0.6107360568964384</c:v>
                </c:pt>
                <c:pt idx="172">
                  <c:v>0.61089217762784109</c:v>
                </c:pt>
                <c:pt idx="173">
                  <c:v>0.61120423127136847</c:v>
                </c:pt>
                <c:pt idx="174">
                  <c:v>0.61136016423370831</c:v>
                </c:pt>
                <c:pt idx="175">
                  <c:v>0.61151603465655902</c:v>
                </c:pt>
                <c:pt idx="176">
                  <c:v>0.61182758798411307</c:v>
                </c:pt>
                <c:pt idx="177">
                  <c:v>0.61182758798411307</c:v>
                </c:pt>
                <c:pt idx="178">
                  <c:v>0.61276074962554472</c:v>
                </c:pt>
                <c:pt idx="179">
                  <c:v>0.61291605832049945</c:v>
                </c:pt>
                <c:pt idx="180">
                  <c:v>0.61353667045892513</c:v>
                </c:pt>
                <c:pt idx="181">
                  <c:v>0.61353667045892513</c:v>
                </c:pt>
                <c:pt idx="182">
                  <c:v>0.61400147648821912</c:v>
                </c:pt>
                <c:pt idx="183">
                  <c:v>0.61415628756918039</c:v>
                </c:pt>
                <c:pt idx="184">
                  <c:v>0.61415628756918039</c:v>
                </c:pt>
                <c:pt idx="185">
                  <c:v>0.61462034837442148</c:v>
                </c:pt>
                <c:pt idx="186">
                  <c:v>0.61508385104582763</c:v>
                </c:pt>
                <c:pt idx="187">
                  <c:v>0.61523822802260164</c:v>
                </c:pt>
                <c:pt idx="188">
                  <c:v>0.61539254308394042</c:v>
                </c:pt>
                <c:pt idx="189">
                  <c:v>0.61570098755963021</c:v>
                </c:pt>
                <c:pt idx="190">
                  <c:v>0.61616319052788127</c:v>
                </c:pt>
                <c:pt idx="191">
                  <c:v>0.61647101696577056</c:v>
                </c:pt>
                <c:pt idx="192">
                  <c:v>0.61677859653542422</c:v>
                </c:pt>
                <c:pt idx="193">
                  <c:v>0.61785318379878307</c:v>
                </c:pt>
                <c:pt idx="194">
                  <c:v>0.61785318379878307</c:v>
                </c:pt>
                <c:pt idx="195">
                  <c:v>0.61815965490910663</c:v>
                </c:pt>
                <c:pt idx="196">
                  <c:v>0.61846588023812954</c:v>
                </c:pt>
                <c:pt idx="197">
                  <c:v>0.61861890079625637</c:v>
                </c:pt>
                <c:pt idx="198">
                  <c:v>0.61907759434055509</c:v>
                </c:pt>
                <c:pt idx="199">
                  <c:v>0.61907759434055509</c:v>
                </c:pt>
                <c:pt idx="200">
                  <c:v>0.61953573620631497</c:v>
                </c:pt>
                <c:pt idx="201">
                  <c:v>0.62045036755547234</c:v>
                </c:pt>
                <c:pt idx="202">
                  <c:v>0.62060259220219538</c:v>
                </c:pt>
                <c:pt idx="203">
                  <c:v>0.62090685836350334</c:v>
                </c:pt>
                <c:pt idx="204">
                  <c:v>0.62121088051181861</c:v>
                </c:pt>
                <c:pt idx="205">
                  <c:v>0.62136280014226386</c:v>
                </c:pt>
                <c:pt idx="206">
                  <c:v>0.62166645663796283</c:v>
                </c:pt>
                <c:pt idx="207">
                  <c:v>0.62196986960960388</c:v>
                </c:pt>
                <c:pt idx="208">
                  <c:v>0.6221214848349399</c:v>
                </c:pt>
                <c:pt idx="209">
                  <c:v>0.62227303925248656</c:v>
                </c:pt>
                <c:pt idx="210">
                  <c:v>0.62227303925248656</c:v>
                </c:pt>
                <c:pt idx="211">
                  <c:v>0.62287864933239179</c:v>
                </c:pt>
                <c:pt idx="212">
                  <c:v>0.62302990007661552</c:v>
                </c:pt>
                <c:pt idx="213">
                  <c:v>0.62318109015923084</c:v>
                </c:pt>
                <c:pt idx="214">
                  <c:v>0.62318109015923084</c:v>
                </c:pt>
                <c:pt idx="215">
                  <c:v>0.62348328843694456</c:v>
                </c:pt>
                <c:pt idx="216">
                  <c:v>0.62378524436005067</c:v>
                </c:pt>
                <c:pt idx="217">
                  <c:v>0.62378524436005067</c:v>
                </c:pt>
                <c:pt idx="218">
                  <c:v>0.62438842991973043</c:v>
                </c:pt>
                <c:pt idx="219">
                  <c:v>0.62499064839129392</c:v>
                </c:pt>
                <c:pt idx="220">
                  <c:v>0.62499064839129392</c:v>
                </c:pt>
                <c:pt idx="221">
                  <c:v>0.62529139545367074</c:v>
                </c:pt>
                <c:pt idx="222">
                  <c:v>0.62589216619953292</c:v>
                </c:pt>
                <c:pt idx="223">
                  <c:v>0.62589216619953292</c:v>
                </c:pt>
                <c:pt idx="224">
                  <c:v>0.62604220832306168</c:v>
                </c:pt>
                <c:pt idx="225">
                  <c:v>0.62634211206364132</c:v>
                </c:pt>
                <c:pt idx="226">
                  <c:v>0.62649197372895249</c:v>
                </c:pt>
                <c:pt idx="227">
                  <c:v>0.62679151677019485</c:v>
                </c:pt>
                <c:pt idx="228">
                  <c:v>0.62724038097005275</c:v>
                </c:pt>
                <c:pt idx="229">
                  <c:v>0.62724038097005275</c:v>
                </c:pt>
                <c:pt idx="230">
                  <c:v>0.62768870531329179</c:v>
                </c:pt>
                <c:pt idx="231">
                  <c:v>0.6278380269051469</c:v>
                </c:pt>
                <c:pt idx="232">
                  <c:v>0.6278380269051469</c:v>
                </c:pt>
                <c:pt idx="233">
                  <c:v>0.62813649044920661</c:v>
                </c:pt>
                <c:pt idx="234">
                  <c:v>0.62843471463381106</c:v>
                </c:pt>
                <c:pt idx="235">
                  <c:v>0.6285837370263111</c:v>
                </c:pt>
                <c:pt idx="236">
                  <c:v>0.62873269965091994</c:v>
                </c:pt>
                <c:pt idx="237">
                  <c:v>0.62917922915706193</c:v>
                </c:pt>
                <c:pt idx="238">
                  <c:v>0.62932795294971999</c:v>
                </c:pt>
                <c:pt idx="239">
                  <c:v>0.62932795294971999</c:v>
                </c:pt>
                <c:pt idx="240">
                  <c:v>0.62947661709424529</c:v>
                </c:pt>
                <c:pt idx="241">
                  <c:v>0.62947661709424529</c:v>
                </c:pt>
                <c:pt idx="242">
                  <c:v>0.62962522161456103</c:v>
                </c:pt>
                <c:pt idx="243">
                  <c:v>0.62977376653458017</c:v>
                </c:pt>
                <c:pt idx="244">
                  <c:v>0.63021904393184802</c:v>
                </c:pt>
                <c:pt idx="245">
                  <c:v>0.63021904393184802</c:v>
                </c:pt>
                <c:pt idx="246">
                  <c:v>0.63036735068962257</c:v>
                </c:pt>
                <c:pt idx="247">
                  <c:v>0.63036735068962257</c:v>
                </c:pt>
                <c:pt idx="248">
                  <c:v>0.63066378578640558</c:v>
                </c:pt>
                <c:pt idx="249">
                  <c:v>0.63081191417311633</c:v>
                </c:pt>
                <c:pt idx="250">
                  <c:v>0.63081191417311633</c:v>
                </c:pt>
                <c:pt idx="251">
                  <c:v>0.63081191417311633</c:v>
                </c:pt>
                <c:pt idx="252">
                  <c:v>0.63155166544304031</c:v>
                </c:pt>
                <c:pt idx="253">
                  <c:v>0.63184715075235409</c:v>
                </c:pt>
                <c:pt idx="254">
                  <c:v>0.63228993445510617</c:v>
                </c:pt>
                <c:pt idx="255">
                  <c:v>0.63243741064804437</c:v>
                </c:pt>
                <c:pt idx="256">
                  <c:v>0.63258482769322044</c:v>
                </c:pt>
                <c:pt idx="257">
                  <c:v>0.63273218561435662</c:v>
                </c:pt>
                <c:pt idx="258">
                  <c:v>0.63317390487060488</c:v>
                </c:pt>
                <c:pt idx="259">
                  <c:v>0.63317390487060488</c:v>
                </c:pt>
                <c:pt idx="260">
                  <c:v>0.63361509286357953</c:v>
                </c:pt>
                <c:pt idx="261">
                  <c:v>0.63449587761477722</c:v>
                </c:pt>
                <c:pt idx="262">
                  <c:v>0.63478900174787545</c:v>
                </c:pt>
                <c:pt idx="263">
                  <c:v>0.63478900174787545</c:v>
                </c:pt>
                <c:pt idx="264">
                  <c:v>0.63508189080357735</c:v>
                </c:pt>
                <c:pt idx="265">
                  <c:v>0.63508189080357735</c:v>
                </c:pt>
                <c:pt idx="266">
                  <c:v>0.63595914939080522</c:v>
                </c:pt>
                <c:pt idx="267">
                  <c:v>0.63610515398451206</c:v>
                </c:pt>
                <c:pt idx="268">
                  <c:v>0.6362511000206662</c:v>
                </c:pt>
                <c:pt idx="269">
                  <c:v>0.6362511000206662</c:v>
                </c:pt>
                <c:pt idx="270">
                  <c:v>0.63639698752275264</c:v>
                </c:pt>
                <c:pt idx="271">
                  <c:v>0.63697995265980401</c:v>
                </c:pt>
                <c:pt idx="272">
                  <c:v>0.63712554784350561</c:v>
                </c:pt>
                <c:pt idx="273">
                  <c:v>0.63727108463385518</c:v>
                </c:pt>
                <c:pt idx="274">
                  <c:v>0.63727108463385518</c:v>
                </c:pt>
                <c:pt idx="275">
                  <c:v>0.63727108463385518</c:v>
                </c:pt>
                <c:pt idx="276">
                  <c:v>0.63741656305427186</c:v>
                </c:pt>
                <c:pt idx="277">
                  <c:v>0.63814308042639478</c:v>
                </c:pt>
                <c:pt idx="278">
                  <c:v>0.63843327960435037</c:v>
                </c:pt>
                <c:pt idx="279">
                  <c:v>0.63872324605064246</c:v>
                </c:pt>
                <c:pt idx="280">
                  <c:v>0.63944714518982915</c:v>
                </c:pt>
                <c:pt idx="281">
                  <c:v>0.63959175086523168</c:v>
                </c:pt>
                <c:pt idx="282">
                  <c:v>0.64016959383446292</c:v>
                </c:pt>
                <c:pt idx="283">
                  <c:v>0.64045816780506915</c:v>
                </c:pt>
                <c:pt idx="284">
                  <c:v>0.64045816780506915</c:v>
                </c:pt>
                <c:pt idx="285">
                  <c:v>0.64074651034738273</c:v>
                </c:pt>
                <c:pt idx="286">
                  <c:v>0.64074651034738273</c:v>
                </c:pt>
                <c:pt idx="287">
                  <c:v>0.64103462164700287</c:v>
                </c:pt>
                <c:pt idx="288">
                  <c:v>0.64146635542201436</c:v>
                </c:pt>
                <c:pt idx="289">
                  <c:v>0.64161015125981458</c:v>
                </c:pt>
                <c:pt idx="290">
                  <c:v>0.6418975699434607</c:v>
                </c:pt>
                <c:pt idx="291">
                  <c:v>0.6418975699434607</c:v>
                </c:pt>
                <c:pt idx="292">
                  <c:v>0.64218475812532216</c:v>
                </c:pt>
                <c:pt idx="293">
                  <c:v>0.64218475812532216</c:v>
                </c:pt>
                <c:pt idx="294">
                  <c:v>0.64304494150801794</c:v>
                </c:pt>
                <c:pt idx="295">
                  <c:v>0.64318810422780492</c:v>
                </c:pt>
                <c:pt idx="296">
                  <c:v>0.64333120952981937</c:v>
                </c:pt>
                <c:pt idx="297">
                  <c:v>0.64333120952981937</c:v>
                </c:pt>
                <c:pt idx="298">
                  <c:v>0.64347425743708975</c:v>
                </c:pt>
                <c:pt idx="299">
                  <c:v>0.64376018115946509</c:v>
                </c:pt>
                <c:pt idx="300">
                  <c:v>0.64376018115946509</c:v>
                </c:pt>
                <c:pt idx="301">
                  <c:v>0.6440458755789733</c:v>
                </c:pt>
                <c:pt idx="302">
                  <c:v>0.64418863685762484</c:v>
                </c:pt>
                <c:pt idx="303">
                  <c:v>0.64447398766758834</c:v>
                </c:pt>
                <c:pt idx="304">
                  <c:v>0.64475910963414429</c:v>
                </c:pt>
                <c:pt idx="305">
                  <c:v>0.64518636390401229</c:v>
                </c:pt>
                <c:pt idx="306">
                  <c:v>0.64518636390401229</c:v>
                </c:pt>
                <c:pt idx="307">
                  <c:v>0.64532866777099096</c:v>
                </c:pt>
                <c:pt idx="308">
                  <c:v>0.64589731273460771</c:v>
                </c:pt>
                <c:pt idx="309">
                  <c:v>0.64603933146381953</c:v>
                </c:pt>
                <c:pt idx="310">
                  <c:v>0.64618129323407514</c:v>
                </c:pt>
                <c:pt idx="311">
                  <c:v>0.64632319806821914</c:v>
                </c:pt>
                <c:pt idx="312">
                  <c:v>0.64646504598908616</c:v>
                </c:pt>
                <c:pt idx="313">
                  <c:v>0.64660683701950261</c:v>
                </c:pt>
                <c:pt idx="314">
                  <c:v>0.64674857118228535</c:v>
                </c:pt>
                <c:pt idx="315">
                  <c:v>0.6468902485002419</c:v>
                </c:pt>
                <c:pt idx="316">
                  <c:v>0.6468902485002419</c:v>
                </c:pt>
                <c:pt idx="317">
                  <c:v>0.64703186899617093</c:v>
                </c:pt>
                <c:pt idx="318">
                  <c:v>0.64703186899617093</c:v>
                </c:pt>
                <c:pt idx="319">
                  <c:v>0.64773911994271205</c:v>
                </c:pt>
                <c:pt idx="320">
                  <c:v>0.64802162336406166</c:v>
                </c:pt>
                <c:pt idx="321">
                  <c:v>0.6481627901034217</c:v>
                </c:pt>
                <c:pt idx="322">
                  <c:v>0.6484449537530943</c:v>
                </c:pt>
                <c:pt idx="323">
                  <c:v>0.64886777499545734</c:v>
                </c:pt>
                <c:pt idx="324">
                  <c:v>0.64900860237173508</c:v>
                </c:pt>
                <c:pt idx="325">
                  <c:v>0.64957134729188337</c:v>
                </c:pt>
                <c:pt idx="326">
                  <c:v>0.65013318996244007</c:v>
                </c:pt>
                <c:pt idx="327">
                  <c:v>0.65041377340626783</c:v>
                </c:pt>
                <c:pt idx="328">
                  <c:v>0.65041377340626783</c:v>
                </c:pt>
                <c:pt idx="329">
                  <c:v>0.65097426541404579</c:v>
                </c:pt>
                <c:pt idx="330">
                  <c:v>0.65125417433877097</c:v>
                </c:pt>
                <c:pt idx="331">
                  <c:v>0.65153385878432912</c:v>
                </c:pt>
                <c:pt idx="332">
                  <c:v>0.65167361688368453</c:v>
                </c:pt>
                <c:pt idx="333">
                  <c:v>0.65209255495790464</c:v>
                </c:pt>
                <c:pt idx="334">
                  <c:v>0.65278966568321284</c:v>
                </c:pt>
                <c:pt idx="335">
                  <c:v>0.65348537959057329</c:v>
                </c:pt>
                <c:pt idx="336">
                  <c:v>0.65376327467162065</c:v>
                </c:pt>
                <c:pt idx="337">
                  <c:v>0.65376327467162065</c:v>
                </c:pt>
                <c:pt idx="338">
                  <c:v>0.65376327467162065</c:v>
                </c:pt>
                <c:pt idx="339">
                  <c:v>0.65390213862692503</c:v>
                </c:pt>
                <c:pt idx="340">
                  <c:v>0.65404094688854753</c:v>
                </c:pt>
                <c:pt idx="341">
                  <c:v>0.65417969947882482</c:v>
                </c:pt>
                <c:pt idx="342">
                  <c:v>0.65528771871008784</c:v>
                </c:pt>
                <c:pt idx="343">
                  <c:v>0.65542597126194102</c:v>
                </c:pt>
                <c:pt idx="344">
                  <c:v>0.6558403963156344</c:v>
                </c:pt>
                <c:pt idx="345">
                  <c:v>0.65652999739881079</c:v>
                </c:pt>
                <c:pt idx="346">
                  <c:v>0.65666775171428504</c:v>
                </c:pt>
                <c:pt idx="347">
                  <c:v>0.65735569500505076</c:v>
                </c:pt>
                <c:pt idx="348">
                  <c:v>0.65776779914712824</c:v>
                </c:pt>
                <c:pt idx="349">
                  <c:v>0.65790505702177415</c:v>
                </c:pt>
                <c:pt idx="350">
                  <c:v>0.65831650043679657</c:v>
                </c:pt>
                <c:pt idx="351">
                  <c:v>0.65845353824573083</c:v>
                </c:pt>
                <c:pt idx="352">
                  <c:v>0.65927461168374424</c:v>
                </c:pt>
                <c:pt idx="353">
                  <c:v>0.65927461168374424</c:v>
                </c:pt>
                <c:pt idx="354">
                  <c:v>0.65941126522634397</c:v>
                </c:pt>
                <c:pt idx="355">
                  <c:v>0.65954786396178422</c:v>
                </c:pt>
                <c:pt idx="356">
                  <c:v>0.65968440791204619</c:v>
                </c:pt>
                <c:pt idx="357">
                  <c:v>0.65968440791204619</c:v>
                </c:pt>
                <c:pt idx="358">
                  <c:v>0.65982089709910241</c:v>
                </c:pt>
                <c:pt idx="359">
                  <c:v>0.66077478988257776</c:v>
                </c:pt>
                <c:pt idx="360">
                  <c:v>0.66131867006046752</c:v>
                </c:pt>
                <c:pt idx="361">
                  <c:v>0.66159028306058154</c:v>
                </c:pt>
                <c:pt idx="362">
                  <c:v>0.66159028306058154</c:v>
                </c:pt>
                <c:pt idx="363">
                  <c:v>0.66159028306058154</c:v>
                </c:pt>
                <c:pt idx="364">
                  <c:v>0.66199729419147424</c:v>
                </c:pt>
                <c:pt idx="365">
                  <c:v>0.66213285575730085</c:v>
                </c:pt>
                <c:pt idx="366">
                  <c:v>0.66226836295392322</c:v>
                </c:pt>
                <c:pt idx="367">
                  <c:v>0.66253921432676943</c:v>
                </c:pt>
                <c:pt idx="368">
                  <c:v>0.6626745585465782</c:v>
                </c:pt>
                <c:pt idx="369">
                  <c:v>0.6626745585465782</c:v>
                </c:pt>
                <c:pt idx="370">
                  <c:v>0.6626745585465782</c:v>
                </c:pt>
                <c:pt idx="371">
                  <c:v>0.66308026560087496</c:v>
                </c:pt>
                <c:pt idx="372">
                  <c:v>0.66308026560087496</c:v>
                </c:pt>
                <c:pt idx="373">
                  <c:v>0.66362044940683718</c:v>
                </c:pt>
                <c:pt idx="374">
                  <c:v>0.66375535997946522</c:v>
                </c:pt>
                <c:pt idx="375">
                  <c:v>0.66375535997946522</c:v>
                </c:pt>
                <c:pt idx="376">
                  <c:v>0.66389021644398061</c:v>
                </c:pt>
                <c:pt idx="377">
                  <c:v>0.66429446140581716</c:v>
                </c:pt>
                <c:pt idx="378">
                  <c:v>0.66442910165480451</c:v>
                </c:pt>
                <c:pt idx="379">
                  <c:v>0.66442910165480451</c:v>
                </c:pt>
                <c:pt idx="380">
                  <c:v>0.66456368790409703</c:v>
                </c:pt>
                <c:pt idx="381">
                  <c:v>0.66456368790409703</c:v>
                </c:pt>
                <c:pt idx="382">
                  <c:v>0.66456368790409703</c:v>
                </c:pt>
                <c:pt idx="383">
                  <c:v>0.66456368790409703</c:v>
                </c:pt>
                <c:pt idx="384">
                  <c:v>0.66469822017535229</c:v>
                </c:pt>
                <c:pt idx="385">
                  <c:v>0.66483269849021887</c:v>
                </c:pt>
                <c:pt idx="386">
                  <c:v>0.66496712287033688</c:v>
                </c:pt>
                <c:pt idx="387">
                  <c:v>0.66496712287033688</c:v>
                </c:pt>
                <c:pt idx="388">
                  <c:v>0.66523580991284459</c:v>
                </c:pt>
                <c:pt idx="389">
                  <c:v>0.66630840501497057</c:v>
                </c:pt>
                <c:pt idx="390">
                  <c:v>0.66684341314121776</c:v>
                </c:pt>
                <c:pt idx="391">
                  <c:v>0.66724410624308306</c:v>
                </c:pt>
                <c:pt idx="392">
                  <c:v>0.668177183680841</c:v>
                </c:pt>
                <c:pt idx="393">
                  <c:v>0.66857627263415953</c:v>
                </c:pt>
                <c:pt idx="394">
                  <c:v>0.66950561455760749</c:v>
                </c:pt>
                <c:pt idx="395">
                  <c:v>0.66950561455760749</c:v>
                </c:pt>
                <c:pt idx="396">
                  <c:v>0.66977066185610146</c:v>
                </c:pt>
                <c:pt idx="397">
                  <c:v>0.66977066185610146</c:v>
                </c:pt>
                <c:pt idx="398">
                  <c:v>0.67043235052276307</c:v>
                </c:pt>
                <c:pt idx="399">
                  <c:v>0.67056452906997921</c:v>
                </c:pt>
                <c:pt idx="400">
                  <c:v>0.67069665460480676</c:v>
                </c:pt>
                <c:pt idx="401">
                  <c:v>0.67148829574365543</c:v>
                </c:pt>
                <c:pt idx="402">
                  <c:v>0.67175175298702205</c:v>
                </c:pt>
                <c:pt idx="403">
                  <c:v>0.67201499894501227</c:v>
                </c:pt>
                <c:pt idx="404">
                  <c:v>0.67227803378707107</c:v>
                </c:pt>
                <c:pt idx="405">
                  <c:v>0.67240947209254065</c:v>
                </c:pt>
                <c:pt idx="406">
                  <c:v>0.6725408576825076</c:v>
                </c:pt>
                <c:pt idx="407">
                  <c:v>0.6728034708004953</c:v>
                </c:pt>
                <c:pt idx="408">
                  <c:v>0.67372095928029907</c:v>
                </c:pt>
                <c:pt idx="409">
                  <c:v>0.67398262598965086</c:v>
                </c:pt>
                <c:pt idx="410">
                  <c:v>0.6741133806402736</c:v>
                </c:pt>
                <c:pt idx="411">
                  <c:v>0.67476636769423726</c:v>
                </c:pt>
                <c:pt idx="412">
                  <c:v>0.67489680801230922</c:v>
                </c:pt>
                <c:pt idx="413">
                  <c:v>0.6751575317237053</c:v>
                </c:pt>
                <c:pt idx="414">
                  <c:v>0.6758084265863995</c:v>
                </c:pt>
                <c:pt idx="415">
                  <c:v>0.6758084265863995</c:v>
                </c:pt>
                <c:pt idx="416">
                  <c:v>0.67593844896954769</c:v>
                </c:pt>
                <c:pt idx="417">
                  <c:v>0.67632820331690113</c:v>
                </c:pt>
                <c:pt idx="418">
                  <c:v>0.67658777908910284</c:v>
                </c:pt>
                <c:pt idx="419">
                  <c:v>0.67684714668876</c:v>
                </c:pt>
                <c:pt idx="420">
                  <c:v>0.67710630628282131</c:v>
                </c:pt>
                <c:pt idx="421">
                  <c:v>0.67788253869890736</c:v>
                </c:pt>
                <c:pt idx="422">
                  <c:v>0.67801172922514774</c:v>
                </c:pt>
                <c:pt idx="423">
                  <c:v>0.67865690506193799</c:v>
                </c:pt>
                <c:pt idx="424">
                  <c:v>0.67878578501576303</c:v>
                </c:pt>
                <c:pt idx="425">
                  <c:v>0.67904338987584401</c:v>
                </c:pt>
                <c:pt idx="426">
                  <c:v>0.67904338987584401</c:v>
                </c:pt>
                <c:pt idx="427">
                  <c:v>0.67917211482355344</c:v>
                </c:pt>
                <c:pt idx="428">
                  <c:v>0.67917211482355344</c:v>
                </c:pt>
                <c:pt idx="429">
                  <c:v>0.67930078814399719</c:v>
                </c:pt>
                <c:pt idx="430">
                  <c:v>0.67930078814399719</c:v>
                </c:pt>
                <c:pt idx="431">
                  <c:v>0.67994338106164975</c:v>
                </c:pt>
                <c:pt idx="432">
                  <c:v>0.68007174505303458</c:v>
                </c:pt>
                <c:pt idx="433">
                  <c:v>0.68032831860895771</c:v>
                </c:pt>
                <c:pt idx="434">
                  <c:v>0.68045652821478364</c:v>
                </c:pt>
                <c:pt idx="435">
                  <c:v>0.68084084859126981</c:v>
                </c:pt>
                <c:pt idx="436">
                  <c:v>0.68135255683365892</c:v>
                </c:pt>
                <c:pt idx="437">
                  <c:v>0.68135255683365892</c:v>
                </c:pt>
                <c:pt idx="438">
                  <c:v>0.68173579954126262</c:v>
                </c:pt>
                <c:pt idx="439">
                  <c:v>0.68237351336654328</c:v>
                </c:pt>
                <c:pt idx="440">
                  <c:v>0.68250090271324404</c:v>
                </c:pt>
                <c:pt idx="441">
                  <c:v>0.68351817990944164</c:v>
                </c:pt>
                <c:pt idx="442">
                  <c:v>0.68364511016872598</c:v>
                </c:pt>
                <c:pt idx="443">
                  <c:v>0.68440562338175104</c:v>
                </c:pt>
                <c:pt idx="444">
                  <c:v>0.68465872128787919</c:v>
                </c:pt>
                <c:pt idx="445">
                  <c:v>0.68465872128787919</c:v>
                </c:pt>
                <c:pt idx="446">
                  <c:v>0.6851643083304888</c:v>
                </c:pt>
                <c:pt idx="447">
                  <c:v>0.68529057838279128</c:v>
                </c:pt>
                <c:pt idx="448">
                  <c:v>0.6854167977924045</c:v>
                </c:pt>
                <c:pt idx="449">
                  <c:v>0.6864247323681163</c:v>
                </c:pt>
                <c:pt idx="450">
                  <c:v>0.6865504969065479</c:v>
                </c:pt>
                <c:pt idx="451">
                  <c:v>0.68692748796308634</c:v>
                </c:pt>
                <c:pt idx="452">
                  <c:v>0.68742943748942043</c:v>
                </c:pt>
                <c:pt idx="453">
                  <c:v>0.68780537142914833</c:v>
                </c:pt>
                <c:pt idx="454">
                  <c:v>0.68793058223948922</c:v>
                </c:pt>
                <c:pt idx="455">
                  <c:v>0.68805574283196735</c:v>
                </c:pt>
                <c:pt idx="456">
                  <c:v>0.68855588342594476</c:v>
                </c:pt>
                <c:pt idx="457">
                  <c:v>0.68868079323105791</c:v>
                </c:pt>
                <c:pt idx="458">
                  <c:v>0.6888056529390314</c:v>
                </c:pt>
                <c:pt idx="459">
                  <c:v>0.68942920072475133</c:v>
                </c:pt>
                <c:pt idx="460">
                  <c:v>0.68942920072475133</c:v>
                </c:pt>
                <c:pt idx="461">
                  <c:v>0.68955376027154269</c:v>
                </c:pt>
                <c:pt idx="462">
                  <c:v>0.69017580905615583</c:v>
                </c:pt>
                <c:pt idx="463">
                  <c:v>0.69054843988801984</c:v>
                </c:pt>
                <c:pt idx="464">
                  <c:v>0.69067255054546539</c:v>
                </c:pt>
                <c:pt idx="465">
                  <c:v>0.6912923575824228</c:v>
                </c:pt>
                <c:pt idx="466">
                  <c:v>0.69141616987939436</c:v>
                </c:pt>
                <c:pt idx="467">
                  <c:v>0.69166364552235549</c:v>
                </c:pt>
                <c:pt idx="468">
                  <c:v>0.69191092269673882</c:v>
                </c:pt>
                <c:pt idx="469">
                  <c:v>0.69240488227631025</c:v>
                </c:pt>
                <c:pt idx="470">
                  <c:v>0.69277483216384317</c:v>
                </c:pt>
                <c:pt idx="471">
                  <c:v>0.6943728136222771</c:v>
                </c:pt>
                <c:pt idx="472">
                  <c:v>0.69486282604923533</c:v>
                </c:pt>
                <c:pt idx="473">
                  <c:v>0.69608442270742166</c:v>
                </c:pt>
                <c:pt idx="474">
                  <c:v>0.69657169090952287</c:v>
                </c:pt>
                <c:pt idx="475">
                  <c:v>0.69681503196811123</c:v>
                </c:pt>
                <c:pt idx="476">
                  <c:v>0.69742253116359887</c:v>
                </c:pt>
                <c:pt idx="477">
                  <c:v>0.69887556745044832</c:v>
                </c:pt>
                <c:pt idx="478">
                  <c:v>0.69996076367209237</c:v>
                </c:pt>
                <c:pt idx="479">
                  <c:v>0.70044181693217122</c:v>
                </c:pt>
                <c:pt idx="480">
                  <c:v>0.70056195968740664</c:v>
                </c:pt>
                <c:pt idx="481">
                  <c:v>0.70080210066149595</c:v>
                </c:pt>
                <c:pt idx="482">
                  <c:v>0.70140161086914121</c:v>
                </c:pt>
                <c:pt idx="483">
                  <c:v>0.7019999198234026</c:v>
                </c:pt>
                <c:pt idx="484">
                  <c:v>0.70414392283460026</c:v>
                </c:pt>
                <c:pt idx="485">
                  <c:v>0.70485515715741442</c:v>
                </c:pt>
                <c:pt idx="486">
                  <c:v>0.70521013288727508</c:v>
                </c:pt>
                <c:pt idx="487">
                  <c:v>0.70603675017352974</c:v>
                </c:pt>
                <c:pt idx="488">
                  <c:v>0.70650806179731296</c:v>
                </c:pt>
                <c:pt idx="489">
                  <c:v>0.71048382302178026</c:v>
                </c:pt>
                <c:pt idx="490">
                  <c:v>0.71371750742209628</c:v>
                </c:pt>
                <c:pt idx="491">
                  <c:v>0.71680149249044578</c:v>
                </c:pt>
                <c:pt idx="492">
                  <c:v>0.71680149249044578</c:v>
                </c:pt>
                <c:pt idx="493">
                  <c:v>0.71782208702580963</c:v>
                </c:pt>
                <c:pt idx="494">
                  <c:v>0.71940237274972696</c:v>
                </c:pt>
                <c:pt idx="495">
                  <c:v>0.71951491106099952</c:v>
                </c:pt>
                <c:pt idx="496">
                  <c:v>0.72253644345857415</c:v>
                </c:pt>
                <c:pt idx="497">
                  <c:v>0.72397962476389222</c:v>
                </c:pt>
                <c:pt idx="498">
                  <c:v>0.72464317430644276</c:v>
                </c:pt>
                <c:pt idx="499">
                  <c:v>0.72967767469264089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0-4970-8B97-EB26E78F0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rechaza</a:t>
            </a:r>
            <a:r>
              <a:rPr lang="es-EC" baseline="0"/>
              <a:t> hipotesis poa vs pea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expo!$M$5:$M$504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0-4338-987F-DDC9BC3CD2BC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expo!$N$5:$N$504</c:f>
              <c:numCache>
                <c:formatCode>General</c:formatCode>
                <c:ptCount val="500"/>
                <c:pt idx="0">
                  <c:v>0.43675540673019708</c:v>
                </c:pt>
                <c:pt idx="1">
                  <c:v>0.45563689939258911</c:v>
                </c:pt>
                <c:pt idx="2">
                  <c:v>0.4826752477921018</c:v>
                </c:pt>
                <c:pt idx="3">
                  <c:v>0.49436986271635064</c:v>
                </c:pt>
                <c:pt idx="4">
                  <c:v>0.50480788116066955</c:v>
                </c:pt>
                <c:pt idx="5">
                  <c:v>0.50915883969089171</c:v>
                </c:pt>
                <c:pt idx="6">
                  <c:v>0.5128857082811904</c:v>
                </c:pt>
                <c:pt idx="7">
                  <c:v>0.51948435669640525</c:v>
                </c:pt>
                <c:pt idx="8">
                  <c:v>0.51967707542880304</c:v>
                </c:pt>
                <c:pt idx="9">
                  <c:v>0.51967707542880304</c:v>
                </c:pt>
                <c:pt idx="10">
                  <c:v>0.52160001674699541</c:v>
                </c:pt>
                <c:pt idx="11">
                  <c:v>0.52485136573913493</c:v>
                </c:pt>
                <c:pt idx="12">
                  <c:v>0.53185165048875227</c:v>
                </c:pt>
                <c:pt idx="13">
                  <c:v>0.53203940911378189</c:v>
                </c:pt>
                <c:pt idx="14">
                  <c:v>0.53856373459006368</c:v>
                </c:pt>
                <c:pt idx="15">
                  <c:v>0.53985764335710673</c:v>
                </c:pt>
                <c:pt idx="16">
                  <c:v>0.54169979309549166</c:v>
                </c:pt>
                <c:pt idx="17">
                  <c:v>0.5424345863556147</c:v>
                </c:pt>
                <c:pt idx="18">
                  <c:v>0.54261810051948323</c:v>
                </c:pt>
                <c:pt idx="19">
                  <c:v>0.54463190511893633</c:v>
                </c:pt>
                <c:pt idx="20">
                  <c:v>0.54953736892348182</c:v>
                </c:pt>
                <c:pt idx="21">
                  <c:v>0.55043997200355088</c:v>
                </c:pt>
                <c:pt idx="22">
                  <c:v>0.55152070870884273</c:v>
                </c:pt>
                <c:pt idx="23">
                  <c:v>0.55170057873332323</c:v>
                </c:pt>
                <c:pt idx="24">
                  <c:v>0.55652989508056694</c:v>
                </c:pt>
                <c:pt idx="25">
                  <c:v>0.55724091122075559</c:v>
                </c:pt>
                <c:pt idx="26">
                  <c:v>0.55777342511860373</c:v>
                </c:pt>
                <c:pt idx="27">
                  <c:v>0.55777342511860373</c:v>
                </c:pt>
                <c:pt idx="28">
                  <c:v>0.55901346818663211</c:v>
                </c:pt>
                <c:pt idx="29">
                  <c:v>0.55936712711119418</c:v>
                </c:pt>
                <c:pt idx="30">
                  <c:v>0.55936712711119418</c:v>
                </c:pt>
                <c:pt idx="31">
                  <c:v>0.56042640304684943</c:v>
                </c:pt>
                <c:pt idx="32">
                  <c:v>0.56113117191123829</c:v>
                </c:pt>
                <c:pt idx="33">
                  <c:v>0.56113117191123829</c:v>
                </c:pt>
                <c:pt idx="34">
                  <c:v>0.56130718750077579</c:v>
                </c:pt>
                <c:pt idx="35">
                  <c:v>0.56201054420241492</c:v>
                </c:pt>
                <c:pt idx="36">
                  <c:v>0.56306346539632279</c:v>
                </c:pt>
                <c:pt idx="37">
                  <c:v>0.56411385538080094</c:v>
                </c:pt>
                <c:pt idx="38">
                  <c:v>0.56463810307163698</c:v>
                </c:pt>
                <c:pt idx="39">
                  <c:v>0.56533611931242844</c:v>
                </c:pt>
                <c:pt idx="40">
                  <c:v>0.56533611931242844</c:v>
                </c:pt>
                <c:pt idx="41">
                  <c:v>0.56672879619753735</c:v>
                </c:pt>
                <c:pt idx="42">
                  <c:v>0.56707626764377483</c:v>
                </c:pt>
                <c:pt idx="43">
                  <c:v>0.56724989885451116</c:v>
                </c:pt>
                <c:pt idx="44">
                  <c:v>0.56794372760005563</c:v>
                </c:pt>
                <c:pt idx="45">
                  <c:v>0.56967343654268787</c:v>
                </c:pt>
                <c:pt idx="46">
                  <c:v>0.5700185464693267</c:v>
                </c:pt>
                <c:pt idx="47">
                  <c:v>0.571739949010729</c:v>
                </c:pt>
                <c:pt idx="48">
                  <c:v>0.57208340165188543</c:v>
                </c:pt>
                <c:pt idx="49">
                  <c:v>0.57242657885358317</c:v>
                </c:pt>
                <c:pt idx="50">
                  <c:v>0.57311210782200361</c:v>
                </c:pt>
                <c:pt idx="51">
                  <c:v>0.57345446002998479</c:v>
                </c:pt>
                <c:pt idx="52">
                  <c:v>0.57345446002998479</c:v>
                </c:pt>
                <c:pt idx="53">
                  <c:v>0.57447987019284685</c:v>
                </c:pt>
                <c:pt idx="54">
                  <c:v>0.57516210711685101</c:v>
                </c:pt>
                <c:pt idx="55">
                  <c:v>0.57584325020959348</c:v>
                </c:pt>
                <c:pt idx="56">
                  <c:v>0.57584325020959348</c:v>
                </c:pt>
                <c:pt idx="57">
                  <c:v>0.57618341211739543</c:v>
                </c:pt>
                <c:pt idx="58">
                  <c:v>0.57618341211739543</c:v>
                </c:pt>
                <c:pt idx="59">
                  <c:v>0.57652330122481521</c:v>
                </c:pt>
                <c:pt idx="60">
                  <c:v>0.5766931435467566</c:v>
                </c:pt>
                <c:pt idx="61">
                  <c:v>0.57703262386375731</c:v>
                </c:pt>
                <c:pt idx="62">
                  <c:v>0.57720226191344515</c:v>
                </c:pt>
                <c:pt idx="63">
                  <c:v>0.5778801340236055</c:v>
                </c:pt>
                <c:pt idx="64">
                  <c:v>0.57804943216535087</c:v>
                </c:pt>
                <c:pt idx="65">
                  <c:v>0.57855691930061526</c:v>
                </c:pt>
                <c:pt idx="66">
                  <c:v>0.57889490492133566</c:v>
                </c:pt>
                <c:pt idx="67">
                  <c:v>0.57889490492133566</c:v>
                </c:pt>
                <c:pt idx="68">
                  <c:v>0.57906379607245784</c:v>
                </c:pt>
                <c:pt idx="69">
                  <c:v>0.57940137519211521</c:v>
                </c:pt>
                <c:pt idx="70">
                  <c:v>0.5797386835827143</c:v>
                </c:pt>
                <c:pt idx="71">
                  <c:v>0.57990723632247299</c:v>
                </c:pt>
                <c:pt idx="72">
                  <c:v>0.57990723632247299</c:v>
                </c:pt>
                <c:pt idx="73">
                  <c:v>0.58058077154398557</c:v>
                </c:pt>
                <c:pt idx="74">
                  <c:v>0.58192460407894786</c:v>
                </c:pt>
                <c:pt idx="75">
                  <c:v>0.58209228011920033</c:v>
                </c:pt>
                <c:pt idx="76">
                  <c:v>0.58259490485236665</c:v>
                </c:pt>
                <c:pt idx="77">
                  <c:v>0.58276231205742679</c:v>
                </c:pt>
                <c:pt idx="78">
                  <c:v>0.58309692507020472</c:v>
                </c:pt>
                <c:pt idx="79">
                  <c:v>0.58426595876802145</c:v>
                </c:pt>
                <c:pt idx="80">
                  <c:v>0.58443269576931844</c:v>
                </c:pt>
                <c:pt idx="81">
                  <c:v>0.58443269576931844</c:v>
                </c:pt>
                <c:pt idx="82">
                  <c:v>0.58459936589798822</c:v>
                </c:pt>
                <c:pt idx="83">
                  <c:v>0.58493250564471677</c:v>
                </c:pt>
                <c:pt idx="84">
                  <c:v>0.58509897531638377</c:v>
                </c:pt>
                <c:pt idx="85">
                  <c:v>0.58526537822264046</c:v>
                </c:pt>
                <c:pt idx="86">
                  <c:v>0.58609639220960075</c:v>
                </c:pt>
                <c:pt idx="87">
                  <c:v>0.58676000435020881</c:v>
                </c:pt>
                <c:pt idx="88">
                  <c:v>0.58725701513193429</c:v>
                </c:pt>
                <c:pt idx="89">
                  <c:v>0.58725701513193429</c:v>
                </c:pt>
                <c:pt idx="90">
                  <c:v>0.5887444637720084</c:v>
                </c:pt>
                <c:pt idx="91">
                  <c:v>0.58890940459493046</c:v>
                </c:pt>
                <c:pt idx="92">
                  <c:v>0.58956850662947646</c:v>
                </c:pt>
                <c:pt idx="93">
                  <c:v>0.58973311695640496</c:v>
                </c:pt>
                <c:pt idx="94">
                  <c:v>0.59006213957767195</c:v>
                </c:pt>
                <c:pt idx="95">
                  <c:v>0.59039089833195413</c:v>
                </c:pt>
                <c:pt idx="96">
                  <c:v>0.5905551788251121</c:v>
                </c:pt>
                <c:pt idx="97">
                  <c:v>0.59071939343086588</c:v>
                </c:pt>
                <c:pt idx="98">
                  <c:v>0.59088354217564065</c:v>
                </c:pt>
                <c:pt idx="99">
                  <c:v>0.59088354217564065</c:v>
                </c:pt>
                <c:pt idx="100">
                  <c:v>0.59137559350818503</c:v>
                </c:pt>
                <c:pt idx="101">
                  <c:v>0.59137559350818503</c:v>
                </c:pt>
                <c:pt idx="102">
                  <c:v>0.59284819956091206</c:v>
                </c:pt>
                <c:pt idx="103">
                  <c:v>0.59366401966180193</c:v>
                </c:pt>
                <c:pt idx="104">
                  <c:v>0.59366401966180193</c:v>
                </c:pt>
                <c:pt idx="105">
                  <c:v>0.59382698741560902</c:v>
                </c:pt>
                <c:pt idx="106">
                  <c:v>0.59382698741560902</c:v>
                </c:pt>
                <c:pt idx="107">
                  <c:v>0.59398988980850775</c:v>
                </c:pt>
                <c:pt idx="108">
                  <c:v>0.59415272686671217</c:v>
                </c:pt>
                <c:pt idx="109">
                  <c:v>0.59431549861642574</c:v>
                </c:pt>
                <c:pt idx="110">
                  <c:v>0.59431549861642574</c:v>
                </c:pt>
                <c:pt idx="111">
                  <c:v>0.59464084629514247</c:v>
                </c:pt>
                <c:pt idx="112">
                  <c:v>0.59561532464942879</c:v>
                </c:pt>
                <c:pt idx="113">
                  <c:v>0.59593962990384508</c:v>
                </c:pt>
                <c:pt idx="114">
                  <c:v>0.59610168498659266</c:v>
                </c:pt>
                <c:pt idx="115">
                  <c:v>0.59626367507447364</c:v>
                </c:pt>
                <c:pt idx="116">
                  <c:v>0.59739578802170978</c:v>
                </c:pt>
                <c:pt idx="117">
                  <c:v>0.59755725908820212</c:v>
                </c:pt>
                <c:pt idx="118">
                  <c:v>0.59755725908820212</c:v>
                </c:pt>
                <c:pt idx="119">
                  <c:v>0.59788000696524812</c:v>
                </c:pt>
                <c:pt idx="120">
                  <c:v>0.59788000696524812</c:v>
                </c:pt>
                <c:pt idx="121">
                  <c:v>0.59820249600747988</c:v>
                </c:pt>
                <c:pt idx="122">
                  <c:v>0.59820249600747988</c:v>
                </c:pt>
                <c:pt idx="123">
                  <c:v>0.59884669841764704</c:v>
                </c:pt>
                <c:pt idx="124">
                  <c:v>0.59981106595584022</c:v>
                </c:pt>
                <c:pt idx="125">
                  <c:v>0.59997156833523912</c:v>
                </c:pt>
                <c:pt idx="126">
                  <c:v>0.60045268934391949</c:v>
                </c:pt>
                <c:pt idx="127">
                  <c:v>0.6006129343896649</c:v>
                </c:pt>
                <c:pt idx="128">
                  <c:v>0.60141319609993849</c:v>
                </c:pt>
                <c:pt idx="129">
                  <c:v>0.60157305591859078</c:v>
                </c:pt>
                <c:pt idx="130">
                  <c:v>0.60173285162282331</c:v>
                </c:pt>
                <c:pt idx="131">
                  <c:v>0.60221185430609281</c:v>
                </c:pt>
                <c:pt idx="132">
                  <c:v>0.60269028088467602</c:v>
                </c:pt>
                <c:pt idx="133">
                  <c:v>0.60316813205146391</c:v>
                </c:pt>
                <c:pt idx="134">
                  <c:v>0.60364540849851389</c:v>
                </c:pt>
                <c:pt idx="135">
                  <c:v>0.60380437305152812</c:v>
                </c:pt>
                <c:pt idx="136">
                  <c:v>0.60380437305152812</c:v>
                </c:pt>
                <c:pt idx="137">
                  <c:v>0.60412211091705137</c:v>
                </c:pt>
                <c:pt idx="138">
                  <c:v>0.60428088428068993</c:v>
                </c:pt>
                <c:pt idx="139">
                  <c:v>0.60443959396564972</c:v>
                </c:pt>
                <c:pt idx="140">
                  <c:v>0.60475682240167972</c:v>
                </c:pt>
                <c:pt idx="141">
                  <c:v>0.60523218810378454</c:v>
                </c:pt>
                <c:pt idx="142">
                  <c:v>0.6053905162526394</c:v>
                </c:pt>
                <c:pt idx="143">
                  <c:v>0.60554878090137598</c:v>
                </c:pt>
                <c:pt idx="144">
                  <c:v>0.60570698207546214</c:v>
                </c:pt>
                <c:pt idx="145">
                  <c:v>0.60602319410150318</c:v>
                </c:pt>
                <c:pt idx="146">
                  <c:v>0.60602319410150318</c:v>
                </c:pt>
                <c:pt idx="147">
                  <c:v>0.60602319410150318</c:v>
                </c:pt>
                <c:pt idx="148">
                  <c:v>0.60618120500434269</c:v>
                </c:pt>
                <c:pt idx="149">
                  <c:v>0.60633915253430049</c:v>
                </c:pt>
                <c:pt idx="150">
                  <c:v>0.60665485757722881</c:v>
                </c:pt>
                <c:pt idx="151">
                  <c:v>0.60712794048009755</c:v>
                </c:pt>
                <c:pt idx="152">
                  <c:v>0.60712794048009755</c:v>
                </c:pt>
                <c:pt idx="153">
                  <c:v>0.6074430129370475</c:v>
                </c:pt>
                <c:pt idx="154">
                  <c:v>0.60807240001556617</c:v>
                </c:pt>
                <c:pt idx="155">
                  <c:v>0.60822958905053981</c:v>
                </c:pt>
                <c:pt idx="156">
                  <c:v>0.60838671504225572</c:v>
                </c:pt>
                <c:pt idx="157">
                  <c:v>0.60854377801599835</c:v>
                </c:pt>
                <c:pt idx="158">
                  <c:v>0.60854377801599835</c:v>
                </c:pt>
                <c:pt idx="159">
                  <c:v>0.60870077799704236</c:v>
                </c:pt>
                <c:pt idx="160">
                  <c:v>0.60870077799704236</c:v>
                </c:pt>
                <c:pt idx="161">
                  <c:v>0.60870077799704236</c:v>
                </c:pt>
                <c:pt idx="162">
                  <c:v>0.60885771501065156</c:v>
                </c:pt>
                <c:pt idx="163">
                  <c:v>0.60932814849936257</c:v>
                </c:pt>
                <c:pt idx="164">
                  <c:v>0.60932814849936257</c:v>
                </c:pt>
                <c:pt idx="165">
                  <c:v>0.60932814849936257</c:v>
                </c:pt>
                <c:pt idx="166">
                  <c:v>0.60948483389567354</c:v>
                </c:pt>
                <c:pt idx="167">
                  <c:v>0.60964145645071932</c:v>
                </c:pt>
                <c:pt idx="168">
                  <c:v>0.60979801618970364</c:v>
                </c:pt>
                <c:pt idx="169">
                  <c:v>0.60995451313781945</c:v>
                </c:pt>
                <c:pt idx="170">
                  <c:v>0.61026731876216989</c:v>
                </c:pt>
                <c:pt idx="171">
                  <c:v>0.6107360568964384</c:v>
                </c:pt>
                <c:pt idx="172">
                  <c:v>0.61089217762784109</c:v>
                </c:pt>
                <c:pt idx="173">
                  <c:v>0.61120423127136847</c:v>
                </c:pt>
                <c:pt idx="174">
                  <c:v>0.61136016423370831</c:v>
                </c:pt>
                <c:pt idx="175">
                  <c:v>0.61151603465655902</c:v>
                </c:pt>
                <c:pt idx="176">
                  <c:v>0.61182758798411307</c:v>
                </c:pt>
                <c:pt idx="177">
                  <c:v>0.61182758798411307</c:v>
                </c:pt>
                <c:pt idx="178">
                  <c:v>0.61276074962554472</c:v>
                </c:pt>
                <c:pt idx="179">
                  <c:v>0.61291605832049945</c:v>
                </c:pt>
                <c:pt idx="180">
                  <c:v>0.61353667045892513</c:v>
                </c:pt>
                <c:pt idx="181">
                  <c:v>0.61353667045892513</c:v>
                </c:pt>
                <c:pt idx="182">
                  <c:v>0.61400147648821912</c:v>
                </c:pt>
                <c:pt idx="183">
                  <c:v>0.61415628756918039</c:v>
                </c:pt>
                <c:pt idx="184">
                  <c:v>0.61415628756918039</c:v>
                </c:pt>
                <c:pt idx="185">
                  <c:v>0.61462034837442148</c:v>
                </c:pt>
                <c:pt idx="186">
                  <c:v>0.61508385104582763</c:v>
                </c:pt>
                <c:pt idx="187">
                  <c:v>0.61523822802260164</c:v>
                </c:pt>
                <c:pt idx="188">
                  <c:v>0.61539254308394042</c:v>
                </c:pt>
                <c:pt idx="189">
                  <c:v>0.61570098755963021</c:v>
                </c:pt>
                <c:pt idx="190">
                  <c:v>0.61616319052788127</c:v>
                </c:pt>
                <c:pt idx="191">
                  <c:v>0.61647101696577056</c:v>
                </c:pt>
                <c:pt idx="192">
                  <c:v>0.61677859653542422</c:v>
                </c:pt>
                <c:pt idx="193">
                  <c:v>0.61785318379878307</c:v>
                </c:pt>
                <c:pt idx="194">
                  <c:v>0.61785318379878307</c:v>
                </c:pt>
                <c:pt idx="195">
                  <c:v>0.61815965490910663</c:v>
                </c:pt>
                <c:pt idx="196">
                  <c:v>0.61846588023812954</c:v>
                </c:pt>
                <c:pt idx="197">
                  <c:v>0.61861890079625637</c:v>
                </c:pt>
                <c:pt idx="198">
                  <c:v>0.61907759434055509</c:v>
                </c:pt>
                <c:pt idx="199">
                  <c:v>0.61907759434055509</c:v>
                </c:pt>
                <c:pt idx="200">
                  <c:v>0.61953573620631497</c:v>
                </c:pt>
                <c:pt idx="201">
                  <c:v>0.62045036755547234</c:v>
                </c:pt>
                <c:pt idx="202">
                  <c:v>0.62060259220219538</c:v>
                </c:pt>
                <c:pt idx="203">
                  <c:v>0.62090685836350334</c:v>
                </c:pt>
                <c:pt idx="204">
                  <c:v>0.62121088051181861</c:v>
                </c:pt>
                <c:pt idx="205">
                  <c:v>0.62136280014226386</c:v>
                </c:pt>
                <c:pt idx="206">
                  <c:v>0.62166645663796283</c:v>
                </c:pt>
                <c:pt idx="207">
                  <c:v>0.62196986960960388</c:v>
                </c:pt>
                <c:pt idx="208">
                  <c:v>0.6221214848349399</c:v>
                </c:pt>
                <c:pt idx="209">
                  <c:v>0.62227303925248656</c:v>
                </c:pt>
                <c:pt idx="210">
                  <c:v>0.62227303925248656</c:v>
                </c:pt>
                <c:pt idx="211">
                  <c:v>0.62287864933239179</c:v>
                </c:pt>
                <c:pt idx="212">
                  <c:v>0.62302990007661552</c:v>
                </c:pt>
                <c:pt idx="213">
                  <c:v>0.62318109015923084</c:v>
                </c:pt>
                <c:pt idx="214">
                  <c:v>0.62318109015923084</c:v>
                </c:pt>
                <c:pt idx="215">
                  <c:v>0.62348328843694456</c:v>
                </c:pt>
                <c:pt idx="216">
                  <c:v>0.62378524436005067</c:v>
                </c:pt>
                <c:pt idx="217">
                  <c:v>0.62378524436005067</c:v>
                </c:pt>
                <c:pt idx="218">
                  <c:v>0.62438842991973043</c:v>
                </c:pt>
                <c:pt idx="219">
                  <c:v>0.62499064839129392</c:v>
                </c:pt>
                <c:pt idx="220">
                  <c:v>0.62499064839129392</c:v>
                </c:pt>
                <c:pt idx="221">
                  <c:v>0.62529139545367074</c:v>
                </c:pt>
                <c:pt idx="222">
                  <c:v>0.62589216619953292</c:v>
                </c:pt>
                <c:pt idx="223">
                  <c:v>0.62589216619953292</c:v>
                </c:pt>
                <c:pt idx="224">
                  <c:v>0.62604220832306168</c:v>
                </c:pt>
                <c:pt idx="225">
                  <c:v>0.62634211206364132</c:v>
                </c:pt>
                <c:pt idx="226">
                  <c:v>0.62649197372895249</c:v>
                </c:pt>
                <c:pt idx="227">
                  <c:v>0.62679151677019485</c:v>
                </c:pt>
                <c:pt idx="228">
                  <c:v>0.62724038097005275</c:v>
                </c:pt>
                <c:pt idx="229">
                  <c:v>0.62724038097005275</c:v>
                </c:pt>
                <c:pt idx="230">
                  <c:v>0.62768870531329179</c:v>
                </c:pt>
                <c:pt idx="231">
                  <c:v>0.6278380269051469</c:v>
                </c:pt>
                <c:pt idx="232">
                  <c:v>0.6278380269051469</c:v>
                </c:pt>
                <c:pt idx="233">
                  <c:v>0.62813649044920661</c:v>
                </c:pt>
                <c:pt idx="234">
                  <c:v>0.62843471463381106</c:v>
                </c:pt>
                <c:pt idx="235">
                  <c:v>0.6285837370263111</c:v>
                </c:pt>
                <c:pt idx="236">
                  <c:v>0.62873269965091994</c:v>
                </c:pt>
                <c:pt idx="237">
                  <c:v>0.62917922915706193</c:v>
                </c:pt>
                <c:pt idx="238">
                  <c:v>0.62932795294971999</c:v>
                </c:pt>
                <c:pt idx="239">
                  <c:v>0.62932795294971999</c:v>
                </c:pt>
                <c:pt idx="240">
                  <c:v>0.62947661709424529</c:v>
                </c:pt>
                <c:pt idx="241">
                  <c:v>0.62947661709424529</c:v>
                </c:pt>
                <c:pt idx="242">
                  <c:v>0.62962522161456103</c:v>
                </c:pt>
                <c:pt idx="243">
                  <c:v>0.62977376653458017</c:v>
                </c:pt>
                <c:pt idx="244">
                  <c:v>0.63021904393184802</c:v>
                </c:pt>
                <c:pt idx="245">
                  <c:v>0.63021904393184802</c:v>
                </c:pt>
                <c:pt idx="246">
                  <c:v>0.63036735068962257</c:v>
                </c:pt>
                <c:pt idx="247">
                  <c:v>0.63036735068962257</c:v>
                </c:pt>
                <c:pt idx="248">
                  <c:v>0.63066378578640558</c:v>
                </c:pt>
                <c:pt idx="249">
                  <c:v>0.63081191417311633</c:v>
                </c:pt>
                <c:pt idx="250">
                  <c:v>0.63081191417311633</c:v>
                </c:pt>
                <c:pt idx="251">
                  <c:v>0.63081191417311633</c:v>
                </c:pt>
                <c:pt idx="252">
                  <c:v>0.63155166544304031</c:v>
                </c:pt>
                <c:pt idx="253">
                  <c:v>0.63184715075235409</c:v>
                </c:pt>
                <c:pt idx="254">
                  <c:v>0.63228993445510617</c:v>
                </c:pt>
                <c:pt idx="255">
                  <c:v>0.63243741064804437</c:v>
                </c:pt>
                <c:pt idx="256">
                  <c:v>0.63258482769322044</c:v>
                </c:pt>
                <c:pt idx="257">
                  <c:v>0.63273218561435662</c:v>
                </c:pt>
                <c:pt idx="258">
                  <c:v>0.63317390487060488</c:v>
                </c:pt>
                <c:pt idx="259">
                  <c:v>0.63317390487060488</c:v>
                </c:pt>
                <c:pt idx="260">
                  <c:v>0.63361509286357953</c:v>
                </c:pt>
                <c:pt idx="261">
                  <c:v>0.63449587761477722</c:v>
                </c:pt>
                <c:pt idx="262">
                  <c:v>0.63478900174787545</c:v>
                </c:pt>
                <c:pt idx="263">
                  <c:v>0.63478900174787545</c:v>
                </c:pt>
                <c:pt idx="264">
                  <c:v>0.63508189080357735</c:v>
                </c:pt>
                <c:pt idx="265">
                  <c:v>0.63508189080357735</c:v>
                </c:pt>
                <c:pt idx="266">
                  <c:v>0.63595914939080522</c:v>
                </c:pt>
                <c:pt idx="267">
                  <c:v>0.63610515398451206</c:v>
                </c:pt>
                <c:pt idx="268">
                  <c:v>0.6362511000206662</c:v>
                </c:pt>
                <c:pt idx="269">
                  <c:v>0.6362511000206662</c:v>
                </c:pt>
                <c:pt idx="270">
                  <c:v>0.63639698752275264</c:v>
                </c:pt>
                <c:pt idx="271">
                  <c:v>0.63697995265980401</c:v>
                </c:pt>
                <c:pt idx="272">
                  <c:v>0.63712554784350561</c:v>
                </c:pt>
                <c:pt idx="273">
                  <c:v>0.63727108463385518</c:v>
                </c:pt>
                <c:pt idx="274">
                  <c:v>0.63727108463385518</c:v>
                </c:pt>
                <c:pt idx="275">
                  <c:v>0.63727108463385518</c:v>
                </c:pt>
                <c:pt idx="276">
                  <c:v>0.63741656305427186</c:v>
                </c:pt>
                <c:pt idx="277">
                  <c:v>0.63814308042639478</c:v>
                </c:pt>
                <c:pt idx="278">
                  <c:v>0.63843327960435037</c:v>
                </c:pt>
                <c:pt idx="279">
                  <c:v>0.63872324605064246</c:v>
                </c:pt>
                <c:pt idx="280">
                  <c:v>0.63944714518982915</c:v>
                </c:pt>
                <c:pt idx="281">
                  <c:v>0.63959175086523168</c:v>
                </c:pt>
                <c:pt idx="282">
                  <c:v>0.64016959383446292</c:v>
                </c:pt>
                <c:pt idx="283">
                  <c:v>0.64045816780506915</c:v>
                </c:pt>
                <c:pt idx="284">
                  <c:v>0.64045816780506915</c:v>
                </c:pt>
                <c:pt idx="285">
                  <c:v>0.64074651034738273</c:v>
                </c:pt>
                <c:pt idx="286">
                  <c:v>0.64074651034738273</c:v>
                </c:pt>
                <c:pt idx="287">
                  <c:v>0.64103462164700287</c:v>
                </c:pt>
                <c:pt idx="288">
                  <c:v>0.64146635542201436</c:v>
                </c:pt>
                <c:pt idx="289">
                  <c:v>0.64161015125981458</c:v>
                </c:pt>
                <c:pt idx="290">
                  <c:v>0.6418975699434607</c:v>
                </c:pt>
                <c:pt idx="291">
                  <c:v>0.6418975699434607</c:v>
                </c:pt>
                <c:pt idx="292">
                  <c:v>0.64218475812532216</c:v>
                </c:pt>
                <c:pt idx="293">
                  <c:v>0.64218475812532216</c:v>
                </c:pt>
                <c:pt idx="294">
                  <c:v>0.64304494150801794</c:v>
                </c:pt>
                <c:pt idx="295">
                  <c:v>0.64318810422780492</c:v>
                </c:pt>
                <c:pt idx="296">
                  <c:v>0.64333120952981937</c:v>
                </c:pt>
                <c:pt idx="297">
                  <c:v>0.64333120952981937</c:v>
                </c:pt>
                <c:pt idx="298">
                  <c:v>0.64347425743708975</c:v>
                </c:pt>
                <c:pt idx="299">
                  <c:v>0.64376018115946509</c:v>
                </c:pt>
                <c:pt idx="300">
                  <c:v>0.64376018115946509</c:v>
                </c:pt>
                <c:pt idx="301">
                  <c:v>0.6440458755789733</c:v>
                </c:pt>
                <c:pt idx="302">
                  <c:v>0.64418863685762484</c:v>
                </c:pt>
                <c:pt idx="303">
                  <c:v>0.64447398766758834</c:v>
                </c:pt>
                <c:pt idx="304">
                  <c:v>0.64475910963414429</c:v>
                </c:pt>
                <c:pt idx="305">
                  <c:v>0.64518636390401229</c:v>
                </c:pt>
                <c:pt idx="306">
                  <c:v>0.64518636390401229</c:v>
                </c:pt>
                <c:pt idx="307">
                  <c:v>0.64532866777099096</c:v>
                </c:pt>
                <c:pt idx="308">
                  <c:v>0.64589731273460771</c:v>
                </c:pt>
                <c:pt idx="309">
                  <c:v>0.64603933146381953</c:v>
                </c:pt>
                <c:pt idx="310">
                  <c:v>0.64618129323407514</c:v>
                </c:pt>
                <c:pt idx="311">
                  <c:v>0.64632319806821914</c:v>
                </c:pt>
                <c:pt idx="312">
                  <c:v>0.64646504598908616</c:v>
                </c:pt>
                <c:pt idx="313">
                  <c:v>0.64660683701950261</c:v>
                </c:pt>
                <c:pt idx="314">
                  <c:v>0.64674857118228535</c:v>
                </c:pt>
                <c:pt idx="315">
                  <c:v>0.6468902485002419</c:v>
                </c:pt>
                <c:pt idx="316">
                  <c:v>0.6468902485002419</c:v>
                </c:pt>
                <c:pt idx="317">
                  <c:v>0.64703186899617093</c:v>
                </c:pt>
                <c:pt idx="318">
                  <c:v>0.64703186899617093</c:v>
                </c:pt>
                <c:pt idx="319">
                  <c:v>0.64773911994271205</c:v>
                </c:pt>
                <c:pt idx="320">
                  <c:v>0.64802162336406166</c:v>
                </c:pt>
                <c:pt idx="321">
                  <c:v>0.6481627901034217</c:v>
                </c:pt>
                <c:pt idx="322">
                  <c:v>0.6484449537530943</c:v>
                </c:pt>
                <c:pt idx="323">
                  <c:v>0.64886777499545734</c:v>
                </c:pt>
                <c:pt idx="324">
                  <c:v>0.64900860237173508</c:v>
                </c:pt>
                <c:pt idx="325">
                  <c:v>0.64957134729188337</c:v>
                </c:pt>
                <c:pt idx="326">
                  <c:v>0.65013318996244007</c:v>
                </c:pt>
                <c:pt idx="327">
                  <c:v>0.65041377340626783</c:v>
                </c:pt>
                <c:pt idx="328">
                  <c:v>0.65041377340626783</c:v>
                </c:pt>
                <c:pt idx="329">
                  <c:v>0.65097426541404579</c:v>
                </c:pt>
                <c:pt idx="330">
                  <c:v>0.65125417433877097</c:v>
                </c:pt>
                <c:pt idx="331">
                  <c:v>0.65153385878432912</c:v>
                </c:pt>
                <c:pt idx="332">
                  <c:v>0.65167361688368453</c:v>
                </c:pt>
                <c:pt idx="333">
                  <c:v>0.65209255495790464</c:v>
                </c:pt>
                <c:pt idx="334">
                  <c:v>0.65278966568321284</c:v>
                </c:pt>
                <c:pt idx="335">
                  <c:v>0.65348537959057329</c:v>
                </c:pt>
                <c:pt idx="336">
                  <c:v>0.65376327467162065</c:v>
                </c:pt>
                <c:pt idx="337">
                  <c:v>0.65376327467162065</c:v>
                </c:pt>
                <c:pt idx="338">
                  <c:v>0.65376327467162065</c:v>
                </c:pt>
                <c:pt idx="339">
                  <c:v>0.65390213862692503</c:v>
                </c:pt>
                <c:pt idx="340">
                  <c:v>0.65404094688854753</c:v>
                </c:pt>
                <c:pt idx="341">
                  <c:v>0.65417969947882482</c:v>
                </c:pt>
                <c:pt idx="342">
                  <c:v>0.65528771871008784</c:v>
                </c:pt>
                <c:pt idx="343">
                  <c:v>0.65542597126194102</c:v>
                </c:pt>
                <c:pt idx="344">
                  <c:v>0.6558403963156344</c:v>
                </c:pt>
                <c:pt idx="345">
                  <c:v>0.65652999739881079</c:v>
                </c:pt>
                <c:pt idx="346">
                  <c:v>0.65666775171428504</c:v>
                </c:pt>
                <c:pt idx="347">
                  <c:v>0.65735569500505076</c:v>
                </c:pt>
                <c:pt idx="348">
                  <c:v>0.65776779914712824</c:v>
                </c:pt>
                <c:pt idx="349">
                  <c:v>0.65790505702177415</c:v>
                </c:pt>
                <c:pt idx="350">
                  <c:v>0.65831650043679657</c:v>
                </c:pt>
                <c:pt idx="351">
                  <c:v>0.65845353824573083</c:v>
                </c:pt>
                <c:pt idx="352">
                  <c:v>0.65927461168374424</c:v>
                </c:pt>
                <c:pt idx="353">
                  <c:v>0.65927461168374424</c:v>
                </c:pt>
                <c:pt idx="354">
                  <c:v>0.65941126522634397</c:v>
                </c:pt>
                <c:pt idx="355">
                  <c:v>0.65954786396178422</c:v>
                </c:pt>
                <c:pt idx="356">
                  <c:v>0.65968440791204619</c:v>
                </c:pt>
                <c:pt idx="357">
                  <c:v>0.65968440791204619</c:v>
                </c:pt>
                <c:pt idx="358">
                  <c:v>0.65982089709910241</c:v>
                </c:pt>
                <c:pt idx="359">
                  <c:v>0.66077478988257776</c:v>
                </c:pt>
                <c:pt idx="360">
                  <c:v>0.66131867006046752</c:v>
                </c:pt>
                <c:pt idx="361">
                  <c:v>0.66159028306058154</c:v>
                </c:pt>
                <c:pt idx="362">
                  <c:v>0.66159028306058154</c:v>
                </c:pt>
                <c:pt idx="363">
                  <c:v>0.66159028306058154</c:v>
                </c:pt>
                <c:pt idx="364">
                  <c:v>0.66199729419147424</c:v>
                </c:pt>
                <c:pt idx="365">
                  <c:v>0.66213285575730085</c:v>
                </c:pt>
                <c:pt idx="366">
                  <c:v>0.66226836295392322</c:v>
                </c:pt>
                <c:pt idx="367">
                  <c:v>0.66253921432676943</c:v>
                </c:pt>
                <c:pt idx="368">
                  <c:v>0.6626745585465782</c:v>
                </c:pt>
                <c:pt idx="369">
                  <c:v>0.6626745585465782</c:v>
                </c:pt>
                <c:pt idx="370">
                  <c:v>0.6626745585465782</c:v>
                </c:pt>
                <c:pt idx="371">
                  <c:v>0.66308026560087496</c:v>
                </c:pt>
                <c:pt idx="372">
                  <c:v>0.66308026560087496</c:v>
                </c:pt>
                <c:pt idx="373">
                  <c:v>0.66362044940683718</c:v>
                </c:pt>
                <c:pt idx="374">
                  <c:v>0.66375535997946522</c:v>
                </c:pt>
                <c:pt idx="375">
                  <c:v>0.66375535997946522</c:v>
                </c:pt>
                <c:pt idx="376">
                  <c:v>0.66389021644398061</c:v>
                </c:pt>
                <c:pt idx="377">
                  <c:v>0.66429446140581716</c:v>
                </c:pt>
                <c:pt idx="378">
                  <c:v>0.66442910165480451</c:v>
                </c:pt>
                <c:pt idx="379">
                  <c:v>0.66442910165480451</c:v>
                </c:pt>
                <c:pt idx="380">
                  <c:v>0.66456368790409703</c:v>
                </c:pt>
                <c:pt idx="381">
                  <c:v>0.66456368790409703</c:v>
                </c:pt>
                <c:pt idx="382">
                  <c:v>0.66456368790409703</c:v>
                </c:pt>
                <c:pt idx="383">
                  <c:v>0.66456368790409703</c:v>
                </c:pt>
                <c:pt idx="384">
                  <c:v>0.66469822017535229</c:v>
                </c:pt>
                <c:pt idx="385">
                  <c:v>0.66483269849021887</c:v>
                </c:pt>
                <c:pt idx="386">
                  <c:v>0.66496712287033688</c:v>
                </c:pt>
                <c:pt idx="387">
                  <c:v>0.66496712287033688</c:v>
                </c:pt>
                <c:pt idx="388">
                  <c:v>0.66523580991284459</c:v>
                </c:pt>
                <c:pt idx="389">
                  <c:v>0.66630840501497057</c:v>
                </c:pt>
                <c:pt idx="390">
                  <c:v>0.66684341314121776</c:v>
                </c:pt>
                <c:pt idx="391">
                  <c:v>0.66724410624308306</c:v>
                </c:pt>
                <c:pt idx="392">
                  <c:v>0.668177183680841</c:v>
                </c:pt>
                <c:pt idx="393">
                  <c:v>0.66857627263415953</c:v>
                </c:pt>
                <c:pt idx="394">
                  <c:v>0.66950561455760749</c:v>
                </c:pt>
                <c:pt idx="395">
                  <c:v>0.66950561455760749</c:v>
                </c:pt>
                <c:pt idx="396">
                  <c:v>0.66977066185610146</c:v>
                </c:pt>
                <c:pt idx="397">
                  <c:v>0.66977066185610146</c:v>
                </c:pt>
                <c:pt idx="398">
                  <c:v>0.67043235052276307</c:v>
                </c:pt>
                <c:pt idx="399">
                  <c:v>0.67056452906997921</c:v>
                </c:pt>
                <c:pt idx="400">
                  <c:v>0.67069665460480676</c:v>
                </c:pt>
                <c:pt idx="401">
                  <c:v>0.67148829574365543</c:v>
                </c:pt>
                <c:pt idx="402">
                  <c:v>0.67175175298702205</c:v>
                </c:pt>
                <c:pt idx="403">
                  <c:v>0.67201499894501227</c:v>
                </c:pt>
                <c:pt idx="404">
                  <c:v>0.67227803378707107</c:v>
                </c:pt>
                <c:pt idx="405">
                  <c:v>0.67240947209254065</c:v>
                </c:pt>
                <c:pt idx="406">
                  <c:v>0.6725408576825076</c:v>
                </c:pt>
                <c:pt idx="407">
                  <c:v>0.6728034708004953</c:v>
                </c:pt>
                <c:pt idx="408">
                  <c:v>0.67372095928029907</c:v>
                </c:pt>
                <c:pt idx="409">
                  <c:v>0.67398262598965086</c:v>
                </c:pt>
                <c:pt idx="410">
                  <c:v>0.6741133806402736</c:v>
                </c:pt>
                <c:pt idx="411">
                  <c:v>0.67476636769423726</c:v>
                </c:pt>
                <c:pt idx="412">
                  <c:v>0.67489680801230922</c:v>
                </c:pt>
                <c:pt idx="413">
                  <c:v>0.6751575317237053</c:v>
                </c:pt>
                <c:pt idx="414">
                  <c:v>0.6758084265863995</c:v>
                </c:pt>
                <c:pt idx="415">
                  <c:v>0.6758084265863995</c:v>
                </c:pt>
                <c:pt idx="416">
                  <c:v>0.67593844896954769</c:v>
                </c:pt>
                <c:pt idx="417">
                  <c:v>0.67632820331690113</c:v>
                </c:pt>
                <c:pt idx="418">
                  <c:v>0.67658777908910284</c:v>
                </c:pt>
                <c:pt idx="419">
                  <c:v>0.67684714668876</c:v>
                </c:pt>
                <c:pt idx="420">
                  <c:v>0.67710630628282131</c:v>
                </c:pt>
                <c:pt idx="421">
                  <c:v>0.67788253869890736</c:v>
                </c:pt>
                <c:pt idx="422">
                  <c:v>0.67801172922514774</c:v>
                </c:pt>
                <c:pt idx="423">
                  <c:v>0.67865690506193799</c:v>
                </c:pt>
                <c:pt idx="424">
                  <c:v>0.67878578501576303</c:v>
                </c:pt>
                <c:pt idx="425">
                  <c:v>0.67904338987584401</c:v>
                </c:pt>
                <c:pt idx="426">
                  <c:v>0.67904338987584401</c:v>
                </c:pt>
                <c:pt idx="427">
                  <c:v>0.67917211482355344</c:v>
                </c:pt>
                <c:pt idx="428">
                  <c:v>0.67917211482355344</c:v>
                </c:pt>
                <c:pt idx="429">
                  <c:v>0.67930078814399719</c:v>
                </c:pt>
                <c:pt idx="430">
                  <c:v>0.67930078814399719</c:v>
                </c:pt>
                <c:pt idx="431">
                  <c:v>0.67994338106164975</c:v>
                </c:pt>
                <c:pt idx="432">
                  <c:v>0.68007174505303458</c:v>
                </c:pt>
                <c:pt idx="433">
                  <c:v>0.68032831860895771</c:v>
                </c:pt>
                <c:pt idx="434">
                  <c:v>0.68045652821478364</c:v>
                </c:pt>
                <c:pt idx="435">
                  <c:v>0.68084084859126981</c:v>
                </c:pt>
                <c:pt idx="436">
                  <c:v>0.68135255683365892</c:v>
                </c:pt>
                <c:pt idx="437">
                  <c:v>0.68135255683365892</c:v>
                </c:pt>
                <c:pt idx="438">
                  <c:v>0.68173579954126262</c:v>
                </c:pt>
                <c:pt idx="439">
                  <c:v>0.68237351336654328</c:v>
                </c:pt>
                <c:pt idx="440">
                  <c:v>0.68250090271324404</c:v>
                </c:pt>
                <c:pt idx="441">
                  <c:v>0.68351817990944164</c:v>
                </c:pt>
                <c:pt idx="442">
                  <c:v>0.68364511016872598</c:v>
                </c:pt>
                <c:pt idx="443">
                  <c:v>0.68440562338175104</c:v>
                </c:pt>
                <c:pt idx="444">
                  <c:v>0.68465872128787919</c:v>
                </c:pt>
                <c:pt idx="445">
                  <c:v>0.68465872128787919</c:v>
                </c:pt>
                <c:pt idx="446">
                  <c:v>0.6851643083304888</c:v>
                </c:pt>
                <c:pt idx="447">
                  <c:v>0.68529057838279128</c:v>
                </c:pt>
                <c:pt idx="448">
                  <c:v>0.6854167977924045</c:v>
                </c:pt>
                <c:pt idx="449">
                  <c:v>0.6864247323681163</c:v>
                </c:pt>
                <c:pt idx="450">
                  <c:v>0.6865504969065479</c:v>
                </c:pt>
                <c:pt idx="451">
                  <c:v>0.68692748796308634</c:v>
                </c:pt>
                <c:pt idx="452">
                  <c:v>0.68742943748942043</c:v>
                </c:pt>
                <c:pt idx="453">
                  <c:v>0.68780537142914833</c:v>
                </c:pt>
                <c:pt idx="454">
                  <c:v>0.68793058223948922</c:v>
                </c:pt>
                <c:pt idx="455">
                  <c:v>0.68805574283196735</c:v>
                </c:pt>
                <c:pt idx="456">
                  <c:v>0.68855588342594476</c:v>
                </c:pt>
                <c:pt idx="457">
                  <c:v>0.68868079323105791</c:v>
                </c:pt>
                <c:pt idx="458">
                  <c:v>0.6888056529390314</c:v>
                </c:pt>
                <c:pt idx="459">
                  <c:v>0.68942920072475133</c:v>
                </c:pt>
                <c:pt idx="460">
                  <c:v>0.68942920072475133</c:v>
                </c:pt>
                <c:pt idx="461">
                  <c:v>0.68955376027154269</c:v>
                </c:pt>
                <c:pt idx="462">
                  <c:v>0.69017580905615583</c:v>
                </c:pt>
                <c:pt idx="463">
                  <c:v>0.69054843988801984</c:v>
                </c:pt>
                <c:pt idx="464">
                  <c:v>0.69067255054546539</c:v>
                </c:pt>
                <c:pt idx="465">
                  <c:v>0.6912923575824228</c:v>
                </c:pt>
                <c:pt idx="466">
                  <c:v>0.69141616987939436</c:v>
                </c:pt>
                <c:pt idx="467">
                  <c:v>0.69166364552235549</c:v>
                </c:pt>
                <c:pt idx="468">
                  <c:v>0.69191092269673882</c:v>
                </c:pt>
                <c:pt idx="469">
                  <c:v>0.69240488227631025</c:v>
                </c:pt>
                <c:pt idx="470">
                  <c:v>0.69277483216384317</c:v>
                </c:pt>
                <c:pt idx="471">
                  <c:v>0.6943728136222771</c:v>
                </c:pt>
                <c:pt idx="472">
                  <c:v>0.69486282604923533</c:v>
                </c:pt>
                <c:pt idx="473">
                  <c:v>0.69608442270742166</c:v>
                </c:pt>
                <c:pt idx="474">
                  <c:v>0.69657169090952287</c:v>
                </c:pt>
                <c:pt idx="475">
                  <c:v>0.69681503196811123</c:v>
                </c:pt>
                <c:pt idx="476">
                  <c:v>0.69742253116359887</c:v>
                </c:pt>
                <c:pt idx="477">
                  <c:v>0.69887556745044832</c:v>
                </c:pt>
                <c:pt idx="478">
                  <c:v>0.69996076367209237</c:v>
                </c:pt>
                <c:pt idx="479">
                  <c:v>0.70044181693217122</c:v>
                </c:pt>
                <c:pt idx="480">
                  <c:v>0.70056195968740664</c:v>
                </c:pt>
                <c:pt idx="481">
                  <c:v>0.70080210066149595</c:v>
                </c:pt>
                <c:pt idx="482">
                  <c:v>0.70140161086914121</c:v>
                </c:pt>
                <c:pt idx="483">
                  <c:v>0.7019999198234026</c:v>
                </c:pt>
                <c:pt idx="484">
                  <c:v>0.70414392283460026</c:v>
                </c:pt>
                <c:pt idx="485">
                  <c:v>0.70485515715741442</c:v>
                </c:pt>
                <c:pt idx="486">
                  <c:v>0.70521013288727508</c:v>
                </c:pt>
                <c:pt idx="487">
                  <c:v>0.70603675017352974</c:v>
                </c:pt>
                <c:pt idx="488">
                  <c:v>0.70650806179731296</c:v>
                </c:pt>
                <c:pt idx="489">
                  <c:v>0.71048382302178026</c:v>
                </c:pt>
                <c:pt idx="490">
                  <c:v>0.71371750742209628</c:v>
                </c:pt>
                <c:pt idx="491">
                  <c:v>0.71680149249044578</c:v>
                </c:pt>
                <c:pt idx="492">
                  <c:v>0.71680149249044578</c:v>
                </c:pt>
                <c:pt idx="493">
                  <c:v>0.71782208702580963</c:v>
                </c:pt>
                <c:pt idx="494">
                  <c:v>0.71940237274972696</c:v>
                </c:pt>
                <c:pt idx="495">
                  <c:v>0.71951491106099952</c:v>
                </c:pt>
                <c:pt idx="496">
                  <c:v>0.72253644345857415</c:v>
                </c:pt>
                <c:pt idx="497">
                  <c:v>0.72397962476389222</c:v>
                </c:pt>
                <c:pt idx="498">
                  <c:v>0.72464317430644276</c:v>
                </c:pt>
                <c:pt idx="499">
                  <c:v>0.72967767469264089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30-4338-987F-DDC9BC3CD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68560"/>
        <c:axId val="451268888"/>
        <c:axId val="525172832"/>
      </c:line3DChart>
      <c:catAx>
        <c:axId val="4512685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888"/>
        <c:crosses val="autoZero"/>
        <c:auto val="1"/>
        <c:lblAlgn val="ctr"/>
        <c:lblOffset val="100"/>
        <c:noMultiLvlLbl val="0"/>
      </c:catAx>
      <c:valAx>
        <c:axId val="45126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560"/>
        <c:crosses val="autoZero"/>
        <c:crossBetween val="between"/>
      </c:valAx>
      <c:serAx>
        <c:axId val="525172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888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expo!$U$7:$U$38</c:f>
              <c:strCache>
                <c:ptCount val="32"/>
                <c:pt idx="0">
                  <c:v>0,022046947</c:v>
                </c:pt>
                <c:pt idx="1">
                  <c:v>5,330262425</c:v>
                </c:pt>
                <c:pt idx="2">
                  <c:v>10,6384779</c:v>
                </c:pt>
                <c:pt idx="3">
                  <c:v>15,94669338</c:v>
                </c:pt>
                <c:pt idx="4">
                  <c:v>21,25490886</c:v>
                </c:pt>
                <c:pt idx="5">
                  <c:v>26,56312434</c:v>
                </c:pt>
                <c:pt idx="6">
                  <c:v>31,87133981</c:v>
                </c:pt>
                <c:pt idx="7">
                  <c:v>37,17955529</c:v>
                </c:pt>
                <c:pt idx="8">
                  <c:v>42,48777077</c:v>
                </c:pt>
                <c:pt idx="9">
                  <c:v>47,79598625</c:v>
                </c:pt>
                <c:pt idx="10">
                  <c:v>53,10420172</c:v>
                </c:pt>
                <c:pt idx="11">
                  <c:v>58,4124172</c:v>
                </c:pt>
                <c:pt idx="12">
                  <c:v>63,72063268</c:v>
                </c:pt>
                <c:pt idx="13">
                  <c:v>69,02884816</c:v>
                </c:pt>
                <c:pt idx="14">
                  <c:v>74,33706363</c:v>
                </c:pt>
                <c:pt idx="15">
                  <c:v>79,64527911</c:v>
                </c:pt>
                <c:pt idx="16">
                  <c:v>84,95349459</c:v>
                </c:pt>
                <c:pt idx="17">
                  <c:v>90,26171007</c:v>
                </c:pt>
                <c:pt idx="18">
                  <c:v>95,56992554</c:v>
                </c:pt>
                <c:pt idx="19">
                  <c:v>100,878141</c:v>
                </c:pt>
                <c:pt idx="20">
                  <c:v>106,1863565</c:v>
                </c:pt>
                <c:pt idx="21">
                  <c:v>111,494572</c:v>
                </c:pt>
                <c:pt idx="22">
                  <c:v>116,8027875</c:v>
                </c:pt>
                <c:pt idx="23">
                  <c:v>122,1110029</c:v>
                </c:pt>
                <c:pt idx="24">
                  <c:v>127,4192184</c:v>
                </c:pt>
                <c:pt idx="25">
                  <c:v>132,7274339</c:v>
                </c:pt>
                <c:pt idx="26">
                  <c:v>138,0356494</c:v>
                </c:pt>
                <c:pt idx="27">
                  <c:v>143,3438648</c:v>
                </c:pt>
                <c:pt idx="28">
                  <c:v>148,6520803</c:v>
                </c:pt>
                <c:pt idx="29">
                  <c:v>153,9602958</c:v>
                </c:pt>
                <c:pt idx="30">
                  <c:v>159,2685113</c:v>
                </c:pt>
                <c:pt idx="31">
                  <c:v>y mayor...</c:v>
                </c:pt>
              </c:strCache>
            </c:strRef>
          </c:cat>
          <c:val>
            <c:numRef>
              <c:f>expo!$V$7:$V$38</c:f>
              <c:numCache>
                <c:formatCode>General</c:formatCode>
                <c:ptCount val="32"/>
                <c:pt idx="0">
                  <c:v>1</c:v>
                </c:pt>
                <c:pt idx="1">
                  <c:v>191</c:v>
                </c:pt>
                <c:pt idx="2">
                  <c:v>146</c:v>
                </c:pt>
                <c:pt idx="3">
                  <c:v>125</c:v>
                </c:pt>
                <c:pt idx="4">
                  <c:v>121</c:v>
                </c:pt>
                <c:pt idx="5">
                  <c:v>75</c:v>
                </c:pt>
                <c:pt idx="6">
                  <c:v>73</c:v>
                </c:pt>
                <c:pt idx="7">
                  <c:v>54</c:v>
                </c:pt>
                <c:pt idx="8">
                  <c:v>42</c:v>
                </c:pt>
                <c:pt idx="9">
                  <c:v>22</c:v>
                </c:pt>
                <c:pt idx="10">
                  <c:v>24</c:v>
                </c:pt>
                <c:pt idx="11">
                  <c:v>29</c:v>
                </c:pt>
                <c:pt idx="12">
                  <c:v>19</c:v>
                </c:pt>
                <c:pt idx="13">
                  <c:v>14</c:v>
                </c:pt>
                <c:pt idx="14">
                  <c:v>19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4</c:v>
                </c:pt>
                <c:pt idx="19">
                  <c:v>7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1B-45C1-979D-1C6B89618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218040"/>
        <c:axId val="704169712"/>
      </c:barChart>
      <c:catAx>
        <c:axId val="549218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4169712"/>
        <c:crosses val="autoZero"/>
        <c:auto val="1"/>
        <c:lblAlgn val="ctr"/>
        <c:lblOffset val="100"/>
        <c:noMultiLvlLbl val="0"/>
      </c:catAx>
      <c:valAx>
        <c:axId val="704169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218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triang!$D$23:$D$45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triang!$E$23:$E$45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4-4DB7-A4E3-26E177AC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triang!$M$5:$M$504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1-4DFB-90D0-2227D3D18A59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triang!$N$5:$N$504</c:f>
              <c:numCache>
                <c:formatCode>General</c:formatCode>
                <c:ptCount val="500"/>
                <c:pt idx="0">
                  <c:v>0</c:v>
                </c:pt>
                <c:pt idx="1">
                  <c:v>3.0557952257693395E-3</c:v>
                </c:pt>
                <c:pt idx="2">
                  <c:v>1.9008949567747711E-2</c:v>
                </c:pt>
                <c:pt idx="3">
                  <c:v>3.0604899423099696E-2</c:v>
                </c:pt>
                <c:pt idx="4">
                  <c:v>4.3580926762421951E-2</c:v>
                </c:pt>
                <c:pt idx="5">
                  <c:v>4.975934290886324E-2</c:v>
                </c:pt>
                <c:pt idx="6">
                  <c:v>5.542472381532422E-2</c:v>
                </c:pt>
                <c:pt idx="7">
                  <c:v>6.6324925138303792E-2</c:v>
                </c:pt>
                <c:pt idx="8">
                  <c:v>6.6660322455125307E-2</c:v>
                </c:pt>
                <c:pt idx="9">
                  <c:v>6.6660322455125307E-2</c:v>
                </c:pt>
                <c:pt idx="10">
                  <c:v>7.0060819841310087E-2</c:v>
                </c:pt>
                <c:pt idx="11">
                  <c:v>7.6035798270990912E-2</c:v>
                </c:pt>
                <c:pt idx="12">
                  <c:v>8.988521206584453E-2</c:v>
                </c:pt>
                <c:pt idx="13">
                  <c:v>9.027559254935795E-2</c:v>
                </c:pt>
                <c:pt idx="14">
                  <c:v>0.10447182324180757</c:v>
                </c:pt>
                <c:pt idx="15">
                  <c:v>0.10743541592650871</c:v>
                </c:pt>
                <c:pt idx="16">
                  <c:v>0.11174102082593172</c:v>
                </c:pt>
                <c:pt idx="17">
                  <c:v>0.11348694784212211</c:v>
                </c:pt>
                <c:pt idx="18">
                  <c:v>0.11392554433335025</c:v>
                </c:pt>
                <c:pt idx="19">
                  <c:v>0.11880593479842323</c:v>
                </c:pt>
                <c:pt idx="20">
                  <c:v>0.13121901910030617</c:v>
                </c:pt>
                <c:pt idx="21">
                  <c:v>0.13358541000524454</c:v>
                </c:pt>
                <c:pt idx="22">
                  <c:v>0.1364529936219526</c:v>
                </c:pt>
                <c:pt idx="23">
                  <c:v>0.13693388485679001</c:v>
                </c:pt>
                <c:pt idx="24">
                  <c:v>0.15023769645908405</c:v>
                </c:pt>
                <c:pt idx="25">
                  <c:v>0.1522610769933512</c:v>
                </c:pt>
                <c:pt idx="26">
                  <c:v>0.15378749429020963</c:v>
                </c:pt>
                <c:pt idx="27">
                  <c:v>0.15378749429020963</c:v>
                </c:pt>
                <c:pt idx="28">
                  <c:v>0.15737874097007223</c:v>
                </c:pt>
                <c:pt idx="29">
                  <c:v>0.15841242450388265</c:v>
                </c:pt>
                <c:pt idx="30">
                  <c:v>0.15841242450388265</c:v>
                </c:pt>
                <c:pt idx="31">
                  <c:v>0.1615337765822463</c:v>
                </c:pt>
                <c:pt idx="32">
                  <c:v>0.16363159586526593</c:v>
                </c:pt>
                <c:pt idx="33">
                  <c:v>0.16363159586526593</c:v>
                </c:pt>
                <c:pt idx="34">
                  <c:v>0.16415816542320116</c:v>
                </c:pt>
                <c:pt idx="35">
                  <c:v>0.16627290260366434</c:v>
                </c:pt>
                <c:pt idx="36">
                  <c:v>0.16947038522052482</c:v>
                </c:pt>
                <c:pt idx="37">
                  <c:v>0.17269832005278379</c:v>
                </c:pt>
                <c:pt idx="38">
                  <c:v>0.17432370704968791</c:v>
                </c:pt>
                <c:pt idx="39">
                  <c:v>0.17650273224043714</c:v>
                </c:pt>
                <c:pt idx="40">
                  <c:v>0.17650273224043714</c:v>
                </c:pt>
                <c:pt idx="41">
                  <c:v>0.18090138557580074</c:v>
                </c:pt>
                <c:pt idx="42">
                  <c:v>0.18200950785836342</c:v>
                </c:pt>
                <c:pt idx="43">
                  <c:v>0.18256483784195296</c:v>
                </c:pt>
                <c:pt idx="44">
                  <c:v>0.18479461672503353</c:v>
                </c:pt>
                <c:pt idx="45">
                  <c:v>0.19042827657378741</c:v>
                </c:pt>
                <c:pt idx="46">
                  <c:v>0.1915651592820044</c:v>
                </c:pt>
                <c:pt idx="47">
                  <c:v>0.1973003265154207</c:v>
                </c:pt>
                <c:pt idx="48">
                  <c:v>0.19845751070057013</c:v>
                </c:pt>
                <c:pt idx="49">
                  <c:v>0.19961807846520835</c:v>
                </c:pt>
                <c:pt idx="50">
                  <c:v>0.20194936473295094</c:v>
                </c:pt>
                <c:pt idx="51">
                  <c:v>0.20312008323605535</c:v>
                </c:pt>
                <c:pt idx="52">
                  <c:v>0.20312008323605535</c:v>
                </c:pt>
                <c:pt idx="53">
                  <c:v>0.20665254022230123</c:v>
                </c:pt>
                <c:pt idx="54">
                  <c:v>0.2090244294439087</c:v>
                </c:pt>
                <c:pt idx="55">
                  <c:v>0.21140985298347117</c:v>
                </c:pt>
                <c:pt idx="56">
                  <c:v>0.21140985298347117</c:v>
                </c:pt>
                <c:pt idx="57">
                  <c:v>0.21260764012248551</c:v>
                </c:pt>
                <c:pt idx="58">
                  <c:v>0.21260764012248551</c:v>
                </c:pt>
                <c:pt idx="59">
                  <c:v>0.21380881084098879</c:v>
                </c:pt>
                <c:pt idx="60">
                  <c:v>0.21441066504254849</c:v>
                </c:pt>
                <c:pt idx="61">
                  <c:v>0.21561691113028469</c:v>
                </c:pt>
                <c:pt idx="62">
                  <c:v>0.21622130301646117</c:v>
                </c:pt>
                <c:pt idx="63">
                  <c:v>0.21864732950988852</c:v>
                </c:pt>
                <c:pt idx="64">
                  <c:v>0.21925595087042593</c:v>
                </c:pt>
                <c:pt idx="65">
                  <c:v>0.22108689032127082</c:v>
                </c:pt>
                <c:pt idx="66">
                  <c:v>0.22231174609619508</c:v>
                </c:pt>
                <c:pt idx="67">
                  <c:v>0.22231174609619508</c:v>
                </c:pt>
                <c:pt idx="68">
                  <c:v>0.22292544282596563</c:v>
                </c:pt>
                <c:pt idx="69">
                  <c:v>0.224155373970123</c:v>
                </c:pt>
                <c:pt idx="70">
                  <c:v>0.22538868869376913</c:v>
                </c:pt>
                <c:pt idx="71">
                  <c:v>0.22600661489790058</c:v>
                </c:pt>
                <c:pt idx="72">
                  <c:v>0.22600661489790058</c:v>
                </c:pt>
                <c:pt idx="73">
                  <c:v>0.22848677866314776</c:v>
                </c:pt>
                <c:pt idx="74">
                  <c:v>0.23348770914750705</c:v>
                </c:pt>
                <c:pt idx="75">
                  <c:v>0.23411663198497693</c:v>
                </c:pt>
                <c:pt idx="76">
                  <c:v>0.23600847586661941</c:v>
                </c:pt>
                <c:pt idx="77">
                  <c:v>0.23664078228357777</c:v>
                </c:pt>
                <c:pt idx="78">
                  <c:v>0.23790793280211128</c:v>
                </c:pt>
                <c:pt idx="79">
                  <c:v>0.2423696053054526</c:v>
                </c:pt>
                <c:pt idx="80">
                  <c:v>0.24301037067113304</c:v>
                </c:pt>
                <c:pt idx="81">
                  <c:v>0.24301037067113304</c:v>
                </c:pt>
                <c:pt idx="82">
                  <c:v>0.24365198193168547</c:v>
                </c:pt>
                <c:pt idx="83">
                  <c:v>0.24493774213740729</c:v>
                </c:pt>
                <c:pt idx="84">
                  <c:v>0.24558189108257625</c:v>
                </c:pt>
                <c:pt idx="85">
                  <c:v>0.24622688592261763</c:v>
                </c:pt>
                <c:pt idx="86">
                  <c:v>0.24946454854590663</c:v>
                </c:pt>
                <c:pt idx="87">
                  <c:v>0.25206990475223751</c:v>
                </c:pt>
                <c:pt idx="88">
                  <c:v>0.2540328038031433</c:v>
                </c:pt>
                <c:pt idx="89">
                  <c:v>0.2540328038031433</c:v>
                </c:pt>
                <c:pt idx="90">
                  <c:v>0.25996717927895913</c:v>
                </c:pt>
                <c:pt idx="91">
                  <c:v>0.26063078380618859</c:v>
                </c:pt>
                <c:pt idx="92">
                  <c:v>0.26329366086382783</c:v>
                </c:pt>
                <c:pt idx="93">
                  <c:v>0.2639614948654182</c:v>
                </c:pt>
                <c:pt idx="94">
                  <c:v>0.26529970055321528</c:v>
                </c:pt>
                <c:pt idx="95">
                  <c:v>0.26664128982050112</c:v>
                </c:pt>
                <c:pt idx="96">
                  <c:v>0.26731335329645245</c:v>
                </c:pt>
                <c:pt idx="97">
                  <c:v>0.26798626266727571</c:v>
                </c:pt>
                <c:pt idx="98">
                  <c:v>0.2686600179329714</c:v>
                </c:pt>
                <c:pt idx="99">
                  <c:v>0.2686600179329714</c:v>
                </c:pt>
                <c:pt idx="100">
                  <c:v>0.27068635909929106</c:v>
                </c:pt>
                <c:pt idx="101">
                  <c:v>0.27068635909929106</c:v>
                </c:pt>
                <c:pt idx="102">
                  <c:v>0.27681106092134861</c:v>
                </c:pt>
                <c:pt idx="103">
                  <c:v>0.28024327936524046</c:v>
                </c:pt>
                <c:pt idx="104">
                  <c:v>0.28024327936524046</c:v>
                </c:pt>
                <c:pt idx="105">
                  <c:v>0.28093226073863548</c:v>
                </c:pt>
                <c:pt idx="106">
                  <c:v>0.28093226073863548</c:v>
                </c:pt>
                <c:pt idx="107">
                  <c:v>0.28162208800690242</c:v>
                </c:pt>
                <c:pt idx="108">
                  <c:v>0.28231276117004184</c:v>
                </c:pt>
                <c:pt idx="109">
                  <c:v>0.28300428022805318</c:v>
                </c:pt>
                <c:pt idx="110">
                  <c:v>0.28300428022805318</c:v>
                </c:pt>
                <c:pt idx="111">
                  <c:v>0.28438985602869293</c:v>
                </c:pt>
                <c:pt idx="112">
                  <c:v>0.28856688490754373</c:v>
                </c:pt>
                <c:pt idx="113">
                  <c:v>0.28996599502613818</c:v>
                </c:pt>
                <c:pt idx="114">
                  <c:v>0.29066681892774382</c:v>
                </c:pt>
                <c:pt idx="115">
                  <c:v>0.29136848872422133</c:v>
                </c:pt>
                <c:pt idx="116">
                  <c:v>0.29630386235598638</c:v>
                </c:pt>
                <c:pt idx="117">
                  <c:v>0.29701229931144169</c:v>
                </c:pt>
                <c:pt idx="118">
                  <c:v>0.29701229931144169</c:v>
                </c:pt>
                <c:pt idx="119">
                  <c:v>0.29843171090696857</c:v>
                </c:pt>
                <c:pt idx="120">
                  <c:v>0.29843171090696857</c:v>
                </c:pt>
                <c:pt idx="121">
                  <c:v>0.29985450608198422</c:v>
                </c:pt>
                <c:pt idx="122">
                  <c:v>0.29985450608198422</c:v>
                </c:pt>
                <c:pt idx="123">
                  <c:v>0.30271024717048167</c:v>
                </c:pt>
                <c:pt idx="124">
                  <c:v>0.30701923564939337</c:v>
                </c:pt>
                <c:pt idx="125">
                  <c:v>0.30774036102793151</c:v>
                </c:pt>
                <c:pt idx="126">
                  <c:v>0.30990881253277852</c:v>
                </c:pt>
                <c:pt idx="127">
                  <c:v>0.31063332149080508</c:v>
                </c:pt>
                <c:pt idx="128">
                  <c:v>0.31426855470402137</c:v>
                </c:pt>
                <c:pt idx="129">
                  <c:v>0.31499813903128132</c:v>
                </c:pt>
                <c:pt idx="130">
                  <c:v>0.31572856925341314</c:v>
                </c:pt>
                <c:pt idx="131">
                  <c:v>0.31792493528904231</c:v>
                </c:pt>
                <c:pt idx="132">
                  <c:v>0.32012891437852115</c:v>
                </c:pt>
                <c:pt idx="133">
                  <c:v>0.32234050652184942</c:v>
                </c:pt>
                <c:pt idx="134">
                  <c:v>0.32455971171902764</c:v>
                </c:pt>
                <c:pt idx="135">
                  <c:v>0.32530113857449788</c:v>
                </c:pt>
                <c:pt idx="136">
                  <c:v>0.32530113857449788</c:v>
                </c:pt>
                <c:pt idx="137">
                  <c:v>0.32678652997005547</c:v>
                </c:pt>
                <c:pt idx="138">
                  <c:v>0.32753049451014227</c:v>
                </c:pt>
                <c:pt idx="139">
                  <c:v>0.32827530494510149</c:v>
                </c:pt>
                <c:pt idx="140">
                  <c:v>0.32976746349963637</c:v>
                </c:pt>
                <c:pt idx="141">
                  <c:v>0.33201204554298003</c:v>
                </c:pt>
                <c:pt idx="142">
                  <c:v>0.33276193134717219</c:v>
                </c:pt>
                <c:pt idx="143">
                  <c:v>0.33351266304623672</c:v>
                </c:pt>
                <c:pt idx="144">
                  <c:v>0.33426424064017324</c:v>
                </c:pt>
                <c:pt idx="145">
                  <c:v>0.33576993351266299</c:v>
                </c:pt>
                <c:pt idx="146">
                  <c:v>0.33576993351266299</c:v>
                </c:pt>
                <c:pt idx="147">
                  <c:v>0.33576993351266299</c:v>
                </c:pt>
                <c:pt idx="148">
                  <c:v>0.33652404879121628</c:v>
                </c:pt>
                <c:pt idx="149">
                  <c:v>0.3372790099646415</c:v>
                </c:pt>
                <c:pt idx="150">
                  <c:v>0.33879146999610904</c:v>
                </c:pt>
                <c:pt idx="151">
                  <c:v>0.34106650425485113</c:v>
                </c:pt>
                <c:pt idx="152">
                  <c:v>0.34106650425485113</c:v>
                </c:pt>
                <c:pt idx="153">
                  <c:v>0.34258742323504032</c:v>
                </c:pt>
                <c:pt idx="154">
                  <c:v>0.34563941193388503</c:v>
                </c:pt>
                <c:pt idx="155">
                  <c:v>0.34640452384577641</c:v>
                </c:pt>
                <c:pt idx="156">
                  <c:v>0.34717048165254033</c:v>
                </c:pt>
                <c:pt idx="157">
                  <c:v>0.34793728535417612</c:v>
                </c:pt>
                <c:pt idx="158">
                  <c:v>0.34793728535417612</c:v>
                </c:pt>
                <c:pt idx="159">
                  <c:v>0.34870493495068439</c:v>
                </c:pt>
                <c:pt idx="160">
                  <c:v>0.34870493495068439</c:v>
                </c:pt>
                <c:pt idx="161">
                  <c:v>0.34870493495068439</c:v>
                </c:pt>
                <c:pt idx="162">
                  <c:v>0.34947343044206458</c:v>
                </c:pt>
                <c:pt idx="163">
                  <c:v>0.35178399228543883</c:v>
                </c:pt>
                <c:pt idx="164">
                  <c:v>0.35178399228543883</c:v>
                </c:pt>
                <c:pt idx="165">
                  <c:v>0.35178399228543883</c:v>
                </c:pt>
                <c:pt idx="166">
                  <c:v>0.35255587135630795</c:v>
                </c:pt>
                <c:pt idx="167">
                  <c:v>0.3533285963220491</c:v>
                </c:pt>
                <c:pt idx="168">
                  <c:v>0.35410216718266269</c:v>
                </c:pt>
                <c:pt idx="169">
                  <c:v>0.35487658393814808</c:v>
                </c:pt>
                <c:pt idx="170">
                  <c:v>0.35642795513373587</c:v>
                </c:pt>
                <c:pt idx="171">
                  <c:v>0.35876135613865912</c:v>
                </c:pt>
                <c:pt idx="172">
                  <c:v>0.35954084826337795</c:v>
                </c:pt>
                <c:pt idx="173">
                  <c:v>0.36110237019743197</c:v>
                </c:pt>
                <c:pt idx="174">
                  <c:v>0.36188440000676714</c:v>
                </c:pt>
                <c:pt idx="175">
                  <c:v>0.36266727571097468</c:v>
                </c:pt>
                <c:pt idx="176">
                  <c:v>0.36423556480400621</c:v>
                </c:pt>
                <c:pt idx="177">
                  <c:v>0.36423556480400621</c:v>
                </c:pt>
                <c:pt idx="178">
                  <c:v>0.36896073356003306</c:v>
                </c:pt>
                <c:pt idx="179">
                  <c:v>0.36975122231809038</c:v>
                </c:pt>
                <c:pt idx="180">
                  <c:v>0.37292163629904074</c:v>
                </c:pt>
                <c:pt idx="181">
                  <c:v>0.37292163629904074</c:v>
                </c:pt>
                <c:pt idx="182">
                  <c:v>0.37530832868091163</c:v>
                </c:pt>
                <c:pt idx="183">
                  <c:v>0.37610558459794607</c:v>
                </c:pt>
                <c:pt idx="184">
                  <c:v>0.37610558459794607</c:v>
                </c:pt>
                <c:pt idx="185">
                  <c:v>0.37850242771828313</c:v>
                </c:pt>
                <c:pt idx="186">
                  <c:v>0.38090688389246996</c:v>
                </c:pt>
                <c:pt idx="187">
                  <c:v>0.38171006107360972</c:v>
                </c:pt>
                <c:pt idx="188">
                  <c:v>0.38251408414962196</c:v>
                </c:pt>
                <c:pt idx="189">
                  <c:v>0.38412466798626271</c:v>
                </c:pt>
                <c:pt idx="190">
                  <c:v>0.38654688795276532</c:v>
                </c:pt>
                <c:pt idx="191">
                  <c:v>0.38816593073812794</c:v>
                </c:pt>
                <c:pt idx="192">
                  <c:v>0.38978835710297932</c:v>
                </c:pt>
                <c:pt idx="193">
                  <c:v>0.39549349506843295</c:v>
                </c:pt>
                <c:pt idx="194">
                  <c:v>0.39549349506843295</c:v>
                </c:pt>
                <c:pt idx="195">
                  <c:v>0.39713114754098366</c:v>
                </c:pt>
                <c:pt idx="196">
                  <c:v>0.39877218359302308</c:v>
                </c:pt>
                <c:pt idx="197">
                  <c:v>0.3995939704613512</c:v>
                </c:pt>
                <c:pt idx="198">
                  <c:v>0.40206440643556818</c:v>
                </c:pt>
                <c:pt idx="199">
                  <c:v>0.40206440643556818</c:v>
                </c:pt>
                <c:pt idx="200">
                  <c:v>0.40454245546363499</c:v>
                </c:pt>
                <c:pt idx="201">
                  <c:v>0.40952139268131749</c:v>
                </c:pt>
                <c:pt idx="202">
                  <c:v>0.41035417618298403</c:v>
                </c:pt>
                <c:pt idx="203">
                  <c:v>0.4120222808709334</c:v>
                </c:pt>
                <c:pt idx="204">
                  <c:v>0.41369376913837147</c:v>
                </c:pt>
                <c:pt idx="205">
                  <c:v>0.41453078211439892</c:v>
                </c:pt>
                <c:pt idx="206">
                  <c:v>0.41620734575107016</c:v>
                </c:pt>
                <c:pt idx="207">
                  <c:v>0.4178872929672301</c:v>
                </c:pt>
                <c:pt idx="208">
                  <c:v>0.41872853541761851</c:v>
                </c:pt>
                <c:pt idx="209">
                  <c:v>0.41957062376287879</c:v>
                </c:pt>
                <c:pt idx="210">
                  <c:v>0.41957062376287879</c:v>
                </c:pt>
                <c:pt idx="211">
                  <c:v>0.42294743609264235</c:v>
                </c:pt>
                <c:pt idx="212">
                  <c:v>0.42379375391226382</c:v>
                </c:pt>
                <c:pt idx="213">
                  <c:v>0.42464091762675726</c:v>
                </c:pt>
                <c:pt idx="214">
                  <c:v>0.42464091762675726</c:v>
                </c:pt>
                <c:pt idx="215">
                  <c:v>0.42633778274036122</c:v>
                </c:pt>
                <c:pt idx="216">
                  <c:v>0.42803803143345359</c:v>
                </c:pt>
                <c:pt idx="217">
                  <c:v>0.42803803143345359</c:v>
                </c:pt>
                <c:pt idx="218">
                  <c:v>0.43144867955810456</c:v>
                </c:pt>
                <c:pt idx="219">
                  <c:v>0.43487286200071057</c:v>
                </c:pt>
                <c:pt idx="220">
                  <c:v>0.43487286200071057</c:v>
                </c:pt>
                <c:pt idx="221">
                  <c:v>0.43659002859124663</c:v>
                </c:pt>
                <c:pt idx="222">
                  <c:v>0.44003451251078535</c:v>
                </c:pt>
                <c:pt idx="223">
                  <c:v>0.44003451251078535</c:v>
                </c:pt>
                <c:pt idx="224">
                  <c:v>0.44089774822785022</c:v>
                </c:pt>
                <c:pt idx="225">
                  <c:v>0.44262675734659696</c:v>
                </c:pt>
                <c:pt idx="226">
                  <c:v>0.44349253074827871</c:v>
                </c:pt>
                <c:pt idx="227">
                  <c:v>0.44522661523625856</c:v>
                </c:pt>
                <c:pt idx="228">
                  <c:v>0.44783408617976977</c:v>
                </c:pt>
                <c:pt idx="229">
                  <c:v>0.44783408617976977</c:v>
                </c:pt>
                <c:pt idx="230">
                  <c:v>0.45044917017713032</c:v>
                </c:pt>
                <c:pt idx="231">
                  <c:v>0.4513225566326618</c:v>
                </c:pt>
                <c:pt idx="232">
                  <c:v>0.4513225566326618</c:v>
                </c:pt>
                <c:pt idx="233">
                  <c:v>0.45307186722834092</c:v>
                </c:pt>
                <c:pt idx="234">
                  <c:v>0.4548245614035088</c:v>
                </c:pt>
                <c:pt idx="235">
                  <c:v>0.45570217733340118</c:v>
                </c:pt>
                <c:pt idx="236">
                  <c:v>0.45658063915816538</c:v>
                </c:pt>
                <c:pt idx="237">
                  <c:v>0.45922110000169186</c:v>
                </c:pt>
                <c:pt idx="238">
                  <c:v>0.46010294540594482</c:v>
                </c:pt>
                <c:pt idx="239">
                  <c:v>0.46010294540594482</c:v>
                </c:pt>
                <c:pt idx="240">
                  <c:v>0.46098563670507031</c:v>
                </c:pt>
                <c:pt idx="241">
                  <c:v>0.46098563670507031</c:v>
                </c:pt>
                <c:pt idx="242">
                  <c:v>0.46186917389906806</c:v>
                </c:pt>
                <c:pt idx="243">
                  <c:v>0.46275355698793752</c:v>
                </c:pt>
                <c:pt idx="244">
                  <c:v>0.46541178162377994</c:v>
                </c:pt>
                <c:pt idx="245">
                  <c:v>0.46541178162377994</c:v>
                </c:pt>
                <c:pt idx="246">
                  <c:v>0.46629954829213816</c:v>
                </c:pt>
                <c:pt idx="247">
                  <c:v>0.46629954829213816</c:v>
                </c:pt>
                <c:pt idx="248">
                  <c:v>0.46807761931347164</c:v>
                </c:pt>
                <c:pt idx="249">
                  <c:v>0.46896792366644674</c:v>
                </c:pt>
                <c:pt idx="250">
                  <c:v>0.46896792366644674</c:v>
                </c:pt>
                <c:pt idx="251">
                  <c:v>0.46896792366644674</c:v>
                </c:pt>
                <c:pt idx="252">
                  <c:v>0.47343213385440469</c:v>
                </c:pt>
                <c:pt idx="253">
                  <c:v>0.4752237391936931</c:v>
                </c:pt>
                <c:pt idx="254">
                  <c:v>0.47791749141416717</c:v>
                </c:pt>
                <c:pt idx="255">
                  <c:v>0.47881710061073612</c:v>
                </c:pt>
                <c:pt idx="256">
                  <c:v>0.4797175557021775</c:v>
                </c:pt>
                <c:pt idx="257">
                  <c:v>0.48061885668849075</c:v>
                </c:pt>
                <c:pt idx="258">
                  <c:v>0.48332783501666415</c:v>
                </c:pt>
                <c:pt idx="259">
                  <c:v>0.48332783501666415</c:v>
                </c:pt>
                <c:pt idx="260">
                  <c:v>0.48604442639868733</c:v>
                </c:pt>
                <c:pt idx="261">
                  <c:v>0.4915004483242823</c:v>
                </c:pt>
                <c:pt idx="262">
                  <c:v>0.49332588945845807</c:v>
                </c:pt>
                <c:pt idx="263">
                  <c:v>0.49332588945845807</c:v>
                </c:pt>
                <c:pt idx="264">
                  <c:v>0.4951547141721227</c:v>
                </c:pt>
                <c:pt idx="265">
                  <c:v>0.4951547141721227</c:v>
                </c:pt>
                <c:pt idx="266">
                  <c:v>0.5006614897900491</c:v>
                </c:pt>
                <c:pt idx="267">
                  <c:v>0.50158224635842252</c:v>
                </c:pt>
                <c:pt idx="268">
                  <c:v>0.50250384882166854</c:v>
                </c:pt>
                <c:pt idx="269">
                  <c:v>0.50250384882166854</c:v>
                </c:pt>
                <c:pt idx="270">
                  <c:v>0.50342629717978649</c:v>
                </c:pt>
                <c:pt idx="271">
                  <c:v>0.50712454956098074</c:v>
                </c:pt>
                <c:pt idx="272">
                  <c:v>0.50805122739345954</c:v>
                </c:pt>
                <c:pt idx="273">
                  <c:v>0.50897875112081092</c:v>
                </c:pt>
                <c:pt idx="274">
                  <c:v>0.50897875112081092</c:v>
                </c:pt>
                <c:pt idx="275">
                  <c:v>0.50897875112081092</c:v>
                </c:pt>
                <c:pt idx="276">
                  <c:v>0.50990712074303401</c:v>
                </c:pt>
                <c:pt idx="277">
                  <c:v>0.51456165727723358</c:v>
                </c:pt>
                <c:pt idx="278">
                  <c:v>0.51642939315501868</c:v>
                </c:pt>
                <c:pt idx="279">
                  <c:v>0.51830051261229249</c:v>
                </c:pt>
                <c:pt idx="280">
                  <c:v>0.52299311441574048</c:v>
                </c:pt>
                <c:pt idx="281">
                  <c:v>0.52393417246104679</c:v>
                </c:pt>
                <c:pt idx="282">
                  <c:v>0.52770686359099306</c:v>
                </c:pt>
                <c:pt idx="283">
                  <c:v>0.5295982845251993</c:v>
                </c:pt>
                <c:pt idx="284">
                  <c:v>0.5295982845251993</c:v>
                </c:pt>
                <c:pt idx="285">
                  <c:v>0.53149308903889425</c:v>
                </c:pt>
                <c:pt idx="286">
                  <c:v>0.53149308903889425</c:v>
                </c:pt>
                <c:pt idx="287">
                  <c:v>0.53339127713207801</c:v>
                </c:pt>
                <c:pt idx="288">
                  <c:v>0.53624490348339515</c:v>
                </c:pt>
                <c:pt idx="289">
                  <c:v>0.53719780405691164</c:v>
                </c:pt>
                <c:pt idx="290">
                  <c:v>0.53910614288856196</c:v>
                </c:pt>
                <c:pt idx="291">
                  <c:v>0.53910614288856196</c:v>
                </c:pt>
                <c:pt idx="292">
                  <c:v>0.54101786529970075</c:v>
                </c:pt>
                <c:pt idx="293">
                  <c:v>0.54101786529970075</c:v>
                </c:pt>
                <c:pt idx="294">
                  <c:v>0.54677333401004924</c:v>
                </c:pt>
                <c:pt idx="295">
                  <c:v>0.54773553942716013</c:v>
                </c:pt>
                <c:pt idx="296">
                  <c:v>0.54869859073914296</c:v>
                </c:pt>
                <c:pt idx="297">
                  <c:v>0.54869859073914296</c:v>
                </c:pt>
                <c:pt idx="298">
                  <c:v>0.54966248794599826</c:v>
                </c:pt>
                <c:pt idx="299">
                  <c:v>0.55159282004432508</c:v>
                </c:pt>
                <c:pt idx="300">
                  <c:v>0.55159282004432508</c:v>
                </c:pt>
                <c:pt idx="301">
                  <c:v>0.5535265357221405</c:v>
                </c:pt>
                <c:pt idx="302">
                  <c:v>0.55449466240335676</c:v>
                </c:pt>
                <c:pt idx="303">
                  <c:v>0.55643345345040529</c:v>
                </c:pt>
                <c:pt idx="304">
                  <c:v>0.55837562807694274</c:v>
                </c:pt>
                <c:pt idx="305">
                  <c:v>0.56129523422828997</c:v>
                </c:pt>
                <c:pt idx="306">
                  <c:v>0.56129523422828997</c:v>
                </c:pt>
                <c:pt idx="307">
                  <c:v>0.56227012806848375</c:v>
                </c:pt>
                <c:pt idx="308">
                  <c:v>0.56617816237797969</c:v>
                </c:pt>
                <c:pt idx="309">
                  <c:v>0.56715728569253421</c:v>
                </c:pt>
                <c:pt idx="310">
                  <c:v>0.56813725490196065</c:v>
                </c:pt>
                <c:pt idx="311">
                  <c:v>0.5691180700062598</c:v>
                </c:pt>
                <c:pt idx="312">
                  <c:v>0.57009973100543088</c:v>
                </c:pt>
                <c:pt idx="313">
                  <c:v>0.57108223789947388</c:v>
                </c:pt>
                <c:pt idx="314">
                  <c:v>0.57206559068838947</c:v>
                </c:pt>
                <c:pt idx="315">
                  <c:v>0.57304978937217677</c:v>
                </c:pt>
                <c:pt idx="316">
                  <c:v>0.57304978937217677</c:v>
                </c:pt>
                <c:pt idx="317">
                  <c:v>0.57403483395083665</c:v>
                </c:pt>
                <c:pt idx="318">
                  <c:v>0.57403483395083665</c:v>
                </c:pt>
                <c:pt idx="319">
                  <c:v>0.57897274526721842</c:v>
                </c:pt>
                <c:pt idx="320">
                  <c:v>0.58095383105787635</c:v>
                </c:pt>
                <c:pt idx="321">
                  <c:v>0.58194564279551331</c:v>
                </c:pt>
                <c:pt idx="322">
                  <c:v>0.58393180395540445</c:v>
                </c:pt>
                <c:pt idx="323">
                  <c:v>0.58691738990678244</c:v>
                </c:pt>
                <c:pt idx="324">
                  <c:v>0.58791427701365295</c:v>
                </c:pt>
                <c:pt idx="325">
                  <c:v>0.59191028438985616</c:v>
                </c:pt>
                <c:pt idx="326">
                  <c:v>0.59591982608401439</c:v>
                </c:pt>
                <c:pt idx="327">
                  <c:v>0.59792967230032645</c:v>
                </c:pt>
                <c:pt idx="328">
                  <c:v>0.59792967230032645</c:v>
                </c:pt>
                <c:pt idx="329">
                  <c:v>0.60195951547141713</c:v>
                </c:pt>
                <c:pt idx="330">
                  <c:v>0.60397951242619596</c:v>
                </c:pt>
                <c:pt idx="331">
                  <c:v>0.60600289296046306</c:v>
                </c:pt>
                <c:pt idx="332">
                  <c:v>0.60701585206990472</c:v>
                </c:pt>
                <c:pt idx="333">
                  <c:v>0.61005980476746358</c:v>
                </c:pt>
                <c:pt idx="334">
                  <c:v>0.61514997716083863</c:v>
                </c:pt>
                <c:pt idx="335">
                  <c:v>0.62026129692601828</c:v>
                </c:pt>
                <c:pt idx="336">
                  <c:v>0.62231174609619544</c:v>
                </c:pt>
                <c:pt idx="337">
                  <c:v>0.62231174609619544</c:v>
                </c:pt>
                <c:pt idx="338">
                  <c:v>0.62231174609619544</c:v>
                </c:pt>
                <c:pt idx="339">
                  <c:v>0.62333823952359202</c:v>
                </c:pt>
                <c:pt idx="340">
                  <c:v>0.62436557884586119</c:v>
                </c:pt>
                <c:pt idx="341">
                  <c:v>0.62539376406300229</c:v>
                </c:pt>
                <c:pt idx="342">
                  <c:v>0.63364969801553073</c:v>
                </c:pt>
                <c:pt idx="343">
                  <c:v>0.63468549628652138</c:v>
                </c:pt>
                <c:pt idx="344">
                  <c:v>0.63779796646872733</c:v>
                </c:pt>
                <c:pt idx="345">
                  <c:v>0.64300233466984735</c:v>
                </c:pt>
                <c:pt idx="346">
                  <c:v>0.64404574599468767</c:v>
                </c:pt>
                <c:pt idx="347">
                  <c:v>0.64927549104197335</c:v>
                </c:pt>
                <c:pt idx="348">
                  <c:v>0.65242348880881096</c:v>
                </c:pt>
                <c:pt idx="349">
                  <c:v>0.65347451318750094</c:v>
                </c:pt>
                <c:pt idx="350">
                  <c:v>0.65663266169280488</c:v>
                </c:pt>
                <c:pt idx="351">
                  <c:v>0.657687069650984</c:v>
                </c:pt>
                <c:pt idx="352">
                  <c:v>0.66403128119237342</c:v>
                </c:pt>
                <c:pt idx="353">
                  <c:v>0.66403128119237342</c:v>
                </c:pt>
                <c:pt idx="354">
                  <c:v>0.66509161041465792</c:v>
                </c:pt>
                <c:pt idx="355">
                  <c:v>0.66615278553181412</c:v>
                </c:pt>
                <c:pt idx="356">
                  <c:v>0.66721480654384291</c:v>
                </c:pt>
                <c:pt idx="357">
                  <c:v>0.66721480654384291</c:v>
                </c:pt>
                <c:pt idx="358">
                  <c:v>0.66827767345074351</c:v>
                </c:pt>
                <c:pt idx="359">
                  <c:v>0.67574142685547045</c:v>
                </c:pt>
                <c:pt idx="360">
                  <c:v>0.6800250384882166</c:v>
                </c:pt>
                <c:pt idx="361">
                  <c:v>0.68217191967382318</c:v>
                </c:pt>
                <c:pt idx="362">
                  <c:v>0.68217191967382318</c:v>
                </c:pt>
                <c:pt idx="363">
                  <c:v>0.68217191967382318</c:v>
                </c:pt>
                <c:pt idx="364">
                  <c:v>0.68539858566377365</c:v>
                </c:pt>
                <c:pt idx="365">
                  <c:v>0.68647583278350188</c:v>
                </c:pt>
                <c:pt idx="366">
                  <c:v>0.68755392579810171</c:v>
                </c:pt>
                <c:pt idx="367">
                  <c:v>0.68971264951191857</c:v>
                </c:pt>
                <c:pt idx="368">
                  <c:v>0.69079328021113551</c:v>
                </c:pt>
                <c:pt idx="369">
                  <c:v>0.69079328021113551</c:v>
                </c:pt>
                <c:pt idx="370">
                  <c:v>0.69079328021113551</c:v>
                </c:pt>
                <c:pt idx="371">
                  <c:v>0.69404024767801875</c:v>
                </c:pt>
                <c:pt idx="372">
                  <c:v>0.69404024767801875</c:v>
                </c:pt>
                <c:pt idx="373">
                  <c:v>0.69838138016207363</c:v>
                </c:pt>
                <c:pt idx="374">
                  <c:v>0.69946877802026797</c:v>
                </c:pt>
                <c:pt idx="375">
                  <c:v>0.69946877802026797</c:v>
                </c:pt>
                <c:pt idx="376">
                  <c:v>0.70055702177333401</c:v>
                </c:pt>
                <c:pt idx="377">
                  <c:v>0.70382682840176636</c:v>
                </c:pt>
                <c:pt idx="378">
                  <c:v>0.70491845573432133</c:v>
                </c:pt>
                <c:pt idx="379">
                  <c:v>0.70491845573432133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0.70710280943384707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1-4DFB-90D0-2227D3D18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poa vs pea</a:t>
            </a:r>
          </a:p>
          <a:p>
            <a:pPr>
              <a:defRPr/>
            </a:pP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triang!$M$5:$M$504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78-4890-B84B-1BF859E101DD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triang!$N$5:$N$504</c:f>
              <c:numCache>
                <c:formatCode>General</c:formatCode>
                <c:ptCount val="500"/>
                <c:pt idx="0">
                  <c:v>0</c:v>
                </c:pt>
                <c:pt idx="1">
                  <c:v>3.0557952257693395E-3</c:v>
                </c:pt>
                <c:pt idx="2">
                  <c:v>1.9008949567747711E-2</c:v>
                </c:pt>
                <c:pt idx="3">
                  <c:v>3.0604899423099696E-2</c:v>
                </c:pt>
                <c:pt idx="4">
                  <c:v>4.3580926762421951E-2</c:v>
                </c:pt>
                <c:pt idx="5">
                  <c:v>4.975934290886324E-2</c:v>
                </c:pt>
                <c:pt idx="6">
                  <c:v>5.542472381532422E-2</c:v>
                </c:pt>
                <c:pt idx="7">
                  <c:v>6.6324925138303792E-2</c:v>
                </c:pt>
                <c:pt idx="8">
                  <c:v>6.6660322455125307E-2</c:v>
                </c:pt>
                <c:pt idx="9">
                  <c:v>6.6660322455125307E-2</c:v>
                </c:pt>
                <c:pt idx="10">
                  <c:v>7.0060819841310087E-2</c:v>
                </c:pt>
                <c:pt idx="11">
                  <c:v>7.6035798270990912E-2</c:v>
                </c:pt>
                <c:pt idx="12">
                  <c:v>8.988521206584453E-2</c:v>
                </c:pt>
                <c:pt idx="13">
                  <c:v>9.027559254935795E-2</c:v>
                </c:pt>
                <c:pt idx="14">
                  <c:v>0.10447182324180757</c:v>
                </c:pt>
                <c:pt idx="15">
                  <c:v>0.10743541592650871</c:v>
                </c:pt>
                <c:pt idx="16">
                  <c:v>0.11174102082593172</c:v>
                </c:pt>
                <c:pt idx="17">
                  <c:v>0.11348694784212211</c:v>
                </c:pt>
                <c:pt idx="18">
                  <c:v>0.11392554433335025</c:v>
                </c:pt>
                <c:pt idx="19">
                  <c:v>0.11880593479842323</c:v>
                </c:pt>
                <c:pt idx="20">
                  <c:v>0.13121901910030617</c:v>
                </c:pt>
                <c:pt idx="21">
                  <c:v>0.13358541000524454</c:v>
                </c:pt>
                <c:pt idx="22">
                  <c:v>0.1364529936219526</c:v>
                </c:pt>
                <c:pt idx="23">
                  <c:v>0.13693388485679001</c:v>
                </c:pt>
                <c:pt idx="24">
                  <c:v>0.15023769645908405</c:v>
                </c:pt>
                <c:pt idx="25">
                  <c:v>0.1522610769933512</c:v>
                </c:pt>
                <c:pt idx="26">
                  <c:v>0.15378749429020963</c:v>
                </c:pt>
                <c:pt idx="27">
                  <c:v>0.15378749429020963</c:v>
                </c:pt>
                <c:pt idx="28">
                  <c:v>0.15737874097007223</c:v>
                </c:pt>
                <c:pt idx="29">
                  <c:v>0.15841242450388265</c:v>
                </c:pt>
                <c:pt idx="30">
                  <c:v>0.15841242450388265</c:v>
                </c:pt>
                <c:pt idx="31">
                  <c:v>0.1615337765822463</c:v>
                </c:pt>
                <c:pt idx="32">
                  <c:v>0.16363159586526593</c:v>
                </c:pt>
                <c:pt idx="33">
                  <c:v>0.16363159586526593</c:v>
                </c:pt>
                <c:pt idx="34">
                  <c:v>0.16415816542320116</c:v>
                </c:pt>
                <c:pt idx="35">
                  <c:v>0.16627290260366434</c:v>
                </c:pt>
                <c:pt idx="36">
                  <c:v>0.16947038522052482</c:v>
                </c:pt>
                <c:pt idx="37">
                  <c:v>0.17269832005278379</c:v>
                </c:pt>
                <c:pt idx="38">
                  <c:v>0.17432370704968791</c:v>
                </c:pt>
                <c:pt idx="39">
                  <c:v>0.17650273224043714</c:v>
                </c:pt>
                <c:pt idx="40">
                  <c:v>0.17650273224043714</c:v>
                </c:pt>
                <c:pt idx="41">
                  <c:v>0.18090138557580074</c:v>
                </c:pt>
                <c:pt idx="42">
                  <c:v>0.18200950785836342</c:v>
                </c:pt>
                <c:pt idx="43">
                  <c:v>0.18256483784195296</c:v>
                </c:pt>
                <c:pt idx="44">
                  <c:v>0.18479461672503353</c:v>
                </c:pt>
                <c:pt idx="45">
                  <c:v>0.19042827657378741</c:v>
                </c:pt>
                <c:pt idx="46">
                  <c:v>0.1915651592820044</c:v>
                </c:pt>
                <c:pt idx="47">
                  <c:v>0.1973003265154207</c:v>
                </c:pt>
                <c:pt idx="48">
                  <c:v>0.19845751070057013</c:v>
                </c:pt>
                <c:pt idx="49">
                  <c:v>0.19961807846520835</c:v>
                </c:pt>
                <c:pt idx="50">
                  <c:v>0.20194936473295094</c:v>
                </c:pt>
                <c:pt idx="51">
                  <c:v>0.20312008323605535</c:v>
                </c:pt>
                <c:pt idx="52">
                  <c:v>0.20312008323605535</c:v>
                </c:pt>
                <c:pt idx="53">
                  <c:v>0.20665254022230123</c:v>
                </c:pt>
                <c:pt idx="54">
                  <c:v>0.2090244294439087</c:v>
                </c:pt>
                <c:pt idx="55">
                  <c:v>0.21140985298347117</c:v>
                </c:pt>
                <c:pt idx="56">
                  <c:v>0.21140985298347117</c:v>
                </c:pt>
                <c:pt idx="57">
                  <c:v>0.21260764012248551</c:v>
                </c:pt>
                <c:pt idx="58">
                  <c:v>0.21260764012248551</c:v>
                </c:pt>
                <c:pt idx="59">
                  <c:v>0.21380881084098879</c:v>
                </c:pt>
                <c:pt idx="60">
                  <c:v>0.21441066504254849</c:v>
                </c:pt>
                <c:pt idx="61">
                  <c:v>0.21561691113028469</c:v>
                </c:pt>
                <c:pt idx="62">
                  <c:v>0.21622130301646117</c:v>
                </c:pt>
                <c:pt idx="63">
                  <c:v>0.21864732950988852</c:v>
                </c:pt>
                <c:pt idx="64">
                  <c:v>0.21925595087042593</c:v>
                </c:pt>
                <c:pt idx="65">
                  <c:v>0.22108689032127082</c:v>
                </c:pt>
                <c:pt idx="66">
                  <c:v>0.22231174609619508</c:v>
                </c:pt>
                <c:pt idx="67">
                  <c:v>0.22231174609619508</c:v>
                </c:pt>
                <c:pt idx="68">
                  <c:v>0.22292544282596563</c:v>
                </c:pt>
                <c:pt idx="69">
                  <c:v>0.224155373970123</c:v>
                </c:pt>
                <c:pt idx="70">
                  <c:v>0.22538868869376913</c:v>
                </c:pt>
                <c:pt idx="71">
                  <c:v>0.22600661489790058</c:v>
                </c:pt>
                <c:pt idx="72">
                  <c:v>0.22600661489790058</c:v>
                </c:pt>
                <c:pt idx="73">
                  <c:v>0.22848677866314776</c:v>
                </c:pt>
                <c:pt idx="74">
                  <c:v>0.23348770914750705</c:v>
                </c:pt>
                <c:pt idx="75">
                  <c:v>0.23411663198497693</c:v>
                </c:pt>
                <c:pt idx="76">
                  <c:v>0.23600847586661941</c:v>
                </c:pt>
                <c:pt idx="77">
                  <c:v>0.23664078228357777</c:v>
                </c:pt>
                <c:pt idx="78">
                  <c:v>0.23790793280211128</c:v>
                </c:pt>
                <c:pt idx="79">
                  <c:v>0.2423696053054526</c:v>
                </c:pt>
                <c:pt idx="80">
                  <c:v>0.24301037067113304</c:v>
                </c:pt>
                <c:pt idx="81">
                  <c:v>0.24301037067113304</c:v>
                </c:pt>
                <c:pt idx="82">
                  <c:v>0.24365198193168547</c:v>
                </c:pt>
                <c:pt idx="83">
                  <c:v>0.24493774213740729</c:v>
                </c:pt>
                <c:pt idx="84">
                  <c:v>0.24558189108257625</c:v>
                </c:pt>
                <c:pt idx="85">
                  <c:v>0.24622688592261763</c:v>
                </c:pt>
                <c:pt idx="86">
                  <c:v>0.24946454854590663</c:v>
                </c:pt>
                <c:pt idx="87">
                  <c:v>0.25206990475223751</c:v>
                </c:pt>
                <c:pt idx="88">
                  <c:v>0.2540328038031433</c:v>
                </c:pt>
                <c:pt idx="89">
                  <c:v>0.2540328038031433</c:v>
                </c:pt>
                <c:pt idx="90">
                  <c:v>0.25996717927895913</c:v>
                </c:pt>
                <c:pt idx="91">
                  <c:v>0.26063078380618859</c:v>
                </c:pt>
                <c:pt idx="92">
                  <c:v>0.26329366086382783</c:v>
                </c:pt>
                <c:pt idx="93">
                  <c:v>0.2639614948654182</c:v>
                </c:pt>
                <c:pt idx="94">
                  <c:v>0.26529970055321528</c:v>
                </c:pt>
                <c:pt idx="95">
                  <c:v>0.26664128982050112</c:v>
                </c:pt>
                <c:pt idx="96">
                  <c:v>0.26731335329645245</c:v>
                </c:pt>
                <c:pt idx="97">
                  <c:v>0.26798626266727571</c:v>
                </c:pt>
                <c:pt idx="98">
                  <c:v>0.2686600179329714</c:v>
                </c:pt>
                <c:pt idx="99">
                  <c:v>0.2686600179329714</c:v>
                </c:pt>
                <c:pt idx="100">
                  <c:v>0.27068635909929106</c:v>
                </c:pt>
                <c:pt idx="101">
                  <c:v>0.27068635909929106</c:v>
                </c:pt>
                <c:pt idx="102">
                  <c:v>0.27681106092134861</c:v>
                </c:pt>
                <c:pt idx="103">
                  <c:v>0.28024327936524046</c:v>
                </c:pt>
                <c:pt idx="104">
                  <c:v>0.28024327936524046</c:v>
                </c:pt>
                <c:pt idx="105">
                  <c:v>0.28093226073863548</c:v>
                </c:pt>
                <c:pt idx="106">
                  <c:v>0.28093226073863548</c:v>
                </c:pt>
                <c:pt idx="107">
                  <c:v>0.28162208800690242</c:v>
                </c:pt>
                <c:pt idx="108">
                  <c:v>0.28231276117004184</c:v>
                </c:pt>
                <c:pt idx="109">
                  <c:v>0.28300428022805318</c:v>
                </c:pt>
                <c:pt idx="110">
                  <c:v>0.28300428022805318</c:v>
                </c:pt>
                <c:pt idx="111">
                  <c:v>0.28438985602869293</c:v>
                </c:pt>
                <c:pt idx="112">
                  <c:v>0.28856688490754373</c:v>
                </c:pt>
                <c:pt idx="113">
                  <c:v>0.28996599502613818</c:v>
                </c:pt>
                <c:pt idx="114">
                  <c:v>0.29066681892774382</c:v>
                </c:pt>
                <c:pt idx="115">
                  <c:v>0.29136848872422133</c:v>
                </c:pt>
                <c:pt idx="116">
                  <c:v>0.29630386235598638</c:v>
                </c:pt>
                <c:pt idx="117">
                  <c:v>0.29701229931144169</c:v>
                </c:pt>
                <c:pt idx="118">
                  <c:v>0.29701229931144169</c:v>
                </c:pt>
                <c:pt idx="119">
                  <c:v>0.29843171090696857</c:v>
                </c:pt>
                <c:pt idx="120">
                  <c:v>0.29843171090696857</c:v>
                </c:pt>
                <c:pt idx="121">
                  <c:v>0.29985450608198422</c:v>
                </c:pt>
                <c:pt idx="122">
                  <c:v>0.29985450608198422</c:v>
                </c:pt>
                <c:pt idx="123">
                  <c:v>0.30271024717048167</c:v>
                </c:pt>
                <c:pt idx="124">
                  <c:v>0.30701923564939337</c:v>
                </c:pt>
                <c:pt idx="125">
                  <c:v>0.30774036102793151</c:v>
                </c:pt>
                <c:pt idx="126">
                  <c:v>0.30990881253277852</c:v>
                </c:pt>
                <c:pt idx="127">
                  <c:v>0.31063332149080508</c:v>
                </c:pt>
                <c:pt idx="128">
                  <c:v>0.31426855470402137</c:v>
                </c:pt>
                <c:pt idx="129">
                  <c:v>0.31499813903128132</c:v>
                </c:pt>
                <c:pt idx="130">
                  <c:v>0.31572856925341314</c:v>
                </c:pt>
                <c:pt idx="131">
                  <c:v>0.31792493528904231</c:v>
                </c:pt>
                <c:pt idx="132">
                  <c:v>0.32012891437852115</c:v>
                </c:pt>
                <c:pt idx="133">
                  <c:v>0.32234050652184942</c:v>
                </c:pt>
                <c:pt idx="134">
                  <c:v>0.32455971171902764</c:v>
                </c:pt>
                <c:pt idx="135">
                  <c:v>0.32530113857449788</c:v>
                </c:pt>
                <c:pt idx="136">
                  <c:v>0.32530113857449788</c:v>
                </c:pt>
                <c:pt idx="137">
                  <c:v>0.32678652997005547</c:v>
                </c:pt>
                <c:pt idx="138">
                  <c:v>0.32753049451014227</c:v>
                </c:pt>
                <c:pt idx="139">
                  <c:v>0.32827530494510149</c:v>
                </c:pt>
                <c:pt idx="140">
                  <c:v>0.32976746349963637</c:v>
                </c:pt>
                <c:pt idx="141">
                  <c:v>0.33201204554298003</c:v>
                </c:pt>
                <c:pt idx="142">
                  <c:v>0.33276193134717219</c:v>
                </c:pt>
                <c:pt idx="143">
                  <c:v>0.33351266304623672</c:v>
                </c:pt>
                <c:pt idx="144">
                  <c:v>0.33426424064017324</c:v>
                </c:pt>
                <c:pt idx="145">
                  <c:v>0.33576993351266299</c:v>
                </c:pt>
                <c:pt idx="146">
                  <c:v>0.33576993351266299</c:v>
                </c:pt>
                <c:pt idx="147">
                  <c:v>0.33576993351266299</c:v>
                </c:pt>
                <c:pt idx="148">
                  <c:v>0.33652404879121628</c:v>
                </c:pt>
                <c:pt idx="149">
                  <c:v>0.3372790099646415</c:v>
                </c:pt>
                <c:pt idx="150">
                  <c:v>0.33879146999610904</c:v>
                </c:pt>
                <c:pt idx="151">
                  <c:v>0.34106650425485113</c:v>
                </c:pt>
                <c:pt idx="152">
                  <c:v>0.34106650425485113</c:v>
                </c:pt>
                <c:pt idx="153">
                  <c:v>0.34258742323504032</c:v>
                </c:pt>
                <c:pt idx="154">
                  <c:v>0.34563941193388503</c:v>
                </c:pt>
                <c:pt idx="155">
                  <c:v>0.34640452384577641</c:v>
                </c:pt>
                <c:pt idx="156">
                  <c:v>0.34717048165254033</c:v>
                </c:pt>
                <c:pt idx="157">
                  <c:v>0.34793728535417612</c:v>
                </c:pt>
                <c:pt idx="158">
                  <c:v>0.34793728535417612</c:v>
                </c:pt>
                <c:pt idx="159">
                  <c:v>0.34870493495068439</c:v>
                </c:pt>
                <c:pt idx="160">
                  <c:v>0.34870493495068439</c:v>
                </c:pt>
                <c:pt idx="161">
                  <c:v>0.34870493495068439</c:v>
                </c:pt>
                <c:pt idx="162">
                  <c:v>0.34947343044206458</c:v>
                </c:pt>
                <c:pt idx="163">
                  <c:v>0.35178399228543883</c:v>
                </c:pt>
                <c:pt idx="164">
                  <c:v>0.35178399228543883</c:v>
                </c:pt>
                <c:pt idx="165">
                  <c:v>0.35178399228543883</c:v>
                </c:pt>
                <c:pt idx="166">
                  <c:v>0.35255587135630795</c:v>
                </c:pt>
                <c:pt idx="167">
                  <c:v>0.3533285963220491</c:v>
                </c:pt>
                <c:pt idx="168">
                  <c:v>0.35410216718266269</c:v>
                </c:pt>
                <c:pt idx="169">
                  <c:v>0.35487658393814808</c:v>
                </c:pt>
                <c:pt idx="170">
                  <c:v>0.35642795513373587</c:v>
                </c:pt>
                <c:pt idx="171">
                  <c:v>0.35876135613865912</c:v>
                </c:pt>
                <c:pt idx="172">
                  <c:v>0.35954084826337795</c:v>
                </c:pt>
                <c:pt idx="173">
                  <c:v>0.36110237019743197</c:v>
                </c:pt>
                <c:pt idx="174">
                  <c:v>0.36188440000676714</c:v>
                </c:pt>
                <c:pt idx="175">
                  <c:v>0.36266727571097468</c:v>
                </c:pt>
                <c:pt idx="176">
                  <c:v>0.36423556480400621</c:v>
                </c:pt>
                <c:pt idx="177">
                  <c:v>0.36423556480400621</c:v>
                </c:pt>
                <c:pt idx="178">
                  <c:v>0.36896073356003306</c:v>
                </c:pt>
                <c:pt idx="179">
                  <c:v>0.36975122231809038</c:v>
                </c:pt>
                <c:pt idx="180">
                  <c:v>0.37292163629904074</c:v>
                </c:pt>
                <c:pt idx="181">
                  <c:v>0.37292163629904074</c:v>
                </c:pt>
                <c:pt idx="182">
                  <c:v>0.37530832868091163</c:v>
                </c:pt>
                <c:pt idx="183">
                  <c:v>0.37610558459794607</c:v>
                </c:pt>
                <c:pt idx="184">
                  <c:v>0.37610558459794607</c:v>
                </c:pt>
                <c:pt idx="185">
                  <c:v>0.37850242771828313</c:v>
                </c:pt>
                <c:pt idx="186">
                  <c:v>0.38090688389246996</c:v>
                </c:pt>
                <c:pt idx="187">
                  <c:v>0.38171006107360972</c:v>
                </c:pt>
                <c:pt idx="188">
                  <c:v>0.38251408414962196</c:v>
                </c:pt>
                <c:pt idx="189">
                  <c:v>0.38412466798626271</c:v>
                </c:pt>
                <c:pt idx="190">
                  <c:v>0.38654688795276532</c:v>
                </c:pt>
                <c:pt idx="191">
                  <c:v>0.38816593073812794</c:v>
                </c:pt>
                <c:pt idx="192">
                  <c:v>0.38978835710297932</c:v>
                </c:pt>
                <c:pt idx="193">
                  <c:v>0.39549349506843295</c:v>
                </c:pt>
                <c:pt idx="194">
                  <c:v>0.39549349506843295</c:v>
                </c:pt>
                <c:pt idx="195">
                  <c:v>0.39713114754098366</c:v>
                </c:pt>
                <c:pt idx="196">
                  <c:v>0.39877218359302308</c:v>
                </c:pt>
                <c:pt idx="197">
                  <c:v>0.3995939704613512</c:v>
                </c:pt>
                <c:pt idx="198">
                  <c:v>0.40206440643556818</c:v>
                </c:pt>
                <c:pt idx="199">
                  <c:v>0.40206440643556818</c:v>
                </c:pt>
                <c:pt idx="200">
                  <c:v>0.40454245546363499</c:v>
                </c:pt>
                <c:pt idx="201">
                  <c:v>0.40952139268131749</c:v>
                </c:pt>
                <c:pt idx="202">
                  <c:v>0.41035417618298403</c:v>
                </c:pt>
                <c:pt idx="203">
                  <c:v>0.4120222808709334</c:v>
                </c:pt>
                <c:pt idx="204">
                  <c:v>0.41369376913837147</c:v>
                </c:pt>
                <c:pt idx="205">
                  <c:v>0.41453078211439892</c:v>
                </c:pt>
                <c:pt idx="206">
                  <c:v>0.41620734575107016</c:v>
                </c:pt>
                <c:pt idx="207">
                  <c:v>0.4178872929672301</c:v>
                </c:pt>
                <c:pt idx="208">
                  <c:v>0.41872853541761851</c:v>
                </c:pt>
                <c:pt idx="209">
                  <c:v>0.41957062376287879</c:v>
                </c:pt>
                <c:pt idx="210">
                  <c:v>0.41957062376287879</c:v>
                </c:pt>
                <c:pt idx="211">
                  <c:v>0.42294743609264235</c:v>
                </c:pt>
                <c:pt idx="212">
                  <c:v>0.42379375391226382</c:v>
                </c:pt>
                <c:pt idx="213">
                  <c:v>0.42464091762675726</c:v>
                </c:pt>
                <c:pt idx="214">
                  <c:v>0.42464091762675726</c:v>
                </c:pt>
                <c:pt idx="215">
                  <c:v>0.42633778274036122</c:v>
                </c:pt>
                <c:pt idx="216">
                  <c:v>0.42803803143345359</c:v>
                </c:pt>
                <c:pt idx="217">
                  <c:v>0.42803803143345359</c:v>
                </c:pt>
                <c:pt idx="218">
                  <c:v>0.43144867955810456</c:v>
                </c:pt>
                <c:pt idx="219">
                  <c:v>0.43487286200071057</c:v>
                </c:pt>
                <c:pt idx="220">
                  <c:v>0.43487286200071057</c:v>
                </c:pt>
                <c:pt idx="221">
                  <c:v>0.43659002859124663</c:v>
                </c:pt>
                <c:pt idx="222">
                  <c:v>0.44003451251078535</c:v>
                </c:pt>
                <c:pt idx="223">
                  <c:v>0.44003451251078535</c:v>
                </c:pt>
                <c:pt idx="224">
                  <c:v>0.44089774822785022</c:v>
                </c:pt>
                <c:pt idx="225">
                  <c:v>0.44262675734659696</c:v>
                </c:pt>
                <c:pt idx="226">
                  <c:v>0.44349253074827871</c:v>
                </c:pt>
                <c:pt idx="227">
                  <c:v>0.44522661523625856</c:v>
                </c:pt>
                <c:pt idx="228">
                  <c:v>0.44783408617976977</c:v>
                </c:pt>
                <c:pt idx="229">
                  <c:v>0.44783408617976977</c:v>
                </c:pt>
                <c:pt idx="230">
                  <c:v>0.45044917017713032</c:v>
                </c:pt>
                <c:pt idx="231">
                  <c:v>0.4513225566326618</c:v>
                </c:pt>
                <c:pt idx="232">
                  <c:v>0.4513225566326618</c:v>
                </c:pt>
                <c:pt idx="233">
                  <c:v>0.45307186722834092</c:v>
                </c:pt>
                <c:pt idx="234">
                  <c:v>0.4548245614035088</c:v>
                </c:pt>
                <c:pt idx="235">
                  <c:v>0.45570217733340118</c:v>
                </c:pt>
                <c:pt idx="236">
                  <c:v>0.45658063915816538</c:v>
                </c:pt>
                <c:pt idx="237">
                  <c:v>0.45922110000169186</c:v>
                </c:pt>
                <c:pt idx="238">
                  <c:v>0.46010294540594482</c:v>
                </c:pt>
                <c:pt idx="239">
                  <c:v>0.46010294540594482</c:v>
                </c:pt>
                <c:pt idx="240">
                  <c:v>0.46098563670507031</c:v>
                </c:pt>
                <c:pt idx="241">
                  <c:v>0.46098563670507031</c:v>
                </c:pt>
                <c:pt idx="242">
                  <c:v>0.46186917389906806</c:v>
                </c:pt>
                <c:pt idx="243">
                  <c:v>0.46275355698793752</c:v>
                </c:pt>
                <c:pt idx="244">
                  <c:v>0.46541178162377994</c:v>
                </c:pt>
                <c:pt idx="245">
                  <c:v>0.46541178162377994</c:v>
                </c:pt>
                <c:pt idx="246">
                  <c:v>0.46629954829213816</c:v>
                </c:pt>
                <c:pt idx="247">
                  <c:v>0.46629954829213816</c:v>
                </c:pt>
                <c:pt idx="248">
                  <c:v>0.46807761931347164</c:v>
                </c:pt>
                <c:pt idx="249">
                  <c:v>0.46896792366644674</c:v>
                </c:pt>
                <c:pt idx="250">
                  <c:v>0.46896792366644674</c:v>
                </c:pt>
                <c:pt idx="251">
                  <c:v>0.46896792366644674</c:v>
                </c:pt>
                <c:pt idx="252">
                  <c:v>0.47343213385440469</c:v>
                </c:pt>
                <c:pt idx="253">
                  <c:v>0.4752237391936931</c:v>
                </c:pt>
                <c:pt idx="254">
                  <c:v>0.47791749141416717</c:v>
                </c:pt>
                <c:pt idx="255">
                  <c:v>0.47881710061073612</c:v>
                </c:pt>
                <c:pt idx="256">
                  <c:v>0.4797175557021775</c:v>
                </c:pt>
                <c:pt idx="257">
                  <c:v>0.48061885668849075</c:v>
                </c:pt>
                <c:pt idx="258">
                  <c:v>0.48332783501666415</c:v>
                </c:pt>
                <c:pt idx="259">
                  <c:v>0.48332783501666415</c:v>
                </c:pt>
                <c:pt idx="260">
                  <c:v>0.48604442639868733</c:v>
                </c:pt>
                <c:pt idx="261">
                  <c:v>0.4915004483242823</c:v>
                </c:pt>
                <c:pt idx="262">
                  <c:v>0.49332588945845807</c:v>
                </c:pt>
                <c:pt idx="263">
                  <c:v>0.49332588945845807</c:v>
                </c:pt>
                <c:pt idx="264">
                  <c:v>0.4951547141721227</c:v>
                </c:pt>
                <c:pt idx="265">
                  <c:v>0.4951547141721227</c:v>
                </c:pt>
                <c:pt idx="266">
                  <c:v>0.5006614897900491</c:v>
                </c:pt>
                <c:pt idx="267">
                  <c:v>0.50158224635842252</c:v>
                </c:pt>
                <c:pt idx="268">
                  <c:v>0.50250384882166854</c:v>
                </c:pt>
                <c:pt idx="269">
                  <c:v>0.50250384882166854</c:v>
                </c:pt>
                <c:pt idx="270">
                  <c:v>0.50342629717978649</c:v>
                </c:pt>
                <c:pt idx="271">
                  <c:v>0.50712454956098074</c:v>
                </c:pt>
                <c:pt idx="272">
                  <c:v>0.50805122739345954</c:v>
                </c:pt>
                <c:pt idx="273">
                  <c:v>0.50897875112081092</c:v>
                </c:pt>
                <c:pt idx="274">
                  <c:v>0.50897875112081092</c:v>
                </c:pt>
                <c:pt idx="275">
                  <c:v>0.50897875112081092</c:v>
                </c:pt>
                <c:pt idx="276">
                  <c:v>0.50990712074303401</c:v>
                </c:pt>
                <c:pt idx="277">
                  <c:v>0.51456165727723358</c:v>
                </c:pt>
                <c:pt idx="278">
                  <c:v>0.51642939315501868</c:v>
                </c:pt>
                <c:pt idx="279">
                  <c:v>0.51830051261229249</c:v>
                </c:pt>
                <c:pt idx="280">
                  <c:v>0.52299311441574048</c:v>
                </c:pt>
                <c:pt idx="281">
                  <c:v>0.52393417246104679</c:v>
                </c:pt>
                <c:pt idx="282">
                  <c:v>0.52770686359099306</c:v>
                </c:pt>
                <c:pt idx="283">
                  <c:v>0.5295982845251993</c:v>
                </c:pt>
                <c:pt idx="284">
                  <c:v>0.5295982845251993</c:v>
                </c:pt>
                <c:pt idx="285">
                  <c:v>0.53149308903889425</c:v>
                </c:pt>
                <c:pt idx="286">
                  <c:v>0.53149308903889425</c:v>
                </c:pt>
                <c:pt idx="287">
                  <c:v>0.53339127713207801</c:v>
                </c:pt>
                <c:pt idx="288">
                  <c:v>0.53624490348339515</c:v>
                </c:pt>
                <c:pt idx="289">
                  <c:v>0.53719780405691164</c:v>
                </c:pt>
                <c:pt idx="290">
                  <c:v>0.53910614288856196</c:v>
                </c:pt>
                <c:pt idx="291">
                  <c:v>0.53910614288856196</c:v>
                </c:pt>
                <c:pt idx="292">
                  <c:v>0.54101786529970075</c:v>
                </c:pt>
                <c:pt idx="293">
                  <c:v>0.54101786529970075</c:v>
                </c:pt>
                <c:pt idx="294">
                  <c:v>0.54677333401004924</c:v>
                </c:pt>
                <c:pt idx="295">
                  <c:v>0.54773553942716013</c:v>
                </c:pt>
                <c:pt idx="296">
                  <c:v>0.54869859073914296</c:v>
                </c:pt>
                <c:pt idx="297">
                  <c:v>0.54869859073914296</c:v>
                </c:pt>
                <c:pt idx="298">
                  <c:v>0.54966248794599826</c:v>
                </c:pt>
                <c:pt idx="299">
                  <c:v>0.55159282004432508</c:v>
                </c:pt>
                <c:pt idx="300">
                  <c:v>0.55159282004432508</c:v>
                </c:pt>
                <c:pt idx="301">
                  <c:v>0.5535265357221405</c:v>
                </c:pt>
                <c:pt idx="302">
                  <c:v>0.55449466240335676</c:v>
                </c:pt>
                <c:pt idx="303">
                  <c:v>0.55643345345040529</c:v>
                </c:pt>
                <c:pt idx="304">
                  <c:v>0.55837562807694274</c:v>
                </c:pt>
                <c:pt idx="305">
                  <c:v>0.56129523422828997</c:v>
                </c:pt>
                <c:pt idx="306">
                  <c:v>0.56129523422828997</c:v>
                </c:pt>
                <c:pt idx="307">
                  <c:v>0.56227012806848375</c:v>
                </c:pt>
                <c:pt idx="308">
                  <c:v>0.56617816237797969</c:v>
                </c:pt>
                <c:pt idx="309">
                  <c:v>0.56715728569253421</c:v>
                </c:pt>
                <c:pt idx="310">
                  <c:v>0.56813725490196065</c:v>
                </c:pt>
                <c:pt idx="311">
                  <c:v>0.5691180700062598</c:v>
                </c:pt>
                <c:pt idx="312">
                  <c:v>0.57009973100543088</c:v>
                </c:pt>
                <c:pt idx="313">
                  <c:v>0.57108223789947388</c:v>
                </c:pt>
                <c:pt idx="314">
                  <c:v>0.57206559068838947</c:v>
                </c:pt>
                <c:pt idx="315">
                  <c:v>0.57304978937217677</c:v>
                </c:pt>
                <c:pt idx="316">
                  <c:v>0.57304978937217677</c:v>
                </c:pt>
                <c:pt idx="317">
                  <c:v>0.57403483395083665</c:v>
                </c:pt>
                <c:pt idx="318">
                  <c:v>0.57403483395083665</c:v>
                </c:pt>
                <c:pt idx="319">
                  <c:v>0.57897274526721842</c:v>
                </c:pt>
                <c:pt idx="320">
                  <c:v>0.58095383105787635</c:v>
                </c:pt>
                <c:pt idx="321">
                  <c:v>0.58194564279551331</c:v>
                </c:pt>
                <c:pt idx="322">
                  <c:v>0.58393180395540445</c:v>
                </c:pt>
                <c:pt idx="323">
                  <c:v>0.58691738990678244</c:v>
                </c:pt>
                <c:pt idx="324">
                  <c:v>0.58791427701365295</c:v>
                </c:pt>
                <c:pt idx="325">
                  <c:v>0.59191028438985616</c:v>
                </c:pt>
                <c:pt idx="326">
                  <c:v>0.59591982608401439</c:v>
                </c:pt>
                <c:pt idx="327">
                  <c:v>0.59792967230032645</c:v>
                </c:pt>
                <c:pt idx="328">
                  <c:v>0.59792967230032645</c:v>
                </c:pt>
                <c:pt idx="329">
                  <c:v>0.60195951547141713</c:v>
                </c:pt>
                <c:pt idx="330">
                  <c:v>0.60397951242619596</c:v>
                </c:pt>
                <c:pt idx="331">
                  <c:v>0.60600289296046306</c:v>
                </c:pt>
                <c:pt idx="332">
                  <c:v>0.60701585206990472</c:v>
                </c:pt>
                <c:pt idx="333">
                  <c:v>0.61005980476746358</c:v>
                </c:pt>
                <c:pt idx="334">
                  <c:v>0.61514997716083863</c:v>
                </c:pt>
                <c:pt idx="335">
                  <c:v>0.62026129692601828</c:v>
                </c:pt>
                <c:pt idx="336">
                  <c:v>0.62231174609619544</c:v>
                </c:pt>
                <c:pt idx="337">
                  <c:v>0.62231174609619544</c:v>
                </c:pt>
                <c:pt idx="338">
                  <c:v>0.62231174609619544</c:v>
                </c:pt>
                <c:pt idx="339">
                  <c:v>0.62333823952359202</c:v>
                </c:pt>
                <c:pt idx="340">
                  <c:v>0.62436557884586119</c:v>
                </c:pt>
                <c:pt idx="341">
                  <c:v>0.62539376406300229</c:v>
                </c:pt>
                <c:pt idx="342">
                  <c:v>0.63364969801553073</c:v>
                </c:pt>
                <c:pt idx="343">
                  <c:v>0.63468549628652138</c:v>
                </c:pt>
                <c:pt idx="344">
                  <c:v>0.63779796646872733</c:v>
                </c:pt>
                <c:pt idx="345">
                  <c:v>0.64300233466984735</c:v>
                </c:pt>
                <c:pt idx="346">
                  <c:v>0.64404574599468767</c:v>
                </c:pt>
                <c:pt idx="347">
                  <c:v>0.64927549104197335</c:v>
                </c:pt>
                <c:pt idx="348">
                  <c:v>0.65242348880881096</c:v>
                </c:pt>
                <c:pt idx="349">
                  <c:v>0.65347451318750094</c:v>
                </c:pt>
                <c:pt idx="350">
                  <c:v>0.65663266169280488</c:v>
                </c:pt>
                <c:pt idx="351">
                  <c:v>0.657687069650984</c:v>
                </c:pt>
                <c:pt idx="352">
                  <c:v>0.66403128119237342</c:v>
                </c:pt>
                <c:pt idx="353">
                  <c:v>0.66403128119237342</c:v>
                </c:pt>
                <c:pt idx="354">
                  <c:v>0.66509161041465792</c:v>
                </c:pt>
                <c:pt idx="355">
                  <c:v>0.66615278553181412</c:v>
                </c:pt>
                <c:pt idx="356">
                  <c:v>0.66721480654384291</c:v>
                </c:pt>
                <c:pt idx="357">
                  <c:v>0.66721480654384291</c:v>
                </c:pt>
                <c:pt idx="358">
                  <c:v>0.66827767345074351</c:v>
                </c:pt>
                <c:pt idx="359">
                  <c:v>0.67574142685547045</c:v>
                </c:pt>
                <c:pt idx="360">
                  <c:v>0.6800250384882166</c:v>
                </c:pt>
                <c:pt idx="361">
                  <c:v>0.68217191967382318</c:v>
                </c:pt>
                <c:pt idx="362">
                  <c:v>0.68217191967382318</c:v>
                </c:pt>
                <c:pt idx="363">
                  <c:v>0.68217191967382318</c:v>
                </c:pt>
                <c:pt idx="364">
                  <c:v>0.68539858566377365</c:v>
                </c:pt>
                <c:pt idx="365">
                  <c:v>0.68647583278350188</c:v>
                </c:pt>
                <c:pt idx="366">
                  <c:v>0.68755392579810171</c:v>
                </c:pt>
                <c:pt idx="367">
                  <c:v>0.68971264951191857</c:v>
                </c:pt>
                <c:pt idx="368">
                  <c:v>0.69079328021113551</c:v>
                </c:pt>
                <c:pt idx="369">
                  <c:v>0.69079328021113551</c:v>
                </c:pt>
                <c:pt idx="370">
                  <c:v>0.69079328021113551</c:v>
                </c:pt>
                <c:pt idx="371">
                  <c:v>0.69404024767801875</c:v>
                </c:pt>
                <c:pt idx="372">
                  <c:v>0.69404024767801875</c:v>
                </c:pt>
                <c:pt idx="373">
                  <c:v>0.69838138016207363</c:v>
                </c:pt>
                <c:pt idx="374">
                  <c:v>0.69946877802026797</c:v>
                </c:pt>
                <c:pt idx="375">
                  <c:v>0.69946877802026797</c:v>
                </c:pt>
                <c:pt idx="376">
                  <c:v>0.70055702177333401</c:v>
                </c:pt>
                <c:pt idx="377">
                  <c:v>0.70382682840176636</c:v>
                </c:pt>
                <c:pt idx="378">
                  <c:v>0.70491845573432133</c:v>
                </c:pt>
                <c:pt idx="379">
                  <c:v>0.70491845573432133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0.70710280943384707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78-4890-B84B-1BF859E1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17912"/>
        <c:axId val="549123488"/>
        <c:axId val="498385184"/>
      </c:line3DChart>
      <c:catAx>
        <c:axId val="549117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9123488"/>
        <c:crosses val="autoZero"/>
        <c:auto val="1"/>
        <c:lblAlgn val="ctr"/>
        <c:lblOffset val="100"/>
        <c:noMultiLvlLbl val="0"/>
      </c:catAx>
      <c:valAx>
        <c:axId val="54912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9117912"/>
        <c:crosses val="autoZero"/>
        <c:crossBetween val="between"/>
      </c:valAx>
      <c:serAx>
        <c:axId val="4983851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9123488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triang!$U$7:$U$38</c:f>
              <c:strCache>
                <c:ptCount val="32"/>
                <c:pt idx="0">
                  <c:v>14,72633463</c:v>
                </c:pt>
                <c:pt idx="1">
                  <c:v>15,28270558</c:v>
                </c:pt>
                <c:pt idx="2">
                  <c:v>15,83907652</c:v>
                </c:pt>
                <c:pt idx="3">
                  <c:v>16,39544747</c:v>
                </c:pt>
                <c:pt idx="4">
                  <c:v>16,95181841</c:v>
                </c:pt>
                <c:pt idx="5">
                  <c:v>17,50818936</c:v>
                </c:pt>
                <c:pt idx="6">
                  <c:v>18,06456031</c:v>
                </c:pt>
                <c:pt idx="7">
                  <c:v>18,62093125</c:v>
                </c:pt>
                <c:pt idx="8">
                  <c:v>19,1773022</c:v>
                </c:pt>
                <c:pt idx="9">
                  <c:v>19,73367314</c:v>
                </c:pt>
                <c:pt idx="10">
                  <c:v>20,29004409</c:v>
                </c:pt>
                <c:pt idx="11">
                  <c:v>20,84641504</c:v>
                </c:pt>
                <c:pt idx="12">
                  <c:v>21,40278598</c:v>
                </c:pt>
                <c:pt idx="13">
                  <c:v>21,95915693</c:v>
                </c:pt>
                <c:pt idx="14">
                  <c:v>22,51552787</c:v>
                </c:pt>
                <c:pt idx="15">
                  <c:v>23,07189882</c:v>
                </c:pt>
                <c:pt idx="16">
                  <c:v>23,62826976</c:v>
                </c:pt>
                <c:pt idx="17">
                  <c:v>24,18464071</c:v>
                </c:pt>
                <c:pt idx="18">
                  <c:v>24,74101166</c:v>
                </c:pt>
                <c:pt idx="19">
                  <c:v>25,2973826</c:v>
                </c:pt>
                <c:pt idx="20">
                  <c:v>25,85375355</c:v>
                </c:pt>
                <c:pt idx="21">
                  <c:v>26,41012449</c:v>
                </c:pt>
                <c:pt idx="22">
                  <c:v>26,96649544</c:v>
                </c:pt>
                <c:pt idx="23">
                  <c:v>27,52286639</c:v>
                </c:pt>
                <c:pt idx="24">
                  <c:v>28,07923733</c:v>
                </c:pt>
                <c:pt idx="25">
                  <c:v>28,63560828</c:v>
                </c:pt>
                <c:pt idx="26">
                  <c:v>29,19197922</c:v>
                </c:pt>
                <c:pt idx="27">
                  <c:v>29,74835017</c:v>
                </c:pt>
                <c:pt idx="28">
                  <c:v>30,30472111</c:v>
                </c:pt>
                <c:pt idx="29">
                  <c:v>30,86109206</c:v>
                </c:pt>
                <c:pt idx="30">
                  <c:v>31,41746301</c:v>
                </c:pt>
                <c:pt idx="31">
                  <c:v>y mayor...</c:v>
                </c:pt>
              </c:strCache>
            </c:strRef>
          </c:cat>
          <c:val>
            <c:numRef>
              <c:f>triang!$V$7:$V$38</c:f>
              <c:numCache>
                <c:formatCode>General</c:formatCode>
                <c:ptCount val="32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18</c:v>
                </c:pt>
                <c:pt idx="6">
                  <c:v>17</c:v>
                </c:pt>
                <c:pt idx="7">
                  <c:v>17</c:v>
                </c:pt>
                <c:pt idx="8">
                  <c:v>20</c:v>
                </c:pt>
                <c:pt idx="9">
                  <c:v>21</c:v>
                </c:pt>
                <c:pt idx="10">
                  <c:v>23</c:v>
                </c:pt>
                <c:pt idx="11">
                  <c:v>31</c:v>
                </c:pt>
                <c:pt idx="12">
                  <c:v>28</c:v>
                </c:pt>
                <c:pt idx="13">
                  <c:v>35</c:v>
                </c:pt>
                <c:pt idx="14">
                  <c:v>40</c:v>
                </c:pt>
                <c:pt idx="15">
                  <c:v>37</c:v>
                </c:pt>
                <c:pt idx="16">
                  <c:v>37</c:v>
                </c:pt>
                <c:pt idx="17">
                  <c:v>43</c:v>
                </c:pt>
                <c:pt idx="18">
                  <c:v>41</c:v>
                </c:pt>
                <c:pt idx="19">
                  <c:v>49</c:v>
                </c:pt>
                <c:pt idx="20">
                  <c:v>62</c:v>
                </c:pt>
                <c:pt idx="21">
                  <c:v>59</c:v>
                </c:pt>
                <c:pt idx="22">
                  <c:v>66</c:v>
                </c:pt>
                <c:pt idx="23">
                  <c:v>63</c:v>
                </c:pt>
                <c:pt idx="24">
                  <c:v>58</c:v>
                </c:pt>
                <c:pt idx="25">
                  <c:v>53</c:v>
                </c:pt>
                <c:pt idx="26">
                  <c:v>34</c:v>
                </c:pt>
                <c:pt idx="27">
                  <c:v>44</c:v>
                </c:pt>
                <c:pt idx="28">
                  <c:v>33</c:v>
                </c:pt>
                <c:pt idx="29">
                  <c:v>21</c:v>
                </c:pt>
                <c:pt idx="30">
                  <c:v>15</c:v>
                </c:pt>
                <c:pt idx="3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19-4442-BACA-281BEB3C8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475344"/>
        <c:axId val="582478952"/>
      </c:barChart>
      <c:catAx>
        <c:axId val="582475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2478952"/>
        <c:crosses val="autoZero"/>
        <c:auto val="1"/>
        <c:lblAlgn val="ctr"/>
        <c:lblOffset val="100"/>
        <c:noMultiLvlLbl val="0"/>
      </c:catAx>
      <c:valAx>
        <c:axId val="582478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247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unif!$D$23:$D$45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unif!$E$23:$E$45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2-4DD4-9B96-5A443C2D8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unif!$M$5:$M$504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D-4A54-A62E-ED7DD08BC4E8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unif!$N$5:$N$504</c:f>
              <c:numCache>
                <c:formatCode>General</c:formatCode>
                <c:ptCount val="500"/>
                <c:pt idx="0">
                  <c:v>0</c:v>
                </c:pt>
                <c:pt idx="1">
                  <c:v>4.6448087431693978E-2</c:v>
                </c:pt>
                <c:pt idx="2">
                  <c:v>0.1158469945355191</c:v>
                </c:pt>
                <c:pt idx="3">
                  <c:v>0.14699453551912567</c:v>
                </c:pt>
                <c:pt idx="4">
                  <c:v>0.17540983606557375</c:v>
                </c:pt>
                <c:pt idx="5">
                  <c:v>0.18743169398907095</c:v>
                </c:pt>
                <c:pt idx="6">
                  <c:v>0.19781420765027322</c:v>
                </c:pt>
                <c:pt idx="7">
                  <c:v>0.21639344262295079</c:v>
                </c:pt>
                <c:pt idx="8">
                  <c:v>0.21693989071038258</c:v>
                </c:pt>
                <c:pt idx="9">
                  <c:v>0.21693989071038258</c:v>
                </c:pt>
                <c:pt idx="10">
                  <c:v>0.22240437158469942</c:v>
                </c:pt>
                <c:pt idx="11">
                  <c:v>0.2316939890710383</c:v>
                </c:pt>
                <c:pt idx="12">
                  <c:v>0.25191256830601105</c:v>
                </c:pt>
                <c:pt idx="13">
                  <c:v>0.25245901639344259</c:v>
                </c:pt>
                <c:pt idx="14">
                  <c:v>0.27158469945355201</c:v>
                </c:pt>
                <c:pt idx="15">
                  <c:v>0.27540983606557384</c:v>
                </c:pt>
                <c:pt idx="16">
                  <c:v>0.28087431693989068</c:v>
                </c:pt>
                <c:pt idx="17">
                  <c:v>0.28306010928961745</c:v>
                </c:pt>
                <c:pt idx="18">
                  <c:v>0.28360655737704921</c:v>
                </c:pt>
                <c:pt idx="19">
                  <c:v>0.2896174863387978</c:v>
                </c:pt>
                <c:pt idx="20">
                  <c:v>0.30437158469945352</c:v>
                </c:pt>
                <c:pt idx="21">
                  <c:v>0.30710382513661205</c:v>
                </c:pt>
                <c:pt idx="22">
                  <c:v>0.31038251366120212</c:v>
                </c:pt>
                <c:pt idx="23">
                  <c:v>0.31092896174863388</c:v>
                </c:pt>
                <c:pt idx="24">
                  <c:v>0.3256830601092896</c:v>
                </c:pt>
                <c:pt idx="25">
                  <c:v>0.32786885245901637</c:v>
                </c:pt>
                <c:pt idx="26">
                  <c:v>0.32950819672131149</c:v>
                </c:pt>
                <c:pt idx="27">
                  <c:v>0.32950819672131149</c:v>
                </c:pt>
                <c:pt idx="28">
                  <c:v>0.33333333333333337</c:v>
                </c:pt>
                <c:pt idx="29">
                  <c:v>0.33442622950819673</c:v>
                </c:pt>
                <c:pt idx="30">
                  <c:v>0.33442622950819673</c:v>
                </c:pt>
                <c:pt idx="31">
                  <c:v>0.33770491803278685</c:v>
                </c:pt>
                <c:pt idx="32">
                  <c:v>0.33989071038251373</c:v>
                </c:pt>
                <c:pt idx="33">
                  <c:v>0.33989071038251373</c:v>
                </c:pt>
                <c:pt idx="34">
                  <c:v>0.34043715846994532</c:v>
                </c:pt>
                <c:pt idx="35">
                  <c:v>0.34262295081967209</c:v>
                </c:pt>
                <c:pt idx="36">
                  <c:v>0.34590163934426238</c:v>
                </c:pt>
                <c:pt idx="37">
                  <c:v>0.34918032786885245</c:v>
                </c:pt>
                <c:pt idx="38">
                  <c:v>0.35081967213114756</c:v>
                </c:pt>
                <c:pt idx="39">
                  <c:v>0.35300546448087433</c:v>
                </c:pt>
                <c:pt idx="40">
                  <c:v>0.35300546448087433</c:v>
                </c:pt>
                <c:pt idx="41">
                  <c:v>0.35737704918032798</c:v>
                </c:pt>
                <c:pt idx="42">
                  <c:v>0.35846994535519133</c:v>
                </c:pt>
                <c:pt idx="43">
                  <c:v>0.35901639344262293</c:v>
                </c:pt>
                <c:pt idx="44">
                  <c:v>0.36120218579234986</c:v>
                </c:pt>
                <c:pt idx="45">
                  <c:v>0.3666666666666667</c:v>
                </c:pt>
                <c:pt idx="46">
                  <c:v>0.36775956284153005</c:v>
                </c:pt>
                <c:pt idx="47">
                  <c:v>0.37322404371584705</c:v>
                </c:pt>
                <c:pt idx="48">
                  <c:v>0.37431693989071041</c:v>
                </c:pt>
                <c:pt idx="49">
                  <c:v>0.37540983606557377</c:v>
                </c:pt>
                <c:pt idx="50">
                  <c:v>0.37759562841530053</c:v>
                </c:pt>
                <c:pt idx="51">
                  <c:v>0.37868852459016389</c:v>
                </c:pt>
                <c:pt idx="52">
                  <c:v>0.37868852459016389</c:v>
                </c:pt>
                <c:pt idx="53">
                  <c:v>0.38196721311475418</c:v>
                </c:pt>
                <c:pt idx="54">
                  <c:v>0.38415300546448089</c:v>
                </c:pt>
                <c:pt idx="55">
                  <c:v>0.3863387978142076</c:v>
                </c:pt>
                <c:pt idx="56">
                  <c:v>0.3863387978142076</c:v>
                </c:pt>
                <c:pt idx="57">
                  <c:v>0.38743169398907101</c:v>
                </c:pt>
                <c:pt idx="58">
                  <c:v>0.38743169398907101</c:v>
                </c:pt>
                <c:pt idx="59">
                  <c:v>0.38852459016393454</c:v>
                </c:pt>
                <c:pt idx="60">
                  <c:v>0.38907103825136613</c:v>
                </c:pt>
                <c:pt idx="61">
                  <c:v>0.39016393442622949</c:v>
                </c:pt>
                <c:pt idx="62">
                  <c:v>0.3907103825136613</c:v>
                </c:pt>
                <c:pt idx="63">
                  <c:v>0.39289617486338801</c:v>
                </c:pt>
                <c:pt idx="64">
                  <c:v>0.39344262295081978</c:v>
                </c:pt>
                <c:pt idx="65">
                  <c:v>0.39508196721311473</c:v>
                </c:pt>
                <c:pt idx="66">
                  <c:v>0.39617486338797808</c:v>
                </c:pt>
                <c:pt idx="67">
                  <c:v>0.39617486338797808</c:v>
                </c:pt>
                <c:pt idx="68">
                  <c:v>0.3967213114754099</c:v>
                </c:pt>
                <c:pt idx="69">
                  <c:v>0.39781420765027325</c:v>
                </c:pt>
                <c:pt idx="70">
                  <c:v>0.39890710382513661</c:v>
                </c:pt>
                <c:pt idx="71">
                  <c:v>0.39945355191256837</c:v>
                </c:pt>
                <c:pt idx="72">
                  <c:v>0.39945355191256837</c:v>
                </c:pt>
                <c:pt idx="73">
                  <c:v>0.40163934426229514</c:v>
                </c:pt>
                <c:pt idx="74">
                  <c:v>0.40601092896174856</c:v>
                </c:pt>
                <c:pt idx="75">
                  <c:v>0.40655737704918038</c:v>
                </c:pt>
                <c:pt idx="76">
                  <c:v>0.4081967213114755</c:v>
                </c:pt>
                <c:pt idx="77">
                  <c:v>0.40874316939890709</c:v>
                </c:pt>
                <c:pt idx="78">
                  <c:v>0.40983606557377045</c:v>
                </c:pt>
                <c:pt idx="79">
                  <c:v>0.41366120218579233</c:v>
                </c:pt>
                <c:pt idx="80">
                  <c:v>0.41420765027322409</c:v>
                </c:pt>
                <c:pt idx="81">
                  <c:v>0.41420765027322409</c:v>
                </c:pt>
                <c:pt idx="82">
                  <c:v>0.41475409836065569</c:v>
                </c:pt>
                <c:pt idx="83">
                  <c:v>0.41584699453551927</c:v>
                </c:pt>
                <c:pt idx="84">
                  <c:v>0.41639344262295086</c:v>
                </c:pt>
                <c:pt idx="85">
                  <c:v>0.41693989071038262</c:v>
                </c:pt>
                <c:pt idx="86">
                  <c:v>0.41967213114754093</c:v>
                </c:pt>
                <c:pt idx="87">
                  <c:v>0.42185792349726786</c:v>
                </c:pt>
                <c:pt idx="88">
                  <c:v>0.42349726775956281</c:v>
                </c:pt>
                <c:pt idx="89">
                  <c:v>0.42349726775956281</c:v>
                </c:pt>
                <c:pt idx="90">
                  <c:v>0.42841530054644805</c:v>
                </c:pt>
                <c:pt idx="91">
                  <c:v>0.42896174863387981</c:v>
                </c:pt>
                <c:pt idx="92">
                  <c:v>0.43114754098360658</c:v>
                </c:pt>
                <c:pt idx="93">
                  <c:v>0.43169398907103834</c:v>
                </c:pt>
                <c:pt idx="94">
                  <c:v>0.4327868852459017</c:v>
                </c:pt>
                <c:pt idx="95">
                  <c:v>0.43387978142076505</c:v>
                </c:pt>
                <c:pt idx="96">
                  <c:v>0.43442622950819687</c:v>
                </c:pt>
                <c:pt idx="97">
                  <c:v>0.43497267759562841</c:v>
                </c:pt>
                <c:pt idx="98">
                  <c:v>0.43551912568306023</c:v>
                </c:pt>
                <c:pt idx="99">
                  <c:v>0.43551912568306023</c:v>
                </c:pt>
                <c:pt idx="100">
                  <c:v>0.43715846994535518</c:v>
                </c:pt>
                <c:pt idx="101">
                  <c:v>0.43715846994535518</c:v>
                </c:pt>
                <c:pt idx="102">
                  <c:v>0.44207650273224042</c:v>
                </c:pt>
                <c:pt idx="103">
                  <c:v>0.44480874316939889</c:v>
                </c:pt>
                <c:pt idx="104">
                  <c:v>0.44480874316939889</c:v>
                </c:pt>
                <c:pt idx="105">
                  <c:v>0.44535519125683071</c:v>
                </c:pt>
                <c:pt idx="106">
                  <c:v>0.44535519125683071</c:v>
                </c:pt>
                <c:pt idx="107">
                  <c:v>0.4459016393442623</c:v>
                </c:pt>
                <c:pt idx="108">
                  <c:v>0.44644808743169406</c:v>
                </c:pt>
                <c:pt idx="109">
                  <c:v>0.44699453551912566</c:v>
                </c:pt>
                <c:pt idx="110">
                  <c:v>0.44699453551912566</c:v>
                </c:pt>
                <c:pt idx="111">
                  <c:v>0.44808743169398918</c:v>
                </c:pt>
                <c:pt idx="112">
                  <c:v>0.4513661202185793</c:v>
                </c:pt>
                <c:pt idx="113">
                  <c:v>0.45245901639344266</c:v>
                </c:pt>
                <c:pt idx="114">
                  <c:v>0.45300546448087442</c:v>
                </c:pt>
                <c:pt idx="115">
                  <c:v>0.45355191256830601</c:v>
                </c:pt>
                <c:pt idx="116">
                  <c:v>0.4573770491803279</c:v>
                </c:pt>
                <c:pt idx="117">
                  <c:v>0.45792349726775966</c:v>
                </c:pt>
                <c:pt idx="118">
                  <c:v>0.45792349726775966</c:v>
                </c:pt>
                <c:pt idx="119">
                  <c:v>0.45901639344262302</c:v>
                </c:pt>
                <c:pt idx="120">
                  <c:v>0.45901639344262302</c:v>
                </c:pt>
                <c:pt idx="121">
                  <c:v>0.46010928961748643</c:v>
                </c:pt>
                <c:pt idx="122">
                  <c:v>0.46010928961748643</c:v>
                </c:pt>
                <c:pt idx="123">
                  <c:v>0.46229508196721314</c:v>
                </c:pt>
                <c:pt idx="124">
                  <c:v>0.46557377049180321</c:v>
                </c:pt>
                <c:pt idx="125">
                  <c:v>0.46612021857923502</c:v>
                </c:pt>
                <c:pt idx="126">
                  <c:v>0.46775956284153014</c:v>
                </c:pt>
                <c:pt idx="127">
                  <c:v>0.46830601092896174</c:v>
                </c:pt>
                <c:pt idx="128">
                  <c:v>0.47103825136612026</c:v>
                </c:pt>
                <c:pt idx="129">
                  <c:v>0.47158469945355203</c:v>
                </c:pt>
                <c:pt idx="130">
                  <c:v>0.47213114754098362</c:v>
                </c:pt>
                <c:pt idx="131">
                  <c:v>0.47377049180327874</c:v>
                </c:pt>
                <c:pt idx="132">
                  <c:v>0.47540983606557391</c:v>
                </c:pt>
                <c:pt idx="133">
                  <c:v>0.47704918032786886</c:v>
                </c:pt>
                <c:pt idx="134">
                  <c:v>0.47868852459016398</c:v>
                </c:pt>
                <c:pt idx="135">
                  <c:v>0.47923497267759557</c:v>
                </c:pt>
                <c:pt idx="136">
                  <c:v>0.47923497267759557</c:v>
                </c:pt>
                <c:pt idx="137">
                  <c:v>0.48032786885245915</c:v>
                </c:pt>
                <c:pt idx="138">
                  <c:v>0.48087431693989074</c:v>
                </c:pt>
                <c:pt idx="139">
                  <c:v>0.48142076502732251</c:v>
                </c:pt>
                <c:pt idx="140">
                  <c:v>0.48251366120218586</c:v>
                </c:pt>
                <c:pt idx="141">
                  <c:v>0.48415300546448103</c:v>
                </c:pt>
                <c:pt idx="142">
                  <c:v>0.48469945355191257</c:v>
                </c:pt>
                <c:pt idx="143">
                  <c:v>0.48524590163934439</c:v>
                </c:pt>
                <c:pt idx="144">
                  <c:v>0.48579234972677598</c:v>
                </c:pt>
                <c:pt idx="145">
                  <c:v>0.48688524590163934</c:v>
                </c:pt>
                <c:pt idx="146">
                  <c:v>0.48688524590163934</c:v>
                </c:pt>
                <c:pt idx="147">
                  <c:v>0.48688524590163934</c:v>
                </c:pt>
                <c:pt idx="148">
                  <c:v>0.4874316939890711</c:v>
                </c:pt>
                <c:pt idx="149">
                  <c:v>0.4879781420765027</c:v>
                </c:pt>
                <c:pt idx="150">
                  <c:v>0.48907103825136627</c:v>
                </c:pt>
                <c:pt idx="151">
                  <c:v>0.49071038251366123</c:v>
                </c:pt>
                <c:pt idx="152">
                  <c:v>0.49071038251366123</c:v>
                </c:pt>
                <c:pt idx="153">
                  <c:v>0.49180327868852458</c:v>
                </c:pt>
                <c:pt idx="154">
                  <c:v>0.49398907103825151</c:v>
                </c:pt>
                <c:pt idx="155">
                  <c:v>0.49453551912568305</c:v>
                </c:pt>
                <c:pt idx="156">
                  <c:v>0.49508196721311487</c:v>
                </c:pt>
                <c:pt idx="157">
                  <c:v>0.49562841530054647</c:v>
                </c:pt>
                <c:pt idx="158">
                  <c:v>0.49562841530054647</c:v>
                </c:pt>
                <c:pt idx="159">
                  <c:v>0.49617486338797823</c:v>
                </c:pt>
                <c:pt idx="160">
                  <c:v>0.49617486338797823</c:v>
                </c:pt>
                <c:pt idx="161">
                  <c:v>0.49617486338797823</c:v>
                </c:pt>
                <c:pt idx="162">
                  <c:v>0.49672131147540982</c:v>
                </c:pt>
                <c:pt idx="163">
                  <c:v>0.49836065573770494</c:v>
                </c:pt>
                <c:pt idx="164">
                  <c:v>0.49836065573770494</c:v>
                </c:pt>
                <c:pt idx="165">
                  <c:v>0.49836065573770494</c:v>
                </c:pt>
                <c:pt idx="166">
                  <c:v>0.49890710382513676</c:v>
                </c:pt>
                <c:pt idx="167">
                  <c:v>0.49945355191256829</c:v>
                </c:pt>
                <c:pt idx="168">
                  <c:v>0.50000000000000011</c:v>
                </c:pt>
                <c:pt idx="169">
                  <c:v>0.50054644808743165</c:v>
                </c:pt>
                <c:pt idx="170">
                  <c:v>0.50163934426229506</c:v>
                </c:pt>
                <c:pt idx="171">
                  <c:v>0.50327868852459023</c:v>
                </c:pt>
                <c:pt idx="172">
                  <c:v>0.503825136612022</c:v>
                </c:pt>
                <c:pt idx="173">
                  <c:v>0.5049180327868853</c:v>
                </c:pt>
                <c:pt idx="174">
                  <c:v>0.50546448087431695</c:v>
                </c:pt>
                <c:pt idx="175">
                  <c:v>0.50601092896174871</c:v>
                </c:pt>
                <c:pt idx="176">
                  <c:v>0.50710382513661212</c:v>
                </c:pt>
                <c:pt idx="177">
                  <c:v>0.50710382513661212</c:v>
                </c:pt>
                <c:pt idx="178">
                  <c:v>0.51038251366120213</c:v>
                </c:pt>
                <c:pt idx="179">
                  <c:v>0.51092896174863389</c:v>
                </c:pt>
                <c:pt idx="180">
                  <c:v>0.51311475409836071</c:v>
                </c:pt>
                <c:pt idx="181">
                  <c:v>0.51311475409836071</c:v>
                </c:pt>
                <c:pt idx="182">
                  <c:v>0.51475409836065578</c:v>
                </c:pt>
                <c:pt idx="183">
                  <c:v>0.51530054644808743</c:v>
                </c:pt>
                <c:pt idx="184">
                  <c:v>0.51530054644808743</c:v>
                </c:pt>
                <c:pt idx="185">
                  <c:v>0.51693989071038249</c:v>
                </c:pt>
                <c:pt idx="186">
                  <c:v>0.51857923497267766</c:v>
                </c:pt>
                <c:pt idx="187">
                  <c:v>0.51912568306010931</c:v>
                </c:pt>
                <c:pt idx="188">
                  <c:v>0.51967213114754107</c:v>
                </c:pt>
                <c:pt idx="189">
                  <c:v>0.52076502732240437</c:v>
                </c:pt>
                <c:pt idx="190">
                  <c:v>0.52240437158469955</c:v>
                </c:pt>
                <c:pt idx="191">
                  <c:v>0.52349726775956296</c:v>
                </c:pt>
                <c:pt idx="192">
                  <c:v>0.52459016393442626</c:v>
                </c:pt>
                <c:pt idx="193">
                  <c:v>0.52841530054644814</c:v>
                </c:pt>
                <c:pt idx="194">
                  <c:v>0.52841530054644814</c:v>
                </c:pt>
                <c:pt idx="195">
                  <c:v>0.52950819672131155</c:v>
                </c:pt>
                <c:pt idx="196">
                  <c:v>0.53060109289617485</c:v>
                </c:pt>
                <c:pt idx="197">
                  <c:v>0.53114754098360673</c:v>
                </c:pt>
                <c:pt idx="198">
                  <c:v>0.53278688524590168</c:v>
                </c:pt>
                <c:pt idx="199">
                  <c:v>0.53278688524590168</c:v>
                </c:pt>
                <c:pt idx="200">
                  <c:v>0.53442622950819674</c:v>
                </c:pt>
                <c:pt idx="201">
                  <c:v>0.53770491803278686</c:v>
                </c:pt>
                <c:pt idx="202">
                  <c:v>0.53825136612021862</c:v>
                </c:pt>
                <c:pt idx="203">
                  <c:v>0.53934426229508203</c:v>
                </c:pt>
                <c:pt idx="204">
                  <c:v>0.54043715846994533</c:v>
                </c:pt>
                <c:pt idx="205">
                  <c:v>0.54098360655737721</c:v>
                </c:pt>
                <c:pt idx="206">
                  <c:v>0.54207650273224051</c:v>
                </c:pt>
                <c:pt idx="207">
                  <c:v>0.54316939890710392</c:v>
                </c:pt>
                <c:pt idx="208">
                  <c:v>0.54371584699453568</c:v>
                </c:pt>
                <c:pt idx="209">
                  <c:v>0.54426229508196722</c:v>
                </c:pt>
                <c:pt idx="210">
                  <c:v>0.54426229508196722</c:v>
                </c:pt>
                <c:pt idx="211">
                  <c:v>0.54644808743169393</c:v>
                </c:pt>
                <c:pt idx="212">
                  <c:v>0.5469945355191258</c:v>
                </c:pt>
                <c:pt idx="213">
                  <c:v>0.54754098360655734</c:v>
                </c:pt>
                <c:pt idx="214">
                  <c:v>0.54754098360655734</c:v>
                </c:pt>
                <c:pt idx="215">
                  <c:v>0.54863387978142086</c:v>
                </c:pt>
                <c:pt idx="216">
                  <c:v>0.54972677595628427</c:v>
                </c:pt>
                <c:pt idx="217">
                  <c:v>0.54972677595628427</c:v>
                </c:pt>
                <c:pt idx="218">
                  <c:v>0.55191256830601099</c:v>
                </c:pt>
                <c:pt idx="219">
                  <c:v>0.5540983606557377</c:v>
                </c:pt>
                <c:pt idx="220">
                  <c:v>0.5540983606557377</c:v>
                </c:pt>
                <c:pt idx="221">
                  <c:v>0.55519125683060111</c:v>
                </c:pt>
                <c:pt idx="222">
                  <c:v>0.55737704918032804</c:v>
                </c:pt>
                <c:pt idx="223">
                  <c:v>0.55737704918032804</c:v>
                </c:pt>
                <c:pt idx="224">
                  <c:v>0.55792349726775958</c:v>
                </c:pt>
                <c:pt idx="225">
                  <c:v>0.55901639344262299</c:v>
                </c:pt>
                <c:pt idx="226">
                  <c:v>0.55956284153005476</c:v>
                </c:pt>
                <c:pt idx="227">
                  <c:v>0.56065573770491806</c:v>
                </c:pt>
                <c:pt idx="228">
                  <c:v>0.56229508196721323</c:v>
                </c:pt>
                <c:pt idx="229">
                  <c:v>0.56229508196721323</c:v>
                </c:pt>
                <c:pt idx="230">
                  <c:v>0.56393442622950818</c:v>
                </c:pt>
                <c:pt idx="231">
                  <c:v>0.56448087431693994</c:v>
                </c:pt>
                <c:pt idx="232">
                  <c:v>0.56448087431693994</c:v>
                </c:pt>
                <c:pt idx="233">
                  <c:v>0.56557377049180335</c:v>
                </c:pt>
                <c:pt idx="234">
                  <c:v>0.56666666666666676</c:v>
                </c:pt>
                <c:pt idx="235">
                  <c:v>0.56721311475409852</c:v>
                </c:pt>
                <c:pt idx="236">
                  <c:v>0.56775956284153006</c:v>
                </c:pt>
                <c:pt idx="237">
                  <c:v>0.56939890710382524</c:v>
                </c:pt>
                <c:pt idx="238">
                  <c:v>0.56994535519125678</c:v>
                </c:pt>
                <c:pt idx="239">
                  <c:v>0.56994535519125678</c:v>
                </c:pt>
                <c:pt idx="240">
                  <c:v>0.57049180327868854</c:v>
                </c:pt>
                <c:pt idx="241">
                  <c:v>0.57049180327868854</c:v>
                </c:pt>
                <c:pt idx="242">
                  <c:v>0.57103825136612041</c:v>
                </c:pt>
                <c:pt idx="243">
                  <c:v>0.57158469945355195</c:v>
                </c:pt>
                <c:pt idx="244">
                  <c:v>0.57322404371584712</c:v>
                </c:pt>
                <c:pt idx="245">
                  <c:v>0.57322404371584712</c:v>
                </c:pt>
                <c:pt idx="246">
                  <c:v>0.57377049180327866</c:v>
                </c:pt>
                <c:pt idx="247">
                  <c:v>0.57377049180327866</c:v>
                </c:pt>
                <c:pt idx="248">
                  <c:v>0.57486338797814207</c:v>
                </c:pt>
                <c:pt idx="249">
                  <c:v>0.57540983606557383</c:v>
                </c:pt>
                <c:pt idx="250">
                  <c:v>0.57540983606557383</c:v>
                </c:pt>
                <c:pt idx="251">
                  <c:v>0.57540983606557383</c:v>
                </c:pt>
                <c:pt idx="252">
                  <c:v>0.5781420765027323</c:v>
                </c:pt>
                <c:pt idx="253">
                  <c:v>0.57923497267759572</c:v>
                </c:pt>
                <c:pt idx="254">
                  <c:v>0.58087431693989089</c:v>
                </c:pt>
                <c:pt idx="255">
                  <c:v>0.58142076502732243</c:v>
                </c:pt>
                <c:pt idx="256">
                  <c:v>0.58196721311475419</c:v>
                </c:pt>
                <c:pt idx="257">
                  <c:v>0.58251366120218584</c:v>
                </c:pt>
                <c:pt idx="258">
                  <c:v>0.5841530054644809</c:v>
                </c:pt>
                <c:pt idx="259">
                  <c:v>0.5841530054644809</c:v>
                </c:pt>
                <c:pt idx="260">
                  <c:v>0.58579234972677607</c:v>
                </c:pt>
                <c:pt idx="261">
                  <c:v>0.5890710382513662</c:v>
                </c:pt>
                <c:pt idx="262">
                  <c:v>0.5901639344262295</c:v>
                </c:pt>
                <c:pt idx="263">
                  <c:v>0.5901639344262295</c:v>
                </c:pt>
                <c:pt idx="264">
                  <c:v>0.59125683060109291</c:v>
                </c:pt>
                <c:pt idx="265">
                  <c:v>0.59125683060109291</c:v>
                </c:pt>
                <c:pt idx="266">
                  <c:v>0.59453551912568314</c:v>
                </c:pt>
                <c:pt idx="267">
                  <c:v>0.59508196721311479</c:v>
                </c:pt>
                <c:pt idx="268">
                  <c:v>0.59562841530054655</c:v>
                </c:pt>
                <c:pt idx="269">
                  <c:v>0.59562841530054655</c:v>
                </c:pt>
                <c:pt idx="270">
                  <c:v>0.59617486338797809</c:v>
                </c:pt>
                <c:pt idx="271">
                  <c:v>0.59836065573770503</c:v>
                </c:pt>
                <c:pt idx="272">
                  <c:v>0.59890710382513668</c:v>
                </c:pt>
                <c:pt idx="273">
                  <c:v>0.59945355191256844</c:v>
                </c:pt>
                <c:pt idx="274">
                  <c:v>0.59945355191256844</c:v>
                </c:pt>
                <c:pt idx="275">
                  <c:v>0.59945355191256844</c:v>
                </c:pt>
                <c:pt idx="276">
                  <c:v>0.6</c:v>
                </c:pt>
                <c:pt idx="277">
                  <c:v>0.60273224043715856</c:v>
                </c:pt>
                <c:pt idx="278">
                  <c:v>0.60382513661202186</c:v>
                </c:pt>
                <c:pt idx="279">
                  <c:v>0.60491803278688527</c:v>
                </c:pt>
                <c:pt idx="280">
                  <c:v>0.60765027322404375</c:v>
                </c:pt>
                <c:pt idx="281">
                  <c:v>0.60819672131147551</c:v>
                </c:pt>
                <c:pt idx="282">
                  <c:v>0.61038251366120233</c:v>
                </c:pt>
                <c:pt idx="283">
                  <c:v>0.61147540983606563</c:v>
                </c:pt>
                <c:pt idx="284">
                  <c:v>0.61147540983606563</c:v>
                </c:pt>
                <c:pt idx="285">
                  <c:v>0.61256830601092904</c:v>
                </c:pt>
                <c:pt idx="286">
                  <c:v>0.61256830601092904</c:v>
                </c:pt>
                <c:pt idx="287">
                  <c:v>0.61366120218579234</c:v>
                </c:pt>
                <c:pt idx="288">
                  <c:v>0.61530054644808752</c:v>
                </c:pt>
                <c:pt idx="289">
                  <c:v>0.61584699453551905</c:v>
                </c:pt>
                <c:pt idx="290">
                  <c:v>0.61693989071038269</c:v>
                </c:pt>
                <c:pt idx="291">
                  <c:v>0.61693989071038269</c:v>
                </c:pt>
                <c:pt idx="292">
                  <c:v>0.61803278688524599</c:v>
                </c:pt>
                <c:pt idx="293">
                  <c:v>0.61803278688524599</c:v>
                </c:pt>
                <c:pt idx="294">
                  <c:v>0.62131147540983611</c:v>
                </c:pt>
                <c:pt idx="295">
                  <c:v>0.62185792349726787</c:v>
                </c:pt>
                <c:pt idx="296">
                  <c:v>0.62240437158469952</c:v>
                </c:pt>
                <c:pt idx="297">
                  <c:v>0.62240437158469952</c:v>
                </c:pt>
                <c:pt idx="298">
                  <c:v>0.62295081967213128</c:v>
                </c:pt>
                <c:pt idx="299">
                  <c:v>0.62404371584699458</c:v>
                </c:pt>
                <c:pt idx="300">
                  <c:v>0.62404371584699458</c:v>
                </c:pt>
                <c:pt idx="301">
                  <c:v>0.625136612021858</c:v>
                </c:pt>
                <c:pt idx="302">
                  <c:v>0.62568306010928976</c:v>
                </c:pt>
                <c:pt idx="303">
                  <c:v>0.62677595628415317</c:v>
                </c:pt>
                <c:pt idx="304">
                  <c:v>0.62786885245901647</c:v>
                </c:pt>
                <c:pt idx="305">
                  <c:v>0.62950819672131142</c:v>
                </c:pt>
                <c:pt idx="306">
                  <c:v>0.62950819672131142</c:v>
                </c:pt>
                <c:pt idx="307">
                  <c:v>0.63005464480874318</c:v>
                </c:pt>
                <c:pt idx="308">
                  <c:v>0.63224043715847</c:v>
                </c:pt>
                <c:pt idx="309">
                  <c:v>0.63278688524590176</c:v>
                </c:pt>
                <c:pt idx="310">
                  <c:v>0.6333333333333333</c:v>
                </c:pt>
                <c:pt idx="311">
                  <c:v>0.63387978142076506</c:v>
                </c:pt>
                <c:pt idx="312">
                  <c:v>0.63442622950819694</c:v>
                </c:pt>
                <c:pt idx="313">
                  <c:v>0.63497267759562848</c:v>
                </c:pt>
                <c:pt idx="314">
                  <c:v>0.63551912568306024</c:v>
                </c:pt>
                <c:pt idx="315">
                  <c:v>0.63606557377049189</c:v>
                </c:pt>
                <c:pt idx="316">
                  <c:v>0.63606557377049189</c:v>
                </c:pt>
                <c:pt idx="317">
                  <c:v>0.63661202185792365</c:v>
                </c:pt>
                <c:pt idx="318">
                  <c:v>0.63661202185792365</c:v>
                </c:pt>
                <c:pt idx="319">
                  <c:v>0.63934426229508212</c:v>
                </c:pt>
                <c:pt idx="320">
                  <c:v>0.64043715846994553</c:v>
                </c:pt>
                <c:pt idx="321">
                  <c:v>0.64098360655737707</c:v>
                </c:pt>
                <c:pt idx="322">
                  <c:v>0.64207650273224048</c:v>
                </c:pt>
                <c:pt idx="323">
                  <c:v>0.64371584699453555</c:v>
                </c:pt>
                <c:pt idx="324">
                  <c:v>0.64426229508196742</c:v>
                </c:pt>
                <c:pt idx="325">
                  <c:v>0.64644808743169413</c:v>
                </c:pt>
                <c:pt idx="326">
                  <c:v>0.64863387978142084</c:v>
                </c:pt>
                <c:pt idx="327">
                  <c:v>0.64972677595628414</c:v>
                </c:pt>
                <c:pt idx="328">
                  <c:v>0.64972677595628414</c:v>
                </c:pt>
                <c:pt idx="329">
                  <c:v>0.65191256830601096</c:v>
                </c:pt>
                <c:pt idx="330">
                  <c:v>0.65300546448087449</c:v>
                </c:pt>
                <c:pt idx="331">
                  <c:v>0.65409836065573779</c:v>
                </c:pt>
                <c:pt idx="332">
                  <c:v>0.65464480874316944</c:v>
                </c:pt>
                <c:pt idx="333">
                  <c:v>0.65628415300546461</c:v>
                </c:pt>
                <c:pt idx="334">
                  <c:v>0.65901639344262308</c:v>
                </c:pt>
                <c:pt idx="335">
                  <c:v>0.66174863387978156</c:v>
                </c:pt>
                <c:pt idx="336">
                  <c:v>0.66284153005464497</c:v>
                </c:pt>
                <c:pt idx="337">
                  <c:v>0.66284153005464497</c:v>
                </c:pt>
                <c:pt idx="338">
                  <c:v>0.66284153005464497</c:v>
                </c:pt>
                <c:pt idx="339">
                  <c:v>0.66338797814207651</c:v>
                </c:pt>
                <c:pt idx="340">
                  <c:v>0.66393442622950827</c:v>
                </c:pt>
                <c:pt idx="341">
                  <c:v>0.66448087431693992</c:v>
                </c:pt>
                <c:pt idx="342">
                  <c:v>0.66885245901639356</c:v>
                </c:pt>
                <c:pt idx="343">
                  <c:v>0.6693989071038251</c:v>
                </c:pt>
                <c:pt idx="344">
                  <c:v>0.67103825136612028</c:v>
                </c:pt>
                <c:pt idx="345">
                  <c:v>0.67377049180327875</c:v>
                </c:pt>
                <c:pt idx="346">
                  <c:v>0.6743169398907104</c:v>
                </c:pt>
                <c:pt idx="347">
                  <c:v>0.67704918032786887</c:v>
                </c:pt>
                <c:pt idx="348">
                  <c:v>0.67868852459016404</c:v>
                </c:pt>
                <c:pt idx="349">
                  <c:v>0.67923497267759558</c:v>
                </c:pt>
                <c:pt idx="350">
                  <c:v>0.68087431693989076</c:v>
                </c:pt>
                <c:pt idx="351">
                  <c:v>0.68142076502732252</c:v>
                </c:pt>
                <c:pt idx="352">
                  <c:v>0.68469945355191264</c:v>
                </c:pt>
                <c:pt idx="353">
                  <c:v>0.68469945355191264</c:v>
                </c:pt>
                <c:pt idx="354">
                  <c:v>0.6852459016393444</c:v>
                </c:pt>
                <c:pt idx="355">
                  <c:v>0.68579234972677605</c:v>
                </c:pt>
                <c:pt idx="356">
                  <c:v>0.68633879781420781</c:v>
                </c:pt>
                <c:pt idx="357">
                  <c:v>0.68633879781420781</c:v>
                </c:pt>
                <c:pt idx="358">
                  <c:v>0.68688524590163935</c:v>
                </c:pt>
                <c:pt idx="359">
                  <c:v>0.69071038251366124</c:v>
                </c:pt>
                <c:pt idx="360">
                  <c:v>0.69289617486338795</c:v>
                </c:pt>
                <c:pt idx="361">
                  <c:v>0.69398907103825158</c:v>
                </c:pt>
                <c:pt idx="362">
                  <c:v>0.69398907103825158</c:v>
                </c:pt>
                <c:pt idx="363">
                  <c:v>0.69398907103825158</c:v>
                </c:pt>
                <c:pt idx="364">
                  <c:v>0.69562841530054653</c:v>
                </c:pt>
                <c:pt idx="365">
                  <c:v>0.69617486338797829</c:v>
                </c:pt>
                <c:pt idx="366">
                  <c:v>0.69672131147540983</c:v>
                </c:pt>
                <c:pt idx="367">
                  <c:v>0.69781420765027324</c:v>
                </c:pt>
                <c:pt idx="368">
                  <c:v>0.69836065573770501</c:v>
                </c:pt>
                <c:pt idx="369">
                  <c:v>0.69836065573770501</c:v>
                </c:pt>
                <c:pt idx="370">
                  <c:v>0.69836065573770501</c:v>
                </c:pt>
                <c:pt idx="371">
                  <c:v>0.70000000000000018</c:v>
                </c:pt>
                <c:pt idx="372">
                  <c:v>0.70000000000000018</c:v>
                </c:pt>
                <c:pt idx="373">
                  <c:v>0.70218579234972689</c:v>
                </c:pt>
                <c:pt idx="374">
                  <c:v>0.70273224043715865</c:v>
                </c:pt>
                <c:pt idx="375">
                  <c:v>0.70273224043715865</c:v>
                </c:pt>
                <c:pt idx="376">
                  <c:v>0.70327868852459019</c:v>
                </c:pt>
                <c:pt idx="377">
                  <c:v>0.70491803278688536</c:v>
                </c:pt>
                <c:pt idx="378">
                  <c:v>0.70546448087431701</c:v>
                </c:pt>
                <c:pt idx="379">
                  <c:v>0.70546448087431701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0.70655737704918031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D-4A54-A62E-ED7DD08BC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normal!$D$23:$D$45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normal!$E$23:$E$45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EC-4754-941A-9F8FAFEC4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normal!$M$5:$M$504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A-46D8-80B2-09B80613163A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normal!$N$5:$N$504</c:f>
              <c:numCache>
                <c:formatCode>General</c:formatCode>
                <c:ptCount val="500"/>
                <c:pt idx="0">
                  <c:v>2.5026697058639263E-4</c:v>
                </c:pt>
                <c:pt idx="1">
                  <c:v>6.8270973396421133E-4</c:v>
                </c:pt>
                <c:pt idx="2">
                  <c:v>2.6715163593780196E-3</c:v>
                </c:pt>
                <c:pt idx="3">
                  <c:v>4.6780645813720434E-3</c:v>
                </c:pt>
                <c:pt idx="4">
                  <c:v>7.5845338302401137E-3</c:v>
                </c:pt>
                <c:pt idx="5">
                  <c:v>9.2313115997908618E-3</c:v>
                </c:pt>
                <c:pt idx="6">
                  <c:v>1.0897257720245234E-2</c:v>
                </c:pt>
                <c:pt idx="7">
                  <c:v>1.4536802835837885E-2</c:v>
                </c:pt>
                <c:pt idx="8">
                  <c:v>1.4658061011291182E-2</c:v>
                </c:pt>
                <c:pt idx="9">
                  <c:v>1.4658061011291182E-2</c:v>
                </c:pt>
                <c:pt idx="10">
                  <c:v>1.59192659387026E-2</c:v>
                </c:pt>
                <c:pt idx="11">
                  <c:v>1.8277013971520869E-2</c:v>
                </c:pt>
                <c:pt idx="12">
                  <c:v>2.4451624929212372E-2</c:v>
                </c:pt>
                <c:pt idx="13">
                  <c:v>2.4640268940049396E-2</c:v>
                </c:pt>
                <c:pt idx="14">
                  <c:v>3.2053447079149935E-2</c:v>
                </c:pt>
                <c:pt idx="15">
                  <c:v>3.3737904932879516E-2</c:v>
                </c:pt>
                <c:pt idx="16">
                  <c:v>3.6269990437483662E-2</c:v>
                </c:pt>
                <c:pt idx="17">
                  <c:v>3.7325453963531888E-2</c:v>
                </c:pt>
                <c:pt idx="18">
                  <c:v>3.7593203923065914E-2</c:v>
                </c:pt>
                <c:pt idx="19">
                  <c:v>4.0643193689881944E-2</c:v>
                </c:pt>
                <c:pt idx="20">
                  <c:v>4.8985422273548969E-2</c:v>
                </c:pt>
                <c:pt idx="21">
                  <c:v>5.0670923843701157E-2</c:v>
                </c:pt>
                <c:pt idx="22">
                  <c:v>5.2754141131860277E-2</c:v>
                </c:pt>
                <c:pt idx="23">
                  <c:v>5.3107859285986929E-2</c:v>
                </c:pt>
                <c:pt idx="24">
                  <c:v>6.3387983422727931E-2</c:v>
                </c:pt>
                <c:pt idx="25">
                  <c:v>6.5034618422694354E-2</c:v>
                </c:pt>
                <c:pt idx="26">
                  <c:v>6.6291236001635362E-2</c:v>
                </c:pt>
                <c:pt idx="27">
                  <c:v>6.6291236001635362E-2</c:v>
                </c:pt>
                <c:pt idx="28">
                  <c:v>6.9296417844203942E-2</c:v>
                </c:pt>
                <c:pt idx="29">
                  <c:v>7.0174035693466225E-2</c:v>
                </c:pt>
                <c:pt idx="30">
                  <c:v>7.0174035693466225E-2</c:v>
                </c:pt>
                <c:pt idx="31">
                  <c:v>7.2858211326336519E-2</c:v>
                </c:pt>
                <c:pt idx="32">
                  <c:v>7.469086964821231E-2</c:v>
                </c:pt>
                <c:pt idx="33">
                  <c:v>7.469086964821231E-2</c:v>
                </c:pt>
                <c:pt idx="34">
                  <c:v>7.5154484971234572E-2</c:v>
                </c:pt>
                <c:pt idx="35">
                  <c:v>7.7030909683414889E-2</c:v>
                </c:pt>
                <c:pt idx="36">
                  <c:v>7.991201610703437E-2</c:v>
                </c:pt>
                <c:pt idx="37">
                  <c:v>8.2873877352062864E-2</c:v>
                </c:pt>
                <c:pt idx="38">
                  <c:v>8.4385431744193287E-2</c:v>
                </c:pt>
                <c:pt idx="39">
                  <c:v>8.6432894337497623E-2</c:v>
                </c:pt>
                <c:pt idx="40">
                  <c:v>8.6432894337497623E-2</c:v>
                </c:pt>
                <c:pt idx="41">
                  <c:v>9.0638875674663791E-2</c:v>
                </c:pt>
                <c:pt idx="42">
                  <c:v>9.1713725107365598E-2</c:v>
                </c:pt>
                <c:pt idx="43">
                  <c:v>9.2254677947855149E-2</c:v>
                </c:pt>
                <c:pt idx="44">
                  <c:v>9.4442113544970299E-2</c:v>
                </c:pt>
                <c:pt idx="45">
                  <c:v>0.1000775754424629</c:v>
                </c:pt>
                <c:pt idx="46">
                  <c:v>0.10123354044878823</c:v>
                </c:pt>
                <c:pt idx="47">
                  <c:v>0.10715945696913025</c:v>
                </c:pt>
                <c:pt idx="48">
                  <c:v>0.10837406635677135</c:v>
                </c:pt>
                <c:pt idx="49">
                  <c:v>0.10959855088653801</c:v>
                </c:pt>
                <c:pt idx="50">
                  <c:v>0.11207725369878635</c:v>
                </c:pt>
                <c:pt idx="51">
                  <c:v>0.11333152455031915</c:v>
                </c:pt>
                <c:pt idx="52">
                  <c:v>0.11333152455031915</c:v>
                </c:pt>
                <c:pt idx="53">
                  <c:v>0.11715431662388139</c:v>
                </c:pt>
                <c:pt idx="54">
                  <c:v>0.1197530657233243</c:v>
                </c:pt>
                <c:pt idx="55">
                  <c:v>0.12239220115322079</c:v>
                </c:pt>
                <c:pt idx="56">
                  <c:v>0.12239220115322079</c:v>
                </c:pt>
                <c:pt idx="57">
                  <c:v>0.12372696636509242</c:v>
                </c:pt>
                <c:pt idx="58">
                  <c:v>0.12372696636509242</c:v>
                </c:pt>
                <c:pt idx="59">
                  <c:v>0.12507188988160031</c:v>
                </c:pt>
                <c:pt idx="60">
                  <c:v>0.12574816699356617</c:v>
                </c:pt>
                <c:pt idx="61">
                  <c:v>0.12710836350350999</c:v>
                </c:pt>
                <c:pt idx="62">
                  <c:v>0.12779228739446721</c:v>
                </c:pt>
                <c:pt idx="63">
                  <c:v>0.13055353743959291</c:v>
                </c:pt>
                <c:pt idx="64">
                  <c:v>0.13125024886639011</c:v>
                </c:pt>
                <c:pt idx="65">
                  <c:v>0.133355771774545</c:v>
                </c:pt>
                <c:pt idx="66">
                  <c:v>0.13477229588538164</c:v>
                </c:pt>
                <c:pt idx="67">
                  <c:v>0.13477229588538164</c:v>
                </c:pt>
                <c:pt idx="68">
                  <c:v>0.13548441583163523</c:v>
                </c:pt>
                <c:pt idx="69">
                  <c:v>0.13691637974702942</c:v>
                </c:pt>
                <c:pt idx="70">
                  <c:v>0.13835865276988099</c:v>
                </c:pt>
                <c:pt idx="71">
                  <c:v>0.13908365891329069</c:v>
                </c:pt>
                <c:pt idx="72">
                  <c:v>0.13908365891329069</c:v>
                </c:pt>
                <c:pt idx="73">
                  <c:v>0.14200951307845724</c:v>
                </c:pt>
                <c:pt idx="74">
                  <c:v>0.1479854492323095</c:v>
                </c:pt>
                <c:pt idx="75">
                  <c:v>0.14874410711565697</c:v>
                </c:pt>
                <c:pt idx="76">
                  <c:v>0.15103565421390616</c:v>
                </c:pt>
                <c:pt idx="77">
                  <c:v>0.15180469645284464</c:v>
                </c:pt>
                <c:pt idx="78">
                  <c:v>0.15335057387662399</c:v>
                </c:pt>
                <c:pt idx="79">
                  <c:v>0.15884300711161303</c:v>
                </c:pt>
                <c:pt idx="80">
                  <c:v>0.15963803823419251</c:v>
                </c:pt>
                <c:pt idx="81">
                  <c:v>0.15963803823419251</c:v>
                </c:pt>
                <c:pt idx="82">
                  <c:v>0.16043566893466141</c:v>
                </c:pt>
                <c:pt idx="83">
                  <c:v>0.16203872862379498</c:v>
                </c:pt>
                <c:pt idx="84">
                  <c:v>0.16284415724888601</c:v>
                </c:pt>
                <c:pt idx="85">
                  <c:v>0.16365218472436682</c:v>
                </c:pt>
                <c:pt idx="86">
                  <c:v>0.16773129154072017</c:v>
                </c:pt>
                <c:pt idx="87">
                  <c:v>0.17104130803136652</c:v>
                </c:pt>
                <c:pt idx="88">
                  <c:v>0.17355104967992374</c:v>
                </c:pt>
                <c:pt idx="89">
                  <c:v>0.17355104967992374</c:v>
                </c:pt>
                <c:pt idx="90">
                  <c:v>0.18122001341607991</c:v>
                </c:pt>
                <c:pt idx="91">
                  <c:v>0.18208503144714264</c:v>
                </c:pt>
                <c:pt idx="92">
                  <c:v>0.18557085368835646</c:v>
                </c:pt>
                <c:pt idx="93">
                  <c:v>0.18644873795831446</c:v>
                </c:pt>
                <c:pt idx="94">
                  <c:v>0.18821220775370834</c:v>
                </c:pt>
                <c:pt idx="95">
                  <c:v>0.18998593240919395</c:v>
                </c:pt>
                <c:pt idx="96">
                  <c:v>0.19087663502521202</c:v>
                </c:pt>
                <c:pt idx="97">
                  <c:v>0.19176989489267413</c:v>
                </c:pt>
                <c:pt idx="98">
                  <c:v>0.19266570972929958</c:v>
                </c:pt>
                <c:pt idx="99">
                  <c:v>0.19266570972929958</c:v>
                </c:pt>
                <c:pt idx="100">
                  <c:v>0.19536846030816563</c:v>
                </c:pt>
                <c:pt idx="101">
                  <c:v>0.19536846030816563</c:v>
                </c:pt>
                <c:pt idx="102">
                  <c:v>0.20361386037050949</c:v>
                </c:pt>
                <c:pt idx="103">
                  <c:v>0.2082829612544716</c:v>
                </c:pt>
                <c:pt idx="104">
                  <c:v>0.2082829612544716</c:v>
                </c:pt>
                <c:pt idx="105">
                  <c:v>0.2092243047031126</c:v>
                </c:pt>
                <c:pt idx="106">
                  <c:v>0.2092243047031126</c:v>
                </c:pt>
                <c:pt idx="107">
                  <c:v>0.21016814796932942</c:v>
                </c:pt>
                <c:pt idx="108">
                  <c:v>0.21111448752450593</c:v>
                </c:pt>
                <c:pt idx="109">
                  <c:v>0.21206331977698378</c:v>
                </c:pt>
                <c:pt idx="110">
                  <c:v>0.21206331977698378</c:v>
                </c:pt>
                <c:pt idx="111">
                  <c:v>0.21396844769170772</c:v>
                </c:pt>
                <c:pt idx="112">
                  <c:v>0.21974326305956488</c:v>
                </c:pt>
                <c:pt idx="113">
                  <c:v>0.22168790532094151</c:v>
                </c:pt>
                <c:pt idx="114">
                  <c:v>0.22266390211922102</c:v>
                </c:pt>
                <c:pt idx="115">
                  <c:v>0.22364234358192692</c:v>
                </c:pt>
                <c:pt idx="116">
                  <c:v>0.23055950557478094</c:v>
                </c:pt>
                <c:pt idx="117">
                  <c:v>0.23155734008257939</c:v>
                </c:pt>
                <c:pt idx="118">
                  <c:v>0.23155734008257939</c:v>
                </c:pt>
                <c:pt idx="119">
                  <c:v>0.23356021204273336</c:v>
                </c:pt>
                <c:pt idx="120">
                  <c:v>0.23356021204273336</c:v>
                </c:pt>
                <c:pt idx="121">
                  <c:v>0.23557265436674873</c:v>
                </c:pt>
                <c:pt idx="122">
                  <c:v>0.23557265436674873</c:v>
                </c:pt>
                <c:pt idx="123">
                  <c:v>0.2396260844348071</c:v>
                </c:pt>
                <c:pt idx="124">
                  <c:v>0.24577694516758181</c:v>
                </c:pt>
                <c:pt idx="125">
                  <c:v>0.24681026684532781</c:v>
                </c:pt>
                <c:pt idx="126">
                  <c:v>0.24992413515391682</c:v>
                </c:pt>
                <c:pt idx="127">
                  <c:v>0.25096670568079732</c:v>
                </c:pt>
                <c:pt idx="128">
                  <c:v>0.25621388939691075</c:v>
                </c:pt>
                <c:pt idx="129">
                  <c:v>0.25727014815271509</c:v>
                </c:pt>
                <c:pt idx="130">
                  <c:v>0.25832866588558911</c:v>
                </c:pt>
                <c:pt idx="131">
                  <c:v>0.26151770698151455</c:v>
                </c:pt>
                <c:pt idx="132">
                  <c:v>0.26472683877921771</c:v>
                </c:pt>
                <c:pt idx="133">
                  <c:v>0.26795587561396172</c:v>
                </c:pt>
                <c:pt idx="134">
                  <c:v>0.2712046268083671</c:v>
                </c:pt>
                <c:pt idx="135">
                  <c:v>0.27229189116645791</c:v>
                </c:pt>
                <c:pt idx="136">
                  <c:v>0.27229189116645791</c:v>
                </c:pt>
                <c:pt idx="137">
                  <c:v>0.27447289669704034</c:v>
                </c:pt>
                <c:pt idx="138">
                  <c:v>0.27556662294703749</c:v>
                </c:pt>
                <c:pt idx="139">
                  <c:v>0.27666248813693117</c:v>
                </c:pt>
                <c:pt idx="140">
                  <c:v>0.27886060482203817</c:v>
                </c:pt>
                <c:pt idx="141">
                  <c:v>0.28217362959486758</c:v>
                </c:pt>
                <c:pt idx="142">
                  <c:v>0.28328216642404724</c:v>
                </c:pt>
                <c:pt idx="143">
                  <c:v>0.28439278763016218</c:v>
                </c:pt>
                <c:pt idx="144">
                  <c:v>0.2855054851780775</c:v>
                </c:pt>
                <c:pt idx="145">
                  <c:v>0.28773707686053562</c:v>
                </c:pt>
                <c:pt idx="146">
                  <c:v>0.28773707686053562</c:v>
                </c:pt>
                <c:pt idx="147">
                  <c:v>0.28773707686053562</c:v>
                </c:pt>
                <c:pt idx="148">
                  <c:v>0.28885595462702324</c:v>
                </c:pt>
                <c:pt idx="149">
                  <c:v>0.28997687599950928</c:v>
                </c:pt>
                <c:pt idx="150">
                  <c:v>0.29222481617559365</c:v>
                </c:pt>
                <c:pt idx="151">
                  <c:v>0.29561184327401457</c:v>
                </c:pt>
                <c:pt idx="152">
                  <c:v>0.29561184327401457</c:v>
                </c:pt>
                <c:pt idx="153">
                  <c:v>0.29787983928668682</c:v>
                </c:pt>
                <c:pt idx="154">
                  <c:v>0.30243946424424223</c:v>
                </c:pt>
                <c:pt idx="155">
                  <c:v>0.30358424226849867</c:v>
                </c:pt>
                <c:pt idx="156">
                  <c:v>0.30473095103752734</c:v>
                </c:pt>
                <c:pt idx="157">
                  <c:v>0.30587958146723038</c:v>
                </c:pt>
                <c:pt idx="158">
                  <c:v>0.30587958146723038</c:v>
                </c:pt>
                <c:pt idx="159">
                  <c:v>0.30703012441696326</c:v>
                </c:pt>
                <c:pt idx="160">
                  <c:v>0.30703012441696326</c:v>
                </c:pt>
                <c:pt idx="161">
                  <c:v>0.30703012441696326</c:v>
                </c:pt>
                <c:pt idx="162">
                  <c:v>0.30818257068973154</c:v>
                </c:pt>
                <c:pt idx="163">
                  <c:v>0.31165123663538274</c:v>
                </c:pt>
                <c:pt idx="164">
                  <c:v>0.31165123663538274</c:v>
                </c:pt>
                <c:pt idx="165">
                  <c:v>0.31165123663538274</c:v>
                </c:pt>
                <c:pt idx="166">
                  <c:v>0.31281120311056737</c:v>
                </c:pt>
                <c:pt idx="167">
                  <c:v>0.3139730260858058</c:v>
                </c:pt>
                <c:pt idx="168">
                  <c:v>0.3151366960303793</c:v>
                </c:pt>
                <c:pt idx="169">
                  <c:v>0.31630220335869902</c:v>
                </c:pt>
                <c:pt idx="170">
                  <c:v>0.31863869155122049</c:v>
                </c:pt>
                <c:pt idx="171">
                  <c:v>0.32215696144835604</c:v>
                </c:pt>
                <c:pt idx="172">
                  <c:v>0.32333328873751777</c:v>
                </c:pt>
                <c:pt idx="173">
                  <c:v>0.32569123960150065</c:v>
                </c:pt>
                <c:pt idx="174">
                  <c:v>0.32687284309093334</c:v>
                </c:pt>
                <c:pt idx="175">
                  <c:v>0.32805618514069557</c:v>
                </c:pt>
                <c:pt idx="176">
                  <c:v>0.33042804417365557</c:v>
                </c:pt>
                <c:pt idx="177">
                  <c:v>0.33042804417365557</c:v>
                </c:pt>
                <c:pt idx="178">
                  <c:v>0.33758427798420632</c:v>
                </c:pt>
                <c:pt idx="179">
                  <c:v>0.33878280306329117</c:v>
                </c:pt>
                <c:pt idx="180">
                  <c:v>0.34359314142352004</c:v>
                </c:pt>
                <c:pt idx="181">
                  <c:v>0.34359314142352004</c:v>
                </c:pt>
                <c:pt idx="182">
                  <c:v>0.34721764328330468</c:v>
                </c:pt>
                <c:pt idx="183">
                  <c:v>0.34842894260213031</c:v>
                </c:pt>
                <c:pt idx="184">
                  <c:v>0.34842894260213031</c:v>
                </c:pt>
                <c:pt idx="185">
                  <c:v>0.35207208234929505</c:v>
                </c:pt>
                <c:pt idx="186">
                  <c:v>0.35572885084967742</c:v>
                </c:pt>
                <c:pt idx="187">
                  <c:v>0.35695074987626585</c:v>
                </c:pt>
                <c:pt idx="188">
                  <c:v>0.35817411812541555</c:v>
                </c:pt>
                <c:pt idx="189">
                  <c:v>0.36062521667673314</c:v>
                </c:pt>
                <c:pt idx="190">
                  <c:v>0.36431259740878885</c:v>
                </c:pt>
                <c:pt idx="191">
                  <c:v>0.36677787151669516</c:v>
                </c:pt>
                <c:pt idx="192">
                  <c:v>0.36924865295463433</c:v>
                </c:pt>
                <c:pt idx="193">
                  <c:v>0.37793839344619407</c:v>
                </c:pt>
                <c:pt idx="194">
                  <c:v>0.37793839344619407</c:v>
                </c:pt>
                <c:pt idx="195">
                  <c:v>0.38043278363895627</c:v>
                </c:pt>
                <c:pt idx="196">
                  <c:v>0.38293215539136105</c:v>
                </c:pt>
                <c:pt idx="197">
                  <c:v>0.38418367885404336</c:v>
                </c:pt>
                <c:pt idx="198">
                  <c:v>0.38794545227751187</c:v>
                </c:pt>
                <c:pt idx="199">
                  <c:v>0.38794545227751187</c:v>
                </c:pt>
                <c:pt idx="200">
                  <c:v>0.39171777069031782</c:v>
                </c:pt>
                <c:pt idx="201">
                  <c:v>0.39929269481694696</c:v>
                </c:pt>
                <c:pt idx="202">
                  <c:v>0.40055896138176716</c:v>
                </c:pt>
                <c:pt idx="203">
                  <c:v>0.40309461957158332</c:v>
                </c:pt>
                <c:pt idx="204">
                  <c:v>0.40563435926129177</c:v>
                </c:pt>
                <c:pt idx="205">
                  <c:v>0.40690572758012566</c:v>
                </c:pt>
                <c:pt idx="206">
                  <c:v>0.4094513967122424</c:v>
                </c:pt>
                <c:pt idx="207">
                  <c:v>0.41200088953842728</c:v>
                </c:pt>
                <c:pt idx="208">
                  <c:v>0.41327703736132915</c:v>
                </c:pt>
                <c:pt idx="209">
                  <c:v>0.41455410207775484</c:v>
                </c:pt>
                <c:pt idx="210">
                  <c:v>0.41455410207775484</c:v>
                </c:pt>
                <c:pt idx="211">
                  <c:v>0.41967126802674809</c:v>
                </c:pt>
                <c:pt idx="212">
                  <c:v>0.42095272057512723</c:v>
                </c:pt>
                <c:pt idx="213">
                  <c:v>0.42223501116766515</c:v>
                </c:pt>
                <c:pt idx="214">
                  <c:v>0.42223501116766515</c:v>
                </c:pt>
                <c:pt idx="215">
                  <c:v>0.42480205351011174</c:v>
                </c:pt>
                <c:pt idx="216">
                  <c:v>0.42737228884391004</c:v>
                </c:pt>
                <c:pt idx="217">
                  <c:v>0.42737228884391004</c:v>
                </c:pt>
                <c:pt idx="218">
                  <c:v>0.43252191162458647</c:v>
                </c:pt>
                <c:pt idx="219">
                  <c:v>0.43768302193337505</c:v>
                </c:pt>
                <c:pt idx="220">
                  <c:v>0.43768302193337505</c:v>
                </c:pt>
                <c:pt idx="221">
                  <c:v>0.44026761530231051</c:v>
                </c:pt>
                <c:pt idx="222">
                  <c:v>0.44544433623324492</c:v>
                </c:pt>
                <c:pt idx="223">
                  <c:v>0.44544433623324492</c:v>
                </c:pt>
                <c:pt idx="224">
                  <c:v>0.44674000668801234</c:v>
                </c:pt>
                <c:pt idx="225">
                  <c:v>0.44933304028021209</c:v>
                </c:pt>
                <c:pt idx="226">
                  <c:v>0.45063037603475886</c:v>
                </c:pt>
                <c:pt idx="227">
                  <c:v>0.4532266168727152</c:v>
                </c:pt>
                <c:pt idx="228">
                  <c:v>0.457124695187964</c:v>
                </c:pt>
                <c:pt idx="229">
                  <c:v>0.457124695187964</c:v>
                </c:pt>
                <c:pt idx="230">
                  <c:v>0.46102690310341077</c:v>
                </c:pt>
                <c:pt idx="231">
                  <c:v>0.46232849227276773</c:v>
                </c:pt>
                <c:pt idx="232">
                  <c:v>0.46232849227276773</c:v>
                </c:pt>
                <c:pt idx="233">
                  <c:v>0.46493286730330857</c:v>
                </c:pt>
                <c:pt idx="234">
                  <c:v>0.46753874541293072</c:v>
                </c:pt>
                <c:pt idx="235">
                  <c:v>0.46884221338583965</c:v>
                </c:pt>
                <c:pt idx="236">
                  <c:v>0.47014601542173379</c:v>
                </c:pt>
                <c:pt idx="237">
                  <c:v>0.47405928660276064</c:v>
                </c:pt>
                <c:pt idx="238">
                  <c:v>0.47536428553631999</c:v>
                </c:pt>
                <c:pt idx="239">
                  <c:v>0.47536428553631999</c:v>
                </c:pt>
                <c:pt idx="240">
                  <c:v>0.47666954880758516</c:v>
                </c:pt>
                <c:pt idx="241">
                  <c:v>0.47666954880758516</c:v>
                </c:pt>
                <c:pt idx="242">
                  <c:v>0.47797506244418142</c:v>
                </c:pt>
                <c:pt idx="243">
                  <c:v>0.47928081246567394</c:v>
                </c:pt>
                <c:pt idx="244">
                  <c:v>0.48319934092372047</c:v>
                </c:pt>
                <c:pt idx="245">
                  <c:v>0.48319934092372047</c:v>
                </c:pt>
                <c:pt idx="246">
                  <c:v>0.48450589653498022</c:v>
                </c:pt>
                <c:pt idx="247">
                  <c:v>0.48450589653498022</c:v>
                </c:pt>
                <c:pt idx="248">
                  <c:v>0.48711949287081646</c:v>
                </c:pt>
                <c:pt idx="249">
                  <c:v>0.48842650555178402</c:v>
                </c:pt>
                <c:pt idx="250">
                  <c:v>0.48842650555178402</c:v>
                </c:pt>
                <c:pt idx="251">
                  <c:v>0.48842650555178402</c:v>
                </c:pt>
                <c:pt idx="252">
                  <c:v>0.49496315283007586</c:v>
                </c:pt>
                <c:pt idx="253">
                  <c:v>0.49757828880923161</c:v>
                </c:pt>
                <c:pt idx="254">
                  <c:v>0.5015011527865354</c:v>
                </c:pt>
                <c:pt idx="255">
                  <c:v>0.50280876058835267</c:v>
                </c:pt>
                <c:pt idx="256">
                  <c:v>0.5041163382146816</c:v>
                </c:pt>
                <c:pt idx="257">
                  <c:v>0.50542387161859992</c:v>
                </c:pt>
                <c:pt idx="258">
                  <c:v>0.50934606605077914</c:v>
                </c:pt>
                <c:pt idx="259">
                  <c:v>0.50934606605077914</c:v>
                </c:pt>
                <c:pt idx="260">
                  <c:v>0.51326735698052328</c:v>
                </c:pt>
                <c:pt idx="261">
                  <c:v>0.52110571334241351</c:v>
                </c:pt>
                <c:pt idx="262">
                  <c:v>0.52371683583583861</c:v>
                </c:pt>
                <c:pt idx="263">
                  <c:v>0.52371683583583861</c:v>
                </c:pt>
                <c:pt idx="264">
                  <c:v>0.52632694032940108</c:v>
                </c:pt>
                <c:pt idx="265">
                  <c:v>0.52632694032940108</c:v>
                </c:pt>
                <c:pt idx="266">
                  <c:v>0.5341500293148318</c:v>
                </c:pt>
                <c:pt idx="267">
                  <c:v>0.53545267764726923</c:v>
                </c:pt>
                <c:pt idx="268">
                  <c:v>0.53675494609724672</c:v>
                </c:pt>
                <c:pt idx="269">
                  <c:v>0.53675494609724672</c:v>
                </c:pt>
                <c:pt idx="270">
                  <c:v>0.5380568207887233</c:v>
                </c:pt>
                <c:pt idx="271">
                  <c:v>0.54326010490104804</c:v>
                </c:pt>
                <c:pt idx="272">
                  <c:v>0.54455980311783347</c:v>
                </c:pt>
                <c:pt idx="273">
                  <c:v>0.54585902460110935</c:v>
                </c:pt>
                <c:pt idx="274">
                  <c:v>0.54585902460110935</c:v>
                </c:pt>
                <c:pt idx="275">
                  <c:v>0.54585902460110935</c:v>
                </c:pt>
                <c:pt idx="276">
                  <c:v>0.54715775557269442</c:v>
                </c:pt>
                <c:pt idx="277">
                  <c:v>0.55364357164519418</c:v>
                </c:pt>
                <c:pt idx="278">
                  <c:v>0.55623398409466662</c:v>
                </c:pt>
                <c:pt idx="279">
                  <c:v>0.55882199602784599</c:v>
                </c:pt>
                <c:pt idx="280">
                  <c:v>0.56528080982225082</c:v>
                </c:pt>
                <c:pt idx="281">
                  <c:v>0.56657054147520647</c:v>
                </c:pt>
                <c:pt idx="282">
                  <c:v>0.57172224841773334</c:v>
                </c:pt>
                <c:pt idx="283">
                  <c:v>0.57429358233529115</c:v>
                </c:pt>
                <c:pt idx="284">
                  <c:v>0.57429358233529115</c:v>
                </c:pt>
                <c:pt idx="285">
                  <c:v>0.576861760744935</c:v>
                </c:pt>
                <c:pt idx="286">
                  <c:v>0.576861760744935</c:v>
                </c:pt>
                <c:pt idx="287">
                  <c:v>0.57942667729182107</c:v>
                </c:pt>
                <c:pt idx="288">
                  <c:v>0.58326770449339005</c:v>
                </c:pt>
                <c:pt idx="289">
                  <c:v>0.58454630146730335</c:v>
                </c:pt>
                <c:pt idx="290">
                  <c:v>0.58710079851481667</c:v>
                </c:pt>
                <c:pt idx="291">
                  <c:v>0.58710079851481667</c:v>
                </c:pt>
                <c:pt idx="292">
                  <c:v>0.5896516125633553</c:v>
                </c:pt>
                <c:pt idx="293">
                  <c:v>0.5896516125633553</c:v>
                </c:pt>
                <c:pt idx="294">
                  <c:v>0.59728091764319036</c:v>
                </c:pt>
                <c:pt idx="295">
                  <c:v>0.59854895883817383</c:v>
                </c:pt>
                <c:pt idx="296">
                  <c:v>0.59981596307370455</c:v>
                </c:pt>
                <c:pt idx="297">
                  <c:v>0.59981596307370455</c:v>
                </c:pt>
                <c:pt idx="298">
                  <c:v>0.6010819175968618</c:v>
                </c:pt>
                <c:pt idx="299">
                  <c:v>0.60361062666030796</c:v>
                </c:pt>
                <c:pt idx="300">
                  <c:v>0.60361062666030796</c:v>
                </c:pt>
                <c:pt idx="301">
                  <c:v>0.6061349846742381</c:v>
                </c:pt>
                <c:pt idx="302">
                  <c:v>0.60739550051394653</c:v>
                </c:pt>
                <c:pt idx="303">
                  <c:v>0.60991314311644873</c:v>
                </c:pt>
                <c:pt idx="304">
                  <c:v>0.6124261837076681</c:v>
                </c:pt>
                <c:pt idx="305">
                  <c:v>0.61618689858220033</c:v>
                </c:pt>
                <c:pt idx="306">
                  <c:v>0.61618689858220033</c:v>
                </c:pt>
                <c:pt idx="307">
                  <c:v>0.61743806191070438</c:v>
                </c:pt>
                <c:pt idx="308">
                  <c:v>0.62243034719763901</c:v>
                </c:pt>
                <c:pt idx="309">
                  <c:v>0.62367526571935372</c:v>
                </c:pt>
                <c:pt idx="310">
                  <c:v>0.62491889894126051</c:v>
                </c:pt>
                <c:pt idx="311">
                  <c:v>0.62616123484318975</c:v>
                </c:pt>
                <c:pt idx="312">
                  <c:v>0.62740226144537059</c:v>
                </c:pt>
                <c:pt idx="313">
                  <c:v>0.62864196680877527</c:v>
                </c:pt>
                <c:pt idx="314">
                  <c:v>0.62988033903546303</c:v>
                </c:pt>
                <c:pt idx="315">
                  <c:v>0.63111736626891513</c:v>
                </c:pt>
                <c:pt idx="316">
                  <c:v>0.63111736626891513</c:v>
                </c:pt>
                <c:pt idx="317">
                  <c:v>0.63235303669437615</c:v>
                </c:pt>
                <c:pt idx="318">
                  <c:v>0.63235303669437615</c:v>
                </c:pt>
                <c:pt idx="319">
                  <c:v>0.63851062615067211</c:v>
                </c:pt>
                <c:pt idx="320">
                  <c:v>0.64096375553299212</c:v>
                </c:pt>
                <c:pt idx="321">
                  <c:v>0.64218815128421425</c:v>
                </c:pt>
                <c:pt idx="322">
                  <c:v>0.64463254778663848</c:v>
                </c:pt>
                <c:pt idx="323">
                  <c:v>0.64828798503574714</c:v>
                </c:pt>
                <c:pt idx="324">
                  <c:v>0.64950344377001457</c:v>
                </c:pt>
                <c:pt idx="325">
                  <c:v>0.65434987996360983</c:v>
                </c:pt>
                <c:pt idx="326">
                  <c:v>0.65917115037464247</c:v>
                </c:pt>
                <c:pt idx="327">
                  <c:v>0.66157213114267366</c:v>
                </c:pt>
                <c:pt idx="328">
                  <c:v>0.66157213114267366</c:v>
                </c:pt>
                <c:pt idx="329">
                  <c:v>0.66635435611763882</c:v>
                </c:pt>
                <c:pt idx="330">
                  <c:v>0.66873543164211702</c:v>
                </c:pt>
                <c:pt idx="331">
                  <c:v>0.67110970475206566</c:v>
                </c:pt>
                <c:pt idx="332">
                  <c:v>0.67229426464900732</c:v>
                </c:pt>
                <c:pt idx="333">
                  <c:v>0.67583751533835756</c:v>
                </c:pt>
                <c:pt idx="334">
                  <c:v>0.68170756662273635</c:v>
                </c:pt>
                <c:pt idx="335">
                  <c:v>0.68753234082610348</c:v>
                </c:pt>
                <c:pt idx="336">
                  <c:v>0.68984930231859165</c:v>
                </c:pt>
                <c:pt idx="337">
                  <c:v>0.68984930231859165</c:v>
                </c:pt>
                <c:pt idx="338">
                  <c:v>0.68984930231859165</c:v>
                </c:pt>
                <c:pt idx="339">
                  <c:v>0.69100497050610843</c:v>
                </c:pt>
                <c:pt idx="340">
                  <c:v>0.69215875117150261</c:v>
                </c:pt>
                <c:pt idx="341">
                  <c:v>0.693310635022232</c:v>
                </c:pt>
                <c:pt idx="342">
                  <c:v>0.70245632396878699</c:v>
                </c:pt>
                <c:pt idx="343">
                  <c:v>0.70359072762963448</c:v>
                </c:pt>
                <c:pt idx="344">
                  <c:v>0.70698198424462055</c:v>
                </c:pt>
                <c:pt idx="345">
                  <c:v>0.71259371776239111</c:v>
                </c:pt>
                <c:pt idx="346">
                  <c:v>0.71370993471565425</c:v>
                </c:pt>
                <c:pt idx="347">
                  <c:v>0.71925991995383942</c:v>
                </c:pt>
                <c:pt idx="348">
                  <c:v>0.72256474392971759</c:v>
                </c:pt>
                <c:pt idx="349">
                  <c:v>0.72366211037029315</c:v>
                </c:pt>
                <c:pt idx="350">
                  <c:v>0.72694137785281954</c:v>
                </c:pt>
                <c:pt idx="351">
                  <c:v>0.7280301646185765</c:v>
                </c:pt>
                <c:pt idx="352">
                  <c:v>0.7345171943995199</c:v>
                </c:pt>
                <c:pt idx="353">
                  <c:v>0.7345171943995199</c:v>
                </c:pt>
                <c:pt idx="354">
                  <c:v>0.73559068371341452</c:v>
                </c:pt>
                <c:pt idx="355">
                  <c:v>0.73666195925500466</c:v>
                </c:pt>
                <c:pt idx="356">
                  <c:v>0.73773101410408048</c:v>
                </c:pt>
                <c:pt idx="357">
                  <c:v>0.73773101410408048</c:v>
                </c:pt>
                <c:pt idx="358">
                  <c:v>0.73879784140244176</c:v>
                </c:pt>
                <c:pt idx="359">
                  <c:v>0.74620269804583894</c:v>
                </c:pt>
                <c:pt idx="360">
                  <c:v>0.7503840242277624</c:v>
                </c:pt>
                <c:pt idx="361">
                  <c:v>0.75246088208028894</c:v>
                </c:pt>
                <c:pt idx="362">
                  <c:v>0.75246088208028894</c:v>
                </c:pt>
                <c:pt idx="363">
                  <c:v>0.75246088208028894</c:v>
                </c:pt>
                <c:pt idx="364">
                  <c:v>0.75555877666047644</c:v>
                </c:pt>
                <c:pt idx="365">
                  <c:v>0.75658674678271098</c:v>
                </c:pt>
                <c:pt idx="366">
                  <c:v>0.75761237660162872</c:v>
                </c:pt>
                <c:pt idx="367">
                  <c:v>0.75965659272979047</c:v>
                </c:pt>
                <c:pt idx="368">
                  <c:v>0.76067516789748124</c:v>
                </c:pt>
                <c:pt idx="369">
                  <c:v>0.76067516789748124</c:v>
                </c:pt>
                <c:pt idx="370">
                  <c:v>0.76067516789748124</c:v>
                </c:pt>
                <c:pt idx="371">
                  <c:v>0.76371669629657701</c:v>
                </c:pt>
                <c:pt idx="372">
                  <c:v>0.76371669629657701</c:v>
                </c:pt>
                <c:pt idx="373">
                  <c:v>0.7677387430050886</c:v>
                </c:pt>
                <c:pt idx="374">
                  <c:v>0.7687382694907976</c:v>
                </c:pt>
                <c:pt idx="375">
                  <c:v>0.7687382694907976</c:v>
                </c:pt>
                <c:pt idx="376">
                  <c:v>0.76973539186888829</c:v>
                </c:pt>
                <c:pt idx="377">
                  <c:v>0.77271228563187599</c:v>
                </c:pt>
                <c:pt idx="378">
                  <c:v>0.77369974317166545</c:v>
                </c:pt>
                <c:pt idx="379">
                  <c:v>0.77369974317166545</c:v>
                </c:pt>
                <c:pt idx="380">
                  <c:v>0.77468477271766745</c:v>
                </c:pt>
                <c:pt idx="381">
                  <c:v>0.77468477271766745</c:v>
                </c:pt>
                <c:pt idx="382">
                  <c:v>0.77468477271766745</c:v>
                </c:pt>
                <c:pt idx="383">
                  <c:v>0.77468477271766745</c:v>
                </c:pt>
                <c:pt idx="384">
                  <c:v>0.7756673696832842</c:v>
                </c:pt>
                <c:pt idx="385">
                  <c:v>0.77664752954545035</c:v>
                </c:pt>
                <c:pt idx="386">
                  <c:v>0.77762524784461873</c:v>
                </c:pt>
                <c:pt idx="387">
                  <c:v>0.77762524784461873</c:v>
                </c:pt>
                <c:pt idx="388">
                  <c:v>0.77957334223328378</c:v>
                </c:pt>
                <c:pt idx="389">
                  <c:v>0.78726720915081649</c:v>
                </c:pt>
                <c:pt idx="390">
                  <c:v>0.79105459357587393</c:v>
                </c:pt>
                <c:pt idx="391">
                  <c:v>0.79386888580613157</c:v>
                </c:pt>
                <c:pt idx="392">
                  <c:v>0.80034753565787708</c:v>
                </c:pt>
                <c:pt idx="393">
                  <c:v>0.80308617228155676</c:v>
                </c:pt>
                <c:pt idx="394">
                  <c:v>0.80938727949541001</c:v>
                </c:pt>
                <c:pt idx="395">
                  <c:v>0.80938727949541001</c:v>
                </c:pt>
                <c:pt idx="396">
                  <c:v>0.81116460985916283</c:v>
                </c:pt>
                <c:pt idx="397">
                  <c:v>0.81116460985916283</c:v>
                </c:pt>
                <c:pt idx="398">
                  <c:v>0.81556306089182706</c:v>
                </c:pt>
                <c:pt idx="399">
                  <c:v>0.81643504247316101</c:v>
                </c:pt>
                <c:pt idx="400">
                  <c:v>0.81730445022676634</c:v>
                </c:pt>
                <c:pt idx="401">
                  <c:v>0.82246675450182249</c:v>
                </c:pt>
                <c:pt idx="402">
                  <c:v>0.82416686120890958</c:v>
                </c:pt>
                <c:pt idx="403">
                  <c:v>0.82585661954374034</c:v>
                </c:pt>
                <c:pt idx="404">
                  <c:v>0.82753602032355933</c:v>
                </c:pt>
                <c:pt idx="405">
                  <c:v>0.82837183401891445</c:v>
                </c:pt>
                <c:pt idx="406">
                  <c:v>0.82920505530936284</c:v>
                </c:pt>
                <c:pt idx="407">
                  <c:v>0.83086371720115315</c:v>
                </c:pt>
                <c:pt idx="408">
                  <c:v>0.83658726216974399</c:v>
                </c:pt>
                <c:pt idx="409">
                  <c:v>0.83819917972833069</c:v>
                </c:pt>
                <c:pt idx="410">
                  <c:v>0.83900123985494668</c:v>
                </c:pt>
                <c:pt idx="411">
                  <c:v>0.84297254791698528</c:v>
                </c:pt>
                <c:pt idx="412">
                  <c:v>0.84375901084158722</c:v>
                </c:pt>
                <c:pt idx="413">
                  <c:v>0.84532413880782653</c:v>
                </c:pt>
                <c:pt idx="414">
                  <c:v>0.84919148414149848</c:v>
                </c:pt>
                <c:pt idx="415">
                  <c:v>0.84919148414149848</c:v>
                </c:pt>
                <c:pt idx="416">
                  <c:v>0.84995716079013151</c:v>
                </c:pt>
                <c:pt idx="417">
                  <c:v>0.85223861583812976</c:v>
                </c:pt>
                <c:pt idx="418">
                  <c:v>0.85374661378615369</c:v>
                </c:pt>
                <c:pt idx="419">
                  <c:v>0.85524424159030576</c:v>
                </c:pt>
                <c:pt idx="420">
                  <c:v>0.85673150664841446</c:v>
                </c:pt>
                <c:pt idx="421">
                  <c:v>0.86113121182902908</c:v>
                </c:pt>
                <c:pt idx="422">
                  <c:v>0.86185545407407349</c:v>
                </c:pt>
                <c:pt idx="423">
                  <c:v>0.86543799811849387</c:v>
                </c:pt>
                <c:pt idx="424">
                  <c:v>0.86614678443712767</c:v>
                </c:pt>
                <c:pt idx="425">
                  <c:v>0.86755664798431054</c:v>
                </c:pt>
                <c:pt idx="426">
                  <c:v>0.86755664798431054</c:v>
                </c:pt>
                <c:pt idx="427">
                  <c:v>0.8682577287834532</c:v>
                </c:pt>
                <c:pt idx="428">
                  <c:v>0.8682577287834532</c:v>
                </c:pt>
                <c:pt idx="429">
                  <c:v>0.86895624472759803</c:v>
                </c:pt>
                <c:pt idx="430">
                  <c:v>0.86895624472759803</c:v>
                </c:pt>
                <c:pt idx="431">
                  <c:v>0.87241042001796432</c:v>
                </c:pt>
                <c:pt idx="432">
                  <c:v>0.87309358853515473</c:v>
                </c:pt>
                <c:pt idx="433">
                  <c:v>0.87445227627108202</c:v>
                </c:pt>
                <c:pt idx="434">
                  <c:v>0.87512780001021573</c:v>
                </c:pt>
                <c:pt idx="435">
                  <c:v>0.87713911880128803</c:v>
                </c:pt>
                <c:pt idx="436">
                  <c:v>0.87978537982755467</c:v>
                </c:pt>
                <c:pt idx="437">
                  <c:v>0.87978537982755467</c:v>
                </c:pt>
                <c:pt idx="438">
                  <c:v>0.88174354279651368</c:v>
                </c:pt>
                <c:pt idx="439">
                  <c:v>0.88495682849998736</c:v>
                </c:pt>
                <c:pt idx="440">
                  <c:v>0.88559196370252125</c:v>
                </c:pt>
                <c:pt idx="441">
                  <c:v>0.89058329649910073</c:v>
                </c:pt>
                <c:pt idx="442">
                  <c:v>0.89119604274237108</c:v>
                </c:pt>
                <c:pt idx="443">
                  <c:v>0.89482074641599318</c:v>
                </c:pt>
                <c:pt idx="444">
                  <c:v>0.89600934265089416</c:v>
                </c:pt>
                <c:pt idx="445">
                  <c:v>0.89600934265089416</c:v>
                </c:pt>
                <c:pt idx="446">
                  <c:v>0.89835725360281427</c:v>
                </c:pt>
                <c:pt idx="447">
                  <c:v>0.89893815311419267</c:v>
                </c:pt>
                <c:pt idx="448">
                  <c:v>0.89951662905415597</c:v>
                </c:pt>
                <c:pt idx="449">
                  <c:v>0.90405766607902049</c:v>
                </c:pt>
                <c:pt idx="450">
                  <c:v>0.90461451058621933</c:v>
                </c:pt>
                <c:pt idx="451">
                  <c:v>0.90627076449830923</c:v>
                </c:pt>
                <c:pt idx="452">
                  <c:v>0.90844594529778466</c:v>
                </c:pt>
                <c:pt idx="453">
                  <c:v>0.9100526169125599</c:v>
                </c:pt>
                <c:pt idx="454">
                  <c:v>0.91058349066675226</c:v>
                </c:pt>
                <c:pt idx="455">
                  <c:v>0.91111203030242693</c:v>
                </c:pt>
                <c:pt idx="456">
                  <c:v>0.91320294028552851</c:v>
                </c:pt>
                <c:pt idx="457">
                  <c:v>0.91371987905411578</c:v>
                </c:pt>
                <c:pt idx="458">
                  <c:v>0.9142345117978713</c:v>
                </c:pt>
                <c:pt idx="459">
                  <c:v>0.91677325351164285</c:v>
                </c:pt>
                <c:pt idx="460">
                  <c:v>0.91677325351164285</c:v>
                </c:pt>
                <c:pt idx="461">
                  <c:v>0.91727415151191882</c:v>
                </c:pt>
                <c:pt idx="462">
                  <c:v>0.91974466182147196</c:v>
                </c:pt>
                <c:pt idx="463">
                  <c:v>0.92119996557166095</c:v>
                </c:pt>
                <c:pt idx="464">
                  <c:v>0.92168059701196359</c:v>
                </c:pt>
                <c:pt idx="465">
                  <c:v>0.9240504639334095</c:v>
                </c:pt>
                <c:pt idx="466">
                  <c:v>0.92451781596181426</c:v>
                </c:pt>
                <c:pt idx="467">
                  <c:v>0.92544594101559041</c:v>
                </c:pt>
                <c:pt idx="468">
                  <c:v>0.92636532972872998</c:v>
                </c:pt>
                <c:pt idx="469">
                  <c:v>0.92817807085764326</c:v>
                </c:pt>
                <c:pt idx="470">
                  <c:v>0.92951501676591097</c:v>
                </c:pt>
                <c:pt idx="471">
                  <c:v>0.93508835895634801</c:v>
                </c:pt>
                <c:pt idx="472">
                  <c:v>0.93673256606982769</c:v>
                </c:pt>
                <c:pt idx="473">
                  <c:v>0.94070124059731741</c:v>
                </c:pt>
                <c:pt idx="474">
                  <c:v>0.94223296480701757</c:v>
                </c:pt>
                <c:pt idx="475">
                  <c:v>0.94298707235566648</c:v>
                </c:pt>
                <c:pt idx="476">
                  <c:v>0.94483844381434656</c:v>
                </c:pt>
                <c:pt idx="477">
                  <c:v>0.94908809143518336</c:v>
                </c:pt>
                <c:pt idx="478">
                  <c:v>0.95210095103245551</c:v>
                </c:pt>
                <c:pt idx="479">
                  <c:v>0.95339336466051017</c:v>
                </c:pt>
                <c:pt idx="480">
                  <c:v>0.95371205655602997</c:v>
                </c:pt>
                <c:pt idx="481">
                  <c:v>0.95434419022435013</c:v>
                </c:pt>
                <c:pt idx="482">
                  <c:v>0.95589419038556656</c:v>
                </c:pt>
                <c:pt idx="483">
                  <c:v>0.95740148209716414</c:v>
                </c:pt>
                <c:pt idx="484">
                  <c:v>0.96248621296102943</c:v>
                </c:pt>
                <c:pt idx="485">
                  <c:v>0.96406669291776381</c:v>
                </c:pt>
                <c:pt idx="486">
                  <c:v>0.96483623635085447</c:v>
                </c:pt>
                <c:pt idx="487">
                  <c:v>0.96657934104006671</c:v>
                </c:pt>
                <c:pt idx="488">
                  <c:v>0.96754303915134965</c:v>
                </c:pt>
                <c:pt idx="489">
                  <c:v>0.97484351329120644</c:v>
                </c:pt>
                <c:pt idx="490">
                  <c:v>0.97977236909600374</c:v>
                </c:pt>
                <c:pt idx="491">
                  <c:v>0.98372412839454482</c:v>
                </c:pt>
                <c:pt idx="492">
                  <c:v>0.98372412839454482</c:v>
                </c:pt>
                <c:pt idx="493">
                  <c:v>0.98488518752208964</c:v>
                </c:pt>
                <c:pt idx="494">
                  <c:v>0.98654969096429368</c:v>
                </c:pt>
                <c:pt idx="495">
                  <c:v>0.98666228111554533</c:v>
                </c:pt>
                <c:pt idx="496">
                  <c:v>0.98940924811886088</c:v>
                </c:pt>
                <c:pt idx="497">
                  <c:v>0.99054610707991519</c:v>
                </c:pt>
                <c:pt idx="498">
                  <c:v>0.9910337874578613</c:v>
                </c:pt>
                <c:pt idx="499">
                  <c:v>0.99409525315102998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AA-46D8-80B2-09B806131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8536191150493108E-2"/>
          <c:y val="0.14047863247863249"/>
          <c:w val="0.88267616411708749"/>
          <c:h val="0.70646719160104987"/>
        </c:manualLayout>
      </c:layout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normal!$M$5:$M$504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A9-4B1C-AAE4-3044DF8E6D2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normal!$N$5:$N$504</c:f>
              <c:numCache>
                <c:formatCode>General</c:formatCode>
                <c:ptCount val="500"/>
                <c:pt idx="0">
                  <c:v>2.5026697058639263E-4</c:v>
                </c:pt>
                <c:pt idx="1">
                  <c:v>6.8270973396421133E-4</c:v>
                </c:pt>
                <c:pt idx="2">
                  <c:v>2.6715163593780196E-3</c:v>
                </c:pt>
                <c:pt idx="3">
                  <c:v>4.6780645813720434E-3</c:v>
                </c:pt>
                <c:pt idx="4">
                  <c:v>7.5845338302401137E-3</c:v>
                </c:pt>
                <c:pt idx="5">
                  <c:v>9.2313115997908618E-3</c:v>
                </c:pt>
                <c:pt idx="6">
                  <c:v>1.0897257720245234E-2</c:v>
                </c:pt>
                <c:pt idx="7">
                  <c:v>1.4536802835837885E-2</c:v>
                </c:pt>
                <c:pt idx="8">
                  <c:v>1.4658061011291182E-2</c:v>
                </c:pt>
                <c:pt idx="9">
                  <c:v>1.4658061011291182E-2</c:v>
                </c:pt>
                <c:pt idx="10">
                  <c:v>1.59192659387026E-2</c:v>
                </c:pt>
                <c:pt idx="11">
                  <c:v>1.8277013971520869E-2</c:v>
                </c:pt>
                <c:pt idx="12">
                  <c:v>2.4451624929212372E-2</c:v>
                </c:pt>
                <c:pt idx="13">
                  <c:v>2.4640268940049396E-2</c:v>
                </c:pt>
                <c:pt idx="14">
                  <c:v>3.2053447079149935E-2</c:v>
                </c:pt>
                <c:pt idx="15">
                  <c:v>3.3737904932879516E-2</c:v>
                </c:pt>
                <c:pt idx="16">
                  <c:v>3.6269990437483662E-2</c:v>
                </c:pt>
                <c:pt idx="17">
                  <c:v>3.7325453963531888E-2</c:v>
                </c:pt>
                <c:pt idx="18">
                  <c:v>3.7593203923065914E-2</c:v>
                </c:pt>
                <c:pt idx="19">
                  <c:v>4.0643193689881944E-2</c:v>
                </c:pt>
                <c:pt idx="20">
                  <c:v>4.8985422273548969E-2</c:v>
                </c:pt>
                <c:pt idx="21">
                  <c:v>5.0670923843701157E-2</c:v>
                </c:pt>
                <c:pt idx="22">
                  <c:v>5.2754141131860277E-2</c:v>
                </c:pt>
                <c:pt idx="23">
                  <c:v>5.3107859285986929E-2</c:v>
                </c:pt>
                <c:pt idx="24">
                  <c:v>6.3387983422727931E-2</c:v>
                </c:pt>
                <c:pt idx="25">
                  <c:v>6.5034618422694354E-2</c:v>
                </c:pt>
                <c:pt idx="26">
                  <c:v>6.6291236001635362E-2</c:v>
                </c:pt>
                <c:pt idx="27">
                  <c:v>6.6291236001635362E-2</c:v>
                </c:pt>
                <c:pt idx="28">
                  <c:v>6.9296417844203942E-2</c:v>
                </c:pt>
                <c:pt idx="29">
                  <c:v>7.0174035693466225E-2</c:v>
                </c:pt>
                <c:pt idx="30">
                  <c:v>7.0174035693466225E-2</c:v>
                </c:pt>
                <c:pt idx="31">
                  <c:v>7.2858211326336519E-2</c:v>
                </c:pt>
                <c:pt idx="32">
                  <c:v>7.469086964821231E-2</c:v>
                </c:pt>
                <c:pt idx="33">
                  <c:v>7.469086964821231E-2</c:v>
                </c:pt>
                <c:pt idx="34">
                  <c:v>7.5154484971234572E-2</c:v>
                </c:pt>
                <c:pt idx="35">
                  <c:v>7.7030909683414889E-2</c:v>
                </c:pt>
                <c:pt idx="36">
                  <c:v>7.991201610703437E-2</c:v>
                </c:pt>
                <c:pt idx="37">
                  <c:v>8.2873877352062864E-2</c:v>
                </c:pt>
                <c:pt idx="38">
                  <c:v>8.4385431744193287E-2</c:v>
                </c:pt>
                <c:pt idx="39">
                  <c:v>8.6432894337497623E-2</c:v>
                </c:pt>
                <c:pt idx="40">
                  <c:v>8.6432894337497623E-2</c:v>
                </c:pt>
                <c:pt idx="41">
                  <c:v>9.0638875674663791E-2</c:v>
                </c:pt>
                <c:pt idx="42">
                  <c:v>9.1713725107365598E-2</c:v>
                </c:pt>
                <c:pt idx="43">
                  <c:v>9.2254677947855149E-2</c:v>
                </c:pt>
                <c:pt idx="44">
                  <c:v>9.4442113544970299E-2</c:v>
                </c:pt>
                <c:pt idx="45">
                  <c:v>0.1000775754424629</c:v>
                </c:pt>
                <c:pt idx="46">
                  <c:v>0.10123354044878823</c:v>
                </c:pt>
                <c:pt idx="47">
                  <c:v>0.10715945696913025</c:v>
                </c:pt>
                <c:pt idx="48">
                  <c:v>0.10837406635677135</c:v>
                </c:pt>
                <c:pt idx="49">
                  <c:v>0.10959855088653801</c:v>
                </c:pt>
                <c:pt idx="50">
                  <c:v>0.11207725369878635</c:v>
                </c:pt>
                <c:pt idx="51">
                  <c:v>0.11333152455031915</c:v>
                </c:pt>
                <c:pt idx="52">
                  <c:v>0.11333152455031915</c:v>
                </c:pt>
                <c:pt idx="53">
                  <c:v>0.11715431662388139</c:v>
                </c:pt>
                <c:pt idx="54">
                  <c:v>0.1197530657233243</c:v>
                </c:pt>
                <c:pt idx="55">
                  <c:v>0.12239220115322079</c:v>
                </c:pt>
                <c:pt idx="56">
                  <c:v>0.12239220115322079</c:v>
                </c:pt>
                <c:pt idx="57">
                  <c:v>0.12372696636509242</c:v>
                </c:pt>
                <c:pt idx="58">
                  <c:v>0.12372696636509242</c:v>
                </c:pt>
                <c:pt idx="59">
                  <c:v>0.12507188988160031</c:v>
                </c:pt>
                <c:pt idx="60">
                  <c:v>0.12574816699356617</c:v>
                </c:pt>
                <c:pt idx="61">
                  <c:v>0.12710836350350999</c:v>
                </c:pt>
                <c:pt idx="62">
                  <c:v>0.12779228739446721</c:v>
                </c:pt>
                <c:pt idx="63">
                  <c:v>0.13055353743959291</c:v>
                </c:pt>
                <c:pt idx="64">
                  <c:v>0.13125024886639011</c:v>
                </c:pt>
                <c:pt idx="65">
                  <c:v>0.133355771774545</c:v>
                </c:pt>
                <c:pt idx="66">
                  <c:v>0.13477229588538164</c:v>
                </c:pt>
                <c:pt idx="67">
                  <c:v>0.13477229588538164</c:v>
                </c:pt>
                <c:pt idx="68">
                  <c:v>0.13548441583163523</c:v>
                </c:pt>
                <c:pt idx="69">
                  <c:v>0.13691637974702942</c:v>
                </c:pt>
                <c:pt idx="70">
                  <c:v>0.13835865276988099</c:v>
                </c:pt>
                <c:pt idx="71">
                  <c:v>0.13908365891329069</c:v>
                </c:pt>
                <c:pt idx="72">
                  <c:v>0.13908365891329069</c:v>
                </c:pt>
                <c:pt idx="73">
                  <c:v>0.14200951307845724</c:v>
                </c:pt>
                <c:pt idx="74">
                  <c:v>0.1479854492323095</c:v>
                </c:pt>
                <c:pt idx="75">
                  <c:v>0.14874410711565697</c:v>
                </c:pt>
                <c:pt idx="76">
                  <c:v>0.15103565421390616</c:v>
                </c:pt>
                <c:pt idx="77">
                  <c:v>0.15180469645284464</c:v>
                </c:pt>
                <c:pt idx="78">
                  <c:v>0.15335057387662399</c:v>
                </c:pt>
                <c:pt idx="79">
                  <c:v>0.15884300711161303</c:v>
                </c:pt>
                <c:pt idx="80">
                  <c:v>0.15963803823419251</c:v>
                </c:pt>
                <c:pt idx="81">
                  <c:v>0.15963803823419251</c:v>
                </c:pt>
                <c:pt idx="82">
                  <c:v>0.16043566893466141</c:v>
                </c:pt>
                <c:pt idx="83">
                  <c:v>0.16203872862379498</c:v>
                </c:pt>
                <c:pt idx="84">
                  <c:v>0.16284415724888601</c:v>
                </c:pt>
                <c:pt idx="85">
                  <c:v>0.16365218472436682</c:v>
                </c:pt>
                <c:pt idx="86">
                  <c:v>0.16773129154072017</c:v>
                </c:pt>
                <c:pt idx="87">
                  <c:v>0.17104130803136652</c:v>
                </c:pt>
                <c:pt idx="88">
                  <c:v>0.17355104967992374</c:v>
                </c:pt>
                <c:pt idx="89">
                  <c:v>0.17355104967992374</c:v>
                </c:pt>
                <c:pt idx="90">
                  <c:v>0.18122001341607991</c:v>
                </c:pt>
                <c:pt idx="91">
                  <c:v>0.18208503144714264</c:v>
                </c:pt>
                <c:pt idx="92">
                  <c:v>0.18557085368835646</c:v>
                </c:pt>
                <c:pt idx="93">
                  <c:v>0.18644873795831446</c:v>
                </c:pt>
                <c:pt idx="94">
                  <c:v>0.18821220775370834</c:v>
                </c:pt>
                <c:pt idx="95">
                  <c:v>0.18998593240919395</c:v>
                </c:pt>
                <c:pt idx="96">
                  <c:v>0.19087663502521202</c:v>
                </c:pt>
                <c:pt idx="97">
                  <c:v>0.19176989489267413</c:v>
                </c:pt>
                <c:pt idx="98">
                  <c:v>0.19266570972929958</c:v>
                </c:pt>
                <c:pt idx="99">
                  <c:v>0.19266570972929958</c:v>
                </c:pt>
                <c:pt idx="100">
                  <c:v>0.19536846030816563</c:v>
                </c:pt>
                <c:pt idx="101">
                  <c:v>0.19536846030816563</c:v>
                </c:pt>
                <c:pt idx="102">
                  <c:v>0.20361386037050949</c:v>
                </c:pt>
                <c:pt idx="103">
                  <c:v>0.2082829612544716</c:v>
                </c:pt>
                <c:pt idx="104">
                  <c:v>0.2082829612544716</c:v>
                </c:pt>
                <c:pt idx="105">
                  <c:v>0.2092243047031126</c:v>
                </c:pt>
                <c:pt idx="106">
                  <c:v>0.2092243047031126</c:v>
                </c:pt>
                <c:pt idx="107">
                  <c:v>0.21016814796932942</c:v>
                </c:pt>
                <c:pt idx="108">
                  <c:v>0.21111448752450593</c:v>
                </c:pt>
                <c:pt idx="109">
                  <c:v>0.21206331977698378</c:v>
                </c:pt>
                <c:pt idx="110">
                  <c:v>0.21206331977698378</c:v>
                </c:pt>
                <c:pt idx="111">
                  <c:v>0.21396844769170772</c:v>
                </c:pt>
                <c:pt idx="112">
                  <c:v>0.21974326305956488</c:v>
                </c:pt>
                <c:pt idx="113">
                  <c:v>0.22168790532094151</c:v>
                </c:pt>
                <c:pt idx="114">
                  <c:v>0.22266390211922102</c:v>
                </c:pt>
                <c:pt idx="115">
                  <c:v>0.22364234358192692</c:v>
                </c:pt>
                <c:pt idx="116">
                  <c:v>0.23055950557478094</c:v>
                </c:pt>
                <c:pt idx="117">
                  <c:v>0.23155734008257939</c:v>
                </c:pt>
                <c:pt idx="118">
                  <c:v>0.23155734008257939</c:v>
                </c:pt>
                <c:pt idx="119">
                  <c:v>0.23356021204273336</c:v>
                </c:pt>
                <c:pt idx="120">
                  <c:v>0.23356021204273336</c:v>
                </c:pt>
                <c:pt idx="121">
                  <c:v>0.23557265436674873</c:v>
                </c:pt>
                <c:pt idx="122">
                  <c:v>0.23557265436674873</c:v>
                </c:pt>
                <c:pt idx="123">
                  <c:v>0.2396260844348071</c:v>
                </c:pt>
                <c:pt idx="124">
                  <c:v>0.24577694516758181</c:v>
                </c:pt>
                <c:pt idx="125">
                  <c:v>0.24681026684532781</c:v>
                </c:pt>
                <c:pt idx="126">
                  <c:v>0.24992413515391682</c:v>
                </c:pt>
                <c:pt idx="127">
                  <c:v>0.25096670568079732</c:v>
                </c:pt>
                <c:pt idx="128">
                  <c:v>0.25621388939691075</c:v>
                </c:pt>
                <c:pt idx="129">
                  <c:v>0.25727014815271509</c:v>
                </c:pt>
                <c:pt idx="130">
                  <c:v>0.25832866588558911</c:v>
                </c:pt>
                <c:pt idx="131">
                  <c:v>0.26151770698151455</c:v>
                </c:pt>
                <c:pt idx="132">
                  <c:v>0.26472683877921771</c:v>
                </c:pt>
                <c:pt idx="133">
                  <c:v>0.26795587561396172</c:v>
                </c:pt>
                <c:pt idx="134">
                  <c:v>0.2712046268083671</c:v>
                </c:pt>
                <c:pt idx="135">
                  <c:v>0.27229189116645791</c:v>
                </c:pt>
                <c:pt idx="136">
                  <c:v>0.27229189116645791</c:v>
                </c:pt>
                <c:pt idx="137">
                  <c:v>0.27447289669704034</c:v>
                </c:pt>
                <c:pt idx="138">
                  <c:v>0.27556662294703749</c:v>
                </c:pt>
                <c:pt idx="139">
                  <c:v>0.27666248813693117</c:v>
                </c:pt>
                <c:pt idx="140">
                  <c:v>0.27886060482203817</c:v>
                </c:pt>
                <c:pt idx="141">
                  <c:v>0.28217362959486758</c:v>
                </c:pt>
                <c:pt idx="142">
                  <c:v>0.28328216642404724</c:v>
                </c:pt>
                <c:pt idx="143">
                  <c:v>0.28439278763016218</c:v>
                </c:pt>
                <c:pt idx="144">
                  <c:v>0.2855054851780775</c:v>
                </c:pt>
                <c:pt idx="145">
                  <c:v>0.28773707686053562</c:v>
                </c:pt>
                <c:pt idx="146">
                  <c:v>0.28773707686053562</c:v>
                </c:pt>
                <c:pt idx="147">
                  <c:v>0.28773707686053562</c:v>
                </c:pt>
                <c:pt idx="148">
                  <c:v>0.28885595462702324</c:v>
                </c:pt>
                <c:pt idx="149">
                  <c:v>0.28997687599950928</c:v>
                </c:pt>
                <c:pt idx="150">
                  <c:v>0.29222481617559365</c:v>
                </c:pt>
                <c:pt idx="151">
                  <c:v>0.29561184327401457</c:v>
                </c:pt>
                <c:pt idx="152">
                  <c:v>0.29561184327401457</c:v>
                </c:pt>
                <c:pt idx="153">
                  <c:v>0.29787983928668682</c:v>
                </c:pt>
                <c:pt idx="154">
                  <c:v>0.30243946424424223</c:v>
                </c:pt>
                <c:pt idx="155">
                  <c:v>0.30358424226849867</c:v>
                </c:pt>
                <c:pt idx="156">
                  <c:v>0.30473095103752734</c:v>
                </c:pt>
                <c:pt idx="157">
                  <c:v>0.30587958146723038</c:v>
                </c:pt>
                <c:pt idx="158">
                  <c:v>0.30587958146723038</c:v>
                </c:pt>
                <c:pt idx="159">
                  <c:v>0.30703012441696326</c:v>
                </c:pt>
                <c:pt idx="160">
                  <c:v>0.30703012441696326</c:v>
                </c:pt>
                <c:pt idx="161">
                  <c:v>0.30703012441696326</c:v>
                </c:pt>
                <c:pt idx="162">
                  <c:v>0.30818257068973154</c:v>
                </c:pt>
                <c:pt idx="163">
                  <c:v>0.31165123663538274</c:v>
                </c:pt>
                <c:pt idx="164">
                  <c:v>0.31165123663538274</c:v>
                </c:pt>
                <c:pt idx="165">
                  <c:v>0.31165123663538274</c:v>
                </c:pt>
                <c:pt idx="166">
                  <c:v>0.31281120311056737</c:v>
                </c:pt>
                <c:pt idx="167">
                  <c:v>0.3139730260858058</c:v>
                </c:pt>
                <c:pt idx="168">
                  <c:v>0.3151366960303793</c:v>
                </c:pt>
                <c:pt idx="169">
                  <c:v>0.31630220335869902</c:v>
                </c:pt>
                <c:pt idx="170">
                  <c:v>0.31863869155122049</c:v>
                </c:pt>
                <c:pt idx="171">
                  <c:v>0.32215696144835604</c:v>
                </c:pt>
                <c:pt idx="172">
                  <c:v>0.32333328873751777</c:v>
                </c:pt>
                <c:pt idx="173">
                  <c:v>0.32569123960150065</c:v>
                </c:pt>
                <c:pt idx="174">
                  <c:v>0.32687284309093334</c:v>
                </c:pt>
                <c:pt idx="175">
                  <c:v>0.32805618514069557</c:v>
                </c:pt>
                <c:pt idx="176">
                  <c:v>0.33042804417365557</c:v>
                </c:pt>
                <c:pt idx="177">
                  <c:v>0.33042804417365557</c:v>
                </c:pt>
                <c:pt idx="178">
                  <c:v>0.33758427798420632</c:v>
                </c:pt>
                <c:pt idx="179">
                  <c:v>0.33878280306329117</c:v>
                </c:pt>
                <c:pt idx="180">
                  <c:v>0.34359314142352004</c:v>
                </c:pt>
                <c:pt idx="181">
                  <c:v>0.34359314142352004</c:v>
                </c:pt>
                <c:pt idx="182">
                  <c:v>0.34721764328330468</c:v>
                </c:pt>
                <c:pt idx="183">
                  <c:v>0.34842894260213031</c:v>
                </c:pt>
                <c:pt idx="184">
                  <c:v>0.34842894260213031</c:v>
                </c:pt>
                <c:pt idx="185">
                  <c:v>0.35207208234929505</c:v>
                </c:pt>
                <c:pt idx="186">
                  <c:v>0.35572885084967742</c:v>
                </c:pt>
                <c:pt idx="187">
                  <c:v>0.35695074987626585</c:v>
                </c:pt>
                <c:pt idx="188">
                  <c:v>0.35817411812541555</c:v>
                </c:pt>
                <c:pt idx="189">
                  <c:v>0.36062521667673314</c:v>
                </c:pt>
                <c:pt idx="190">
                  <c:v>0.36431259740878885</c:v>
                </c:pt>
                <c:pt idx="191">
                  <c:v>0.36677787151669516</c:v>
                </c:pt>
                <c:pt idx="192">
                  <c:v>0.36924865295463433</c:v>
                </c:pt>
                <c:pt idx="193">
                  <c:v>0.37793839344619407</c:v>
                </c:pt>
                <c:pt idx="194">
                  <c:v>0.37793839344619407</c:v>
                </c:pt>
                <c:pt idx="195">
                  <c:v>0.38043278363895627</c:v>
                </c:pt>
                <c:pt idx="196">
                  <c:v>0.38293215539136105</c:v>
                </c:pt>
                <c:pt idx="197">
                  <c:v>0.38418367885404336</c:v>
                </c:pt>
                <c:pt idx="198">
                  <c:v>0.38794545227751187</c:v>
                </c:pt>
                <c:pt idx="199">
                  <c:v>0.38794545227751187</c:v>
                </c:pt>
                <c:pt idx="200">
                  <c:v>0.39171777069031782</c:v>
                </c:pt>
                <c:pt idx="201">
                  <c:v>0.39929269481694696</c:v>
                </c:pt>
                <c:pt idx="202">
                  <c:v>0.40055896138176716</c:v>
                </c:pt>
                <c:pt idx="203">
                  <c:v>0.40309461957158332</c:v>
                </c:pt>
                <c:pt idx="204">
                  <c:v>0.40563435926129177</c:v>
                </c:pt>
                <c:pt idx="205">
                  <c:v>0.40690572758012566</c:v>
                </c:pt>
                <c:pt idx="206">
                  <c:v>0.4094513967122424</c:v>
                </c:pt>
                <c:pt idx="207">
                  <c:v>0.41200088953842728</c:v>
                </c:pt>
                <c:pt idx="208">
                  <c:v>0.41327703736132915</c:v>
                </c:pt>
                <c:pt idx="209">
                  <c:v>0.41455410207775484</c:v>
                </c:pt>
                <c:pt idx="210">
                  <c:v>0.41455410207775484</c:v>
                </c:pt>
                <c:pt idx="211">
                  <c:v>0.41967126802674809</c:v>
                </c:pt>
                <c:pt idx="212">
                  <c:v>0.42095272057512723</c:v>
                </c:pt>
                <c:pt idx="213">
                  <c:v>0.42223501116766515</c:v>
                </c:pt>
                <c:pt idx="214">
                  <c:v>0.42223501116766515</c:v>
                </c:pt>
                <c:pt idx="215">
                  <c:v>0.42480205351011174</c:v>
                </c:pt>
                <c:pt idx="216">
                  <c:v>0.42737228884391004</c:v>
                </c:pt>
                <c:pt idx="217">
                  <c:v>0.42737228884391004</c:v>
                </c:pt>
                <c:pt idx="218">
                  <c:v>0.43252191162458647</c:v>
                </c:pt>
                <c:pt idx="219">
                  <c:v>0.43768302193337505</c:v>
                </c:pt>
                <c:pt idx="220">
                  <c:v>0.43768302193337505</c:v>
                </c:pt>
                <c:pt idx="221">
                  <c:v>0.44026761530231051</c:v>
                </c:pt>
                <c:pt idx="222">
                  <c:v>0.44544433623324492</c:v>
                </c:pt>
                <c:pt idx="223">
                  <c:v>0.44544433623324492</c:v>
                </c:pt>
                <c:pt idx="224">
                  <c:v>0.44674000668801234</c:v>
                </c:pt>
                <c:pt idx="225">
                  <c:v>0.44933304028021209</c:v>
                </c:pt>
                <c:pt idx="226">
                  <c:v>0.45063037603475886</c:v>
                </c:pt>
                <c:pt idx="227">
                  <c:v>0.4532266168727152</c:v>
                </c:pt>
                <c:pt idx="228">
                  <c:v>0.457124695187964</c:v>
                </c:pt>
                <c:pt idx="229">
                  <c:v>0.457124695187964</c:v>
                </c:pt>
                <c:pt idx="230">
                  <c:v>0.46102690310341077</c:v>
                </c:pt>
                <c:pt idx="231">
                  <c:v>0.46232849227276773</c:v>
                </c:pt>
                <c:pt idx="232">
                  <c:v>0.46232849227276773</c:v>
                </c:pt>
                <c:pt idx="233">
                  <c:v>0.46493286730330857</c:v>
                </c:pt>
                <c:pt idx="234">
                  <c:v>0.46753874541293072</c:v>
                </c:pt>
                <c:pt idx="235">
                  <c:v>0.46884221338583965</c:v>
                </c:pt>
                <c:pt idx="236">
                  <c:v>0.47014601542173379</c:v>
                </c:pt>
                <c:pt idx="237">
                  <c:v>0.47405928660276064</c:v>
                </c:pt>
                <c:pt idx="238">
                  <c:v>0.47536428553631999</c:v>
                </c:pt>
                <c:pt idx="239">
                  <c:v>0.47536428553631999</c:v>
                </c:pt>
                <c:pt idx="240">
                  <c:v>0.47666954880758516</c:v>
                </c:pt>
                <c:pt idx="241">
                  <c:v>0.47666954880758516</c:v>
                </c:pt>
                <c:pt idx="242">
                  <c:v>0.47797506244418142</c:v>
                </c:pt>
                <c:pt idx="243">
                  <c:v>0.47928081246567394</c:v>
                </c:pt>
                <c:pt idx="244">
                  <c:v>0.48319934092372047</c:v>
                </c:pt>
                <c:pt idx="245">
                  <c:v>0.48319934092372047</c:v>
                </c:pt>
                <c:pt idx="246">
                  <c:v>0.48450589653498022</c:v>
                </c:pt>
                <c:pt idx="247">
                  <c:v>0.48450589653498022</c:v>
                </c:pt>
                <c:pt idx="248">
                  <c:v>0.48711949287081646</c:v>
                </c:pt>
                <c:pt idx="249">
                  <c:v>0.48842650555178402</c:v>
                </c:pt>
                <c:pt idx="250">
                  <c:v>0.48842650555178402</c:v>
                </c:pt>
                <c:pt idx="251">
                  <c:v>0.48842650555178402</c:v>
                </c:pt>
                <c:pt idx="252">
                  <c:v>0.49496315283007586</c:v>
                </c:pt>
                <c:pt idx="253">
                  <c:v>0.49757828880923161</c:v>
                </c:pt>
                <c:pt idx="254">
                  <c:v>0.5015011527865354</c:v>
                </c:pt>
                <c:pt idx="255">
                  <c:v>0.50280876058835267</c:v>
                </c:pt>
                <c:pt idx="256">
                  <c:v>0.5041163382146816</c:v>
                </c:pt>
                <c:pt idx="257">
                  <c:v>0.50542387161859992</c:v>
                </c:pt>
                <c:pt idx="258">
                  <c:v>0.50934606605077914</c:v>
                </c:pt>
                <c:pt idx="259">
                  <c:v>0.50934606605077914</c:v>
                </c:pt>
                <c:pt idx="260">
                  <c:v>0.51326735698052328</c:v>
                </c:pt>
                <c:pt idx="261">
                  <c:v>0.52110571334241351</c:v>
                </c:pt>
                <c:pt idx="262">
                  <c:v>0.52371683583583861</c:v>
                </c:pt>
                <c:pt idx="263">
                  <c:v>0.52371683583583861</c:v>
                </c:pt>
                <c:pt idx="264">
                  <c:v>0.52632694032940108</c:v>
                </c:pt>
                <c:pt idx="265">
                  <c:v>0.52632694032940108</c:v>
                </c:pt>
                <c:pt idx="266">
                  <c:v>0.5341500293148318</c:v>
                </c:pt>
                <c:pt idx="267">
                  <c:v>0.53545267764726923</c:v>
                </c:pt>
                <c:pt idx="268">
                  <c:v>0.53675494609724672</c:v>
                </c:pt>
                <c:pt idx="269">
                  <c:v>0.53675494609724672</c:v>
                </c:pt>
                <c:pt idx="270">
                  <c:v>0.5380568207887233</c:v>
                </c:pt>
                <c:pt idx="271">
                  <c:v>0.54326010490104804</c:v>
                </c:pt>
                <c:pt idx="272">
                  <c:v>0.54455980311783347</c:v>
                </c:pt>
                <c:pt idx="273">
                  <c:v>0.54585902460110935</c:v>
                </c:pt>
                <c:pt idx="274">
                  <c:v>0.54585902460110935</c:v>
                </c:pt>
                <c:pt idx="275">
                  <c:v>0.54585902460110935</c:v>
                </c:pt>
                <c:pt idx="276">
                  <c:v>0.54715775557269442</c:v>
                </c:pt>
                <c:pt idx="277">
                  <c:v>0.55364357164519418</c:v>
                </c:pt>
                <c:pt idx="278">
                  <c:v>0.55623398409466662</c:v>
                </c:pt>
                <c:pt idx="279">
                  <c:v>0.55882199602784599</c:v>
                </c:pt>
                <c:pt idx="280">
                  <c:v>0.56528080982225082</c:v>
                </c:pt>
                <c:pt idx="281">
                  <c:v>0.56657054147520647</c:v>
                </c:pt>
                <c:pt idx="282">
                  <c:v>0.57172224841773334</c:v>
                </c:pt>
                <c:pt idx="283">
                  <c:v>0.57429358233529115</c:v>
                </c:pt>
                <c:pt idx="284">
                  <c:v>0.57429358233529115</c:v>
                </c:pt>
                <c:pt idx="285">
                  <c:v>0.576861760744935</c:v>
                </c:pt>
                <c:pt idx="286">
                  <c:v>0.576861760744935</c:v>
                </c:pt>
                <c:pt idx="287">
                  <c:v>0.57942667729182107</c:v>
                </c:pt>
                <c:pt idx="288">
                  <c:v>0.58326770449339005</c:v>
                </c:pt>
                <c:pt idx="289">
                  <c:v>0.58454630146730335</c:v>
                </c:pt>
                <c:pt idx="290">
                  <c:v>0.58710079851481667</c:v>
                </c:pt>
                <c:pt idx="291">
                  <c:v>0.58710079851481667</c:v>
                </c:pt>
                <c:pt idx="292">
                  <c:v>0.5896516125633553</c:v>
                </c:pt>
                <c:pt idx="293">
                  <c:v>0.5896516125633553</c:v>
                </c:pt>
                <c:pt idx="294">
                  <c:v>0.59728091764319036</c:v>
                </c:pt>
                <c:pt idx="295">
                  <c:v>0.59854895883817383</c:v>
                </c:pt>
                <c:pt idx="296">
                  <c:v>0.59981596307370455</c:v>
                </c:pt>
                <c:pt idx="297">
                  <c:v>0.59981596307370455</c:v>
                </c:pt>
                <c:pt idx="298">
                  <c:v>0.6010819175968618</c:v>
                </c:pt>
                <c:pt idx="299">
                  <c:v>0.60361062666030796</c:v>
                </c:pt>
                <c:pt idx="300">
                  <c:v>0.60361062666030796</c:v>
                </c:pt>
                <c:pt idx="301">
                  <c:v>0.6061349846742381</c:v>
                </c:pt>
                <c:pt idx="302">
                  <c:v>0.60739550051394653</c:v>
                </c:pt>
                <c:pt idx="303">
                  <c:v>0.60991314311644873</c:v>
                </c:pt>
                <c:pt idx="304">
                  <c:v>0.6124261837076681</c:v>
                </c:pt>
                <c:pt idx="305">
                  <c:v>0.61618689858220033</c:v>
                </c:pt>
                <c:pt idx="306">
                  <c:v>0.61618689858220033</c:v>
                </c:pt>
                <c:pt idx="307">
                  <c:v>0.61743806191070438</c:v>
                </c:pt>
                <c:pt idx="308">
                  <c:v>0.62243034719763901</c:v>
                </c:pt>
                <c:pt idx="309">
                  <c:v>0.62367526571935372</c:v>
                </c:pt>
                <c:pt idx="310">
                  <c:v>0.62491889894126051</c:v>
                </c:pt>
                <c:pt idx="311">
                  <c:v>0.62616123484318975</c:v>
                </c:pt>
                <c:pt idx="312">
                  <c:v>0.62740226144537059</c:v>
                </c:pt>
                <c:pt idx="313">
                  <c:v>0.62864196680877527</c:v>
                </c:pt>
                <c:pt idx="314">
                  <c:v>0.62988033903546303</c:v>
                </c:pt>
                <c:pt idx="315">
                  <c:v>0.63111736626891513</c:v>
                </c:pt>
                <c:pt idx="316">
                  <c:v>0.63111736626891513</c:v>
                </c:pt>
                <c:pt idx="317">
                  <c:v>0.63235303669437615</c:v>
                </c:pt>
                <c:pt idx="318">
                  <c:v>0.63235303669437615</c:v>
                </c:pt>
                <c:pt idx="319">
                  <c:v>0.63851062615067211</c:v>
                </c:pt>
                <c:pt idx="320">
                  <c:v>0.64096375553299212</c:v>
                </c:pt>
                <c:pt idx="321">
                  <c:v>0.64218815128421425</c:v>
                </c:pt>
                <c:pt idx="322">
                  <c:v>0.64463254778663848</c:v>
                </c:pt>
                <c:pt idx="323">
                  <c:v>0.64828798503574714</c:v>
                </c:pt>
                <c:pt idx="324">
                  <c:v>0.64950344377001457</c:v>
                </c:pt>
                <c:pt idx="325">
                  <c:v>0.65434987996360983</c:v>
                </c:pt>
                <c:pt idx="326">
                  <c:v>0.65917115037464247</c:v>
                </c:pt>
                <c:pt idx="327">
                  <c:v>0.66157213114267366</c:v>
                </c:pt>
                <c:pt idx="328">
                  <c:v>0.66157213114267366</c:v>
                </c:pt>
                <c:pt idx="329">
                  <c:v>0.66635435611763882</c:v>
                </c:pt>
                <c:pt idx="330">
                  <c:v>0.66873543164211702</c:v>
                </c:pt>
                <c:pt idx="331">
                  <c:v>0.67110970475206566</c:v>
                </c:pt>
                <c:pt idx="332">
                  <c:v>0.67229426464900732</c:v>
                </c:pt>
                <c:pt idx="333">
                  <c:v>0.67583751533835756</c:v>
                </c:pt>
                <c:pt idx="334">
                  <c:v>0.68170756662273635</c:v>
                </c:pt>
                <c:pt idx="335">
                  <c:v>0.68753234082610348</c:v>
                </c:pt>
                <c:pt idx="336">
                  <c:v>0.68984930231859165</c:v>
                </c:pt>
                <c:pt idx="337">
                  <c:v>0.68984930231859165</c:v>
                </c:pt>
                <c:pt idx="338">
                  <c:v>0.68984930231859165</c:v>
                </c:pt>
                <c:pt idx="339">
                  <c:v>0.69100497050610843</c:v>
                </c:pt>
                <c:pt idx="340">
                  <c:v>0.69215875117150261</c:v>
                </c:pt>
                <c:pt idx="341">
                  <c:v>0.693310635022232</c:v>
                </c:pt>
                <c:pt idx="342">
                  <c:v>0.70245632396878699</c:v>
                </c:pt>
                <c:pt idx="343">
                  <c:v>0.70359072762963448</c:v>
                </c:pt>
                <c:pt idx="344">
                  <c:v>0.70698198424462055</c:v>
                </c:pt>
                <c:pt idx="345">
                  <c:v>0.71259371776239111</c:v>
                </c:pt>
                <c:pt idx="346">
                  <c:v>0.71370993471565425</c:v>
                </c:pt>
                <c:pt idx="347">
                  <c:v>0.71925991995383942</c:v>
                </c:pt>
                <c:pt idx="348">
                  <c:v>0.72256474392971759</c:v>
                </c:pt>
                <c:pt idx="349">
                  <c:v>0.72366211037029315</c:v>
                </c:pt>
                <c:pt idx="350">
                  <c:v>0.72694137785281954</c:v>
                </c:pt>
                <c:pt idx="351">
                  <c:v>0.7280301646185765</c:v>
                </c:pt>
                <c:pt idx="352">
                  <c:v>0.7345171943995199</c:v>
                </c:pt>
                <c:pt idx="353">
                  <c:v>0.7345171943995199</c:v>
                </c:pt>
                <c:pt idx="354">
                  <c:v>0.73559068371341452</c:v>
                </c:pt>
                <c:pt idx="355">
                  <c:v>0.73666195925500466</c:v>
                </c:pt>
                <c:pt idx="356">
                  <c:v>0.73773101410408048</c:v>
                </c:pt>
                <c:pt idx="357">
                  <c:v>0.73773101410408048</c:v>
                </c:pt>
                <c:pt idx="358">
                  <c:v>0.73879784140244176</c:v>
                </c:pt>
                <c:pt idx="359">
                  <c:v>0.74620269804583894</c:v>
                </c:pt>
                <c:pt idx="360">
                  <c:v>0.7503840242277624</c:v>
                </c:pt>
                <c:pt idx="361">
                  <c:v>0.75246088208028894</c:v>
                </c:pt>
                <c:pt idx="362">
                  <c:v>0.75246088208028894</c:v>
                </c:pt>
                <c:pt idx="363">
                  <c:v>0.75246088208028894</c:v>
                </c:pt>
                <c:pt idx="364">
                  <c:v>0.75555877666047644</c:v>
                </c:pt>
                <c:pt idx="365">
                  <c:v>0.75658674678271098</c:v>
                </c:pt>
                <c:pt idx="366">
                  <c:v>0.75761237660162872</c:v>
                </c:pt>
                <c:pt idx="367">
                  <c:v>0.75965659272979047</c:v>
                </c:pt>
                <c:pt idx="368">
                  <c:v>0.76067516789748124</c:v>
                </c:pt>
                <c:pt idx="369">
                  <c:v>0.76067516789748124</c:v>
                </c:pt>
                <c:pt idx="370">
                  <c:v>0.76067516789748124</c:v>
                </c:pt>
                <c:pt idx="371">
                  <c:v>0.76371669629657701</c:v>
                </c:pt>
                <c:pt idx="372">
                  <c:v>0.76371669629657701</c:v>
                </c:pt>
                <c:pt idx="373">
                  <c:v>0.7677387430050886</c:v>
                </c:pt>
                <c:pt idx="374">
                  <c:v>0.7687382694907976</c:v>
                </c:pt>
                <c:pt idx="375">
                  <c:v>0.7687382694907976</c:v>
                </c:pt>
                <c:pt idx="376">
                  <c:v>0.76973539186888829</c:v>
                </c:pt>
                <c:pt idx="377">
                  <c:v>0.77271228563187599</c:v>
                </c:pt>
                <c:pt idx="378">
                  <c:v>0.77369974317166545</c:v>
                </c:pt>
                <c:pt idx="379">
                  <c:v>0.77369974317166545</c:v>
                </c:pt>
                <c:pt idx="380">
                  <c:v>0.77468477271766745</c:v>
                </c:pt>
                <c:pt idx="381">
                  <c:v>0.77468477271766745</c:v>
                </c:pt>
                <c:pt idx="382">
                  <c:v>0.77468477271766745</c:v>
                </c:pt>
                <c:pt idx="383">
                  <c:v>0.77468477271766745</c:v>
                </c:pt>
                <c:pt idx="384">
                  <c:v>0.7756673696832842</c:v>
                </c:pt>
                <c:pt idx="385">
                  <c:v>0.77664752954545035</c:v>
                </c:pt>
                <c:pt idx="386">
                  <c:v>0.77762524784461873</c:v>
                </c:pt>
                <c:pt idx="387">
                  <c:v>0.77762524784461873</c:v>
                </c:pt>
                <c:pt idx="388">
                  <c:v>0.77957334223328378</c:v>
                </c:pt>
                <c:pt idx="389">
                  <c:v>0.78726720915081649</c:v>
                </c:pt>
                <c:pt idx="390">
                  <c:v>0.79105459357587393</c:v>
                </c:pt>
                <c:pt idx="391">
                  <c:v>0.79386888580613157</c:v>
                </c:pt>
                <c:pt idx="392">
                  <c:v>0.80034753565787708</c:v>
                </c:pt>
                <c:pt idx="393">
                  <c:v>0.80308617228155676</c:v>
                </c:pt>
                <c:pt idx="394">
                  <c:v>0.80938727949541001</c:v>
                </c:pt>
                <c:pt idx="395">
                  <c:v>0.80938727949541001</c:v>
                </c:pt>
                <c:pt idx="396">
                  <c:v>0.81116460985916283</c:v>
                </c:pt>
                <c:pt idx="397">
                  <c:v>0.81116460985916283</c:v>
                </c:pt>
                <c:pt idx="398">
                  <c:v>0.81556306089182706</c:v>
                </c:pt>
                <c:pt idx="399">
                  <c:v>0.81643504247316101</c:v>
                </c:pt>
                <c:pt idx="400">
                  <c:v>0.81730445022676634</c:v>
                </c:pt>
                <c:pt idx="401">
                  <c:v>0.82246675450182249</c:v>
                </c:pt>
                <c:pt idx="402">
                  <c:v>0.82416686120890958</c:v>
                </c:pt>
                <c:pt idx="403">
                  <c:v>0.82585661954374034</c:v>
                </c:pt>
                <c:pt idx="404">
                  <c:v>0.82753602032355933</c:v>
                </c:pt>
                <c:pt idx="405">
                  <c:v>0.82837183401891445</c:v>
                </c:pt>
                <c:pt idx="406">
                  <c:v>0.82920505530936284</c:v>
                </c:pt>
                <c:pt idx="407">
                  <c:v>0.83086371720115315</c:v>
                </c:pt>
                <c:pt idx="408">
                  <c:v>0.83658726216974399</c:v>
                </c:pt>
                <c:pt idx="409">
                  <c:v>0.83819917972833069</c:v>
                </c:pt>
                <c:pt idx="410">
                  <c:v>0.83900123985494668</c:v>
                </c:pt>
                <c:pt idx="411">
                  <c:v>0.84297254791698528</c:v>
                </c:pt>
                <c:pt idx="412">
                  <c:v>0.84375901084158722</c:v>
                </c:pt>
                <c:pt idx="413">
                  <c:v>0.84532413880782653</c:v>
                </c:pt>
                <c:pt idx="414">
                  <c:v>0.84919148414149848</c:v>
                </c:pt>
                <c:pt idx="415">
                  <c:v>0.84919148414149848</c:v>
                </c:pt>
                <c:pt idx="416">
                  <c:v>0.84995716079013151</c:v>
                </c:pt>
                <c:pt idx="417">
                  <c:v>0.85223861583812976</c:v>
                </c:pt>
                <c:pt idx="418">
                  <c:v>0.85374661378615369</c:v>
                </c:pt>
                <c:pt idx="419">
                  <c:v>0.85524424159030576</c:v>
                </c:pt>
                <c:pt idx="420">
                  <c:v>0.85673150664841446</c:v>
                </c:pt>
                <c:pt idx="421">
                  <c:v>0.86113121182902908</c:v>
                </c:pt>
                <c:pt idx="422">
                  <c:v>0.86185545407407349</c:v>
                </c:pt>
                <c:pt idx="423">
                  <c:v>0.86543799811849387</c:v>
                </c:pt>
                <c:pt idx="424">
                  <c:v>0.86614678443712767</c:v>
                </c:pt>
                <c:pt idx="425">
                  <c:v>0.86755664798431054</c:v>
                </c:pt>
                <c:pt idx="426">
                  <c:v>0.86755664798431054</c:v>
                </c:pt>
                <c:pt idx="427">
                  <c:v>0.8682577287834532</c:v>
                </c:pt>
                <c:pt idx="428">
                  <c:v>0.8682577287834532</c:v>
                </c:pt>
                <c:pt idx="429">
                  <c:v>0.86895624472759803</c:v>
                </c:pt>
                <c:pt idx="430">
                  <c:v>0.86895624472759803</c:v>
                </c:pt>
                <c:pt idx="431">
                  <c:v>0.87241042001796432</c:v>
                </c:pt>
                <c:pt idx="432">
                  <c:v>0.87309358853515473</c:v>
                </c:pt>
                <c:pt idx="433">
                  <c:v>0.87445227627108202</c:v>
                </c:pt>
                <c:pt idx="434">
                  <c:v>0.87512780001021573</c:v>
                </c:pt>
                <c:pt idx="435">
                  <c:v>0.87713911880128803</c:v>
                </c:pt>
                <c:pt idx="436">
                  <c:v>0.87978537982755467</c:v>
                </c:pt>
                <c:pt idx="437">
                  <c:v>0.87978537982755467</c:v>
                </c:pt>
                <c:pt idx="438">
                  <c:v>0.88174354279651368</c:v>
                </c:pt>
                <c:pt idx="439">
                  <c:v>0.88495682849998736</c:v>
                </c:pt>
                <c:pt idx="440">
                  <c:v>0.88559196370252125</c:v>
                </c:pt>
                <c:pt idx="441">
                  <c:v>0.89058329649910073</c:v>
                </c:pt>
                <c:pt idx="442">
                  <c:v>0.89119604274237108</c:v>
                </c:pt>
                <c:pt idx="443">
                  <c:v>0.89482074641599318</c:v>
                </c:pt>
                <c:pt idx="444">
                  <c:v>0.89600934265089416</c:v>
                </c:pt>
                <c:pt idx="445">
                  <c:v>0.89600934265089416</c:v>
                </c:pt>
                <c:pt idx="446">
                  <c:v>0.89835725360281427</c:v>
                </c:pt>
                <c:pt idx="447">
                  <c:v>0.89893815311419267</c:v>
                </c:pt>
                <c:pt idx="448">
                  <c:v>0.89951662905415597</c:v>
                </c:pt>
                <c:pt idx="449">
                  <c:v>0.90405766607902049</c:v>
                </c:pt>
                <c:pt idx="450">
                  <c:v>0.90461451058621933</c:v>
                </c:pt>
                <c:pt idx="451">
                  <c:v>0.90627076449830923</c:v>
                </c:pt>
                <c:pt idx="452">
                  <c:v>0.90844594529778466</c:v>
                </c:pt>
                <c:pt idx="453">
                  <c:v>0.9100526169125599</c:v>
                </c:pt>
                <c:pt idx="454">
                  <c:v>0.91058349066675226</c:v>
                </c:pt>
                <c:pt idx="455">
                  <c:v>0.91111203030242693</c:v>
                </c:pt>
                <c:pt idx="456">
                  <c:v>0.91320294028552851</c:v>
                </c:pt>
                <c:pt idx="457">
                  <c:v>0.91371987905411578</c:v>
                </c:pt>
                <c:pt idx="458">
                  <c:v>0.9142345117978713</c:v>
                </c:pt>
                <c:pt idx="459">
                  <c:v>0.91677325351164285</c:v>
                </c:pt>
                <c:pt idx="460">
                  <c:v>0.91677325351164285</c:v>
                </c:pt>
                <c:pt idx="461">
                  <c:v>0.91727415151191882</c:v>
                </c:pt>
                <c:pt idx="462">
                  <c:v>0.91974466182147196</c:v>
                </c:pt>
                <c:pt idx="463">
                  <c:v>0.92119996557166095</c:v>
                </c:pt>
                <c:pt idx="464">
                  <c:v>0.92168059701196359</c:v>
                </c:pt>
                <c:pt idx="465">
                  <c:v>0.9240504639334095</c:v>
                </c:pt>
                <c:pt idx="466">
                  <c:v>0.92451781596181426</c:v>
                </c:pt>
                <c:pt idx="467">
                  <c:v>0.92544594101559041</c:v>
                </c:pt>
                <c:pt idx="468">
                  <c:v>0.92636532972872998</c:v>
                </c:pt>
                <c:pt idx="469">
                  <c:v>0.92817807085764326</c:v>
                </c:pt>
                <c:pt idx="470">
                  <c:v>0.92951501676591097</c:v>
                </c:pt>
                <c:pt idx="471">
                  <c:v>0.93508835895634801</c:v>
                </c:pt>
                <c:pt idx="472">
                  <c:v>0.93673256606982769</c:v>
                </c:pt>
                <c:pt idx="473">
                  <c:v>0.94070124059731741</c:v>
                </c:pt>
                <c:pt idx="474">
                  <c:v>0.94223296480701757</c:v>
                </c:pt>
                <c:pt idx="475">
                  <c:v>0.94298707235566648</c:v>
                </c:pt>
                <c:pt idx="476">
                  <c:v>0.94483844381434656</c:v>
                </c:pt>
                <c:pt idx="477">
                  <c:v>0.94908809143518336</c:v>
                </c:pt>
                <c:pt idx="478">
                  <c:v>0.95210095103245551</c:v>
                </c:pt>
                <c:pt idx="479">
                  <c:v>0.95339336466051017</c:v>
                </c:pt>
                <c:pt idx="480">
                  <c:v>0.95371205655602997</c:v>
                </c:pt>
                <c:pt idx="481">
                  <c:v>0.95434419022435013</c:v>
                </c:pt>
                <c:pt idx="482">
                  <c:v>0.95589419038556656</c:v>
                </c:pt>
                <c:pt idx="483">
                  <c:v>0.95740148209716414</c:v>
                </c:pt>
                <c:pt idx="484">
                  <c:v>0.96248621296102943</c:v>
                </c:pt>
                <c:pt idx="485">
                  <c:v>0.96406669291776381</c:v>
                </c:pt>
                <c:pt idx="486">
                  <c:v>0.96483623635085447</c:v>
                </c:pt>
                <c:pt idx="487">
                  <c:v>0.96657934104006671</c:v>
                </c:pt>
                <c:pt idx="488">
                  <c:v>0.96754303915134965</c:v>
                </c:pt>
                <c:pt idx="489">
                  <c:v>0.97484351329120644</c:v>
                </c:pt>
                <c:pt idx="490">
                  <c:v>0.97977236909600374</c:v>
                </c:pt>
                <c:pt idx="491">
                  <c:v>0.98372412839454482</c:v>
                </c:pt>
                <c:pt idx="492">
                  <c:v>0.98372412839454482</c:v>
                </c:pt>
                <c:pt idx="493">
                  <c:v>0.98488518752208964</c:v>
                </c:pt>
                <c:pt idx="494">
                  <c:v>0.98654969096429368</c:v>
                </c:pt>
                <c:pt idx="495">
                  <c:v>0.98666228111554533</c:v>
                </c:pt>
                <c:pt idx="496">
                  <c:v>0.98940924811886088</c:v>
                </c:pt>
                <c:pt idx="497">
                  <c:v>0.99054610707991519</c:v>
                </c:pt>
                <c:pt idx="498">
                  <c:v>0.9910337874578613</c:v>
                </c:pt>
                <c:pt idx="499">
                  <c:v>0.99409525315102998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A9-4B1C-AAE4-3044DF8E6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702352"/>
        <c:axId val="432703008"/>
        <c:axId val="618627832"/>
      </c:line3DChart>
      <c:catAx>
        <c:axId val="4327023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32703008"/>
        <c:crosses val="autoZero"/>
        <c:auto val="1"/>
        <c:lblAlgn val="ctr"/>
        <c:lblOffset val="100"/>
        <c:noMultiLvlLbl val="0"/>
      </c:catAx>
      <c:valAx>
        <c:axId val="43270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32702352"/>
        <c:crosses val="autoZero"/>
        <c:crossBetween val="between"/>
      </c:valAx>
      <c:serAx>
        <c:axId val="618627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327030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normal!$U$7:$U$38</c:f>
              <c:strCache>
                <c:ptCount val="32"/>
                <c:pt idx="0">
                  <c:v>14,32349285</c:v>
                </c:pt>
                <c:pt idx="1">
                  <c:v>14,91337475</c:v>
                </c:pt>
                <c:pt idx="2">
                  <c:v>15,50325665</c:v>
                </c:pt>
                <c:pt idx="3">
                  <c:v>16,09313855</c:v>
                </c:pt>
                <c:pt idx="4">
                  <c:v>16,68302045</c:v>
                </c:pt>
                <c:pt idx="5">
                  <c:v>17,27290235</c:v>
                </c:pt>
                <c:pt idx="6">
                  <c:v>17,86278425</c:v>
                </c:pt>
                <c:pt idx="7">
                  <c:v>18,45266615</c:v>
                </c:pt>
                <c:pt idx="8">
                  <c:v>19,04254805</c:v>
                </c:pt>
                <c:pt idx="9">
                  <c:v>19,63242995</c:v>
                </c:pt>
                <c:pt idx="10">
                  <c:v>20,22231185</c:v>
                </c:pt>
                <c:pt idx="11">
                  <c:v>20,81219375</c:v>
                </c:pt>
                <c:pt idx="12">
                  <c:v>21,40207565</c:v>
                </c:pt>
                <c:pt idx="13">
                  <c:v>21,99195755</c:v>
                </c:pt>
                <c:pt idx="14">
                  <c:v>22,58183945</c:v>
                </c:pt>
                <c:pt idx="15">
                  <c:v>23,17172135</c:v>
                </c:pt>
                <c:pt idx="16">
                  <c:v>23,76160325</c:v>
                </c:pt>
                <c:pt idx="17">
                  <c:v>24,35148515</c:v>
                </c:pt>
                <c:pt idx="18">
                  <c:v>24,94136705</c:v>
                </c:pt>
                <c:pt idx="19">
                  <c:v>25,53124895</c:v>
                </c:pt>
                <c:pt idx="20">
                  <c:v>26,12113085</c:v>
                </c:pt>
                <c:pt idx="21">
                  <c:v>26,71101275</c:v>
                </c:pt>
                <c:pt idx="22">
                  <c:v>27,30089465</c:v>
                </c:pt>
                <c:pt idx="23">
                  <c:v>27,89077655</c:v>
                </c:pt>
                <c:pt idx="24">
                  <c:v>28,48065845</c:v>
                </c:pt>
                <c:pt idx="25">
                  <c:v>29,07054035</c:v>
                </c:pt>
                <c:pt idx="26">
                  <c:v>29,66042225</c:v>
                </c:pt>
                <c:pt idx="27">
                  <c:v>30,25030415</c:v>
                </c:pt>
                <c:pt idx="28">
                  <c:v>30,84018605</c:v>
                </c:pt>
                <c:pt idx="29">
                  <c:v>31,43006794</c:v>
                </c:pt>
                <c:pt idx="30">
                  <c:v>32,01994984</c:v>
                </c:pt>
                <c:pt idx="31">
                  <c:v>y mayor...</c:v>
                </c:pt>
              </c:strCache>
            </c:strRef>
          </c:cat>
          <c:val>
            <c:numRef>
              <c:f>normal!$V$7:$V$38</c:f>
              <c:numCache>
                <c:formatCode>General</c:formatCode>
                <c:ptCount val="32"/>
                <c:pt idx="0">
                  <c:v>1</c:v>
                </c:pt>
                <c:pt idx="1">
                  <c:v>36</c:v>
                </c:pt>
                <c:pt idx="2">
                  <c:v>29</c:v>
                </c:pt>
                <c:pt idx="3">
                  <c:v>40</c:v>
                </c:pt>
                <c:pt idx="4">
                  <c:v>26</c:v>
                </c:pt>
                <c:pt idx="5">
                  <c:v>31</c:v>
                </c:pt>
                <c:pt idx="6">
                  <c:v>32</c:v>
                </c:pt>
                <c:pt idx="7">
                  <c:v>29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1">
                  <c:v>29</c:v>
                </c:pt>
                <c:pt idx="12">
                  <c:v>27</c:v>
                </c:pt>
                <c:pt idx="13">
                  <c:v>29</c:v>
                </c:pt>
                <c:pt idx="14">
                  <c:v>25</c:v>
                </c:pt>
                <c:pt idx="15">
                  <c:v>33</c:v>
                </c:pt>
                <c:pt idx="16">
                  <c:v>30</c:v>
                </c:pt>
                <c:pt idx="17">
                  <c:v>42</c:v>
                </c:pt>
                <c:pt idx="18">
                  <c:v>27</c:v>
                </c:pt>
                <c:pt idx="19">
                  <c:v>36</c:v>
                </c:pt>
                <c:pt idx="20">
                  <c:v>25</c:v>
                </c:pt>
                <c:pt idx="21">
                  <c:v>31</c:v>
                </c:pt>
                <c:pt idx="22">
                  <c:v>32</c:v>
                </c:pt>
                <c:pt idx="23">
                  <c:v>39</c:v>
                </c:pt>
                <c:pt idx="24">
                  <c:v>32</c:v>
                </c:pt>
                <c:pt idx="25">
                  <c:v>37</c:v>
                </c:pt>
                <c:pt idx="26">
                  <c:v>36</c:v>
                </c:pt>
                <c:pt idx="27">
                  <c:v>40</c:v>
                </c:pt>
                <c:pt idx="28">
                  <c:v>33</c:v>
                </c:pt>
                <c:pt idx="29">
                  <c:v>32</c:v>
                </c:pt>
                <c:pt idx="30">
                  <c:v>34</c:v>
                </c:pt>
                <c:pt idx="31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B2-4477-B10F-746169AD5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879048"/>
        <c:axId val="497879376"/>
      </c:barChart>
      <c:catAx>
        <c:axId val="497879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7879376"/>
        <c:crosses val="autoZero"/>
        <c:auto val="1"/>
        <c:lblAlgn val="ctr"/>
        <c:lblOffset val="100"/>
        <c:noMultiLvlLbl val="0"/>
      </c:catAx>
      <c:valAx>
        <c:axId val="497879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7879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0</xdr:row>
      <xdr:rowOff>104775</xdr:rowOff>
    </xdr:from>
    <xdr:to>
      <xdr:col>11</xdr:col>
      <xdr:colOff>466725</xdr:colOff>
      <xdr:row>14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5E2C64-A0EB-4FE1-9B47-E954C201F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4</xdr:row>
      <xdr:rowOff>142875</xdr:rowOff>
    </xdr:from>
    <xdr:to>
      <xdr:col>11</xdr:col>
      <xdr:colOff>28575</xdr:colOff>
      <xdr:row>15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A63E84D-329B-4193-B4C8-AC4A75EA5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9525</xdr:rowOff>
    </xdr:from>
    <xdr:to>
      <xdr:col>6</xdr:col>
      <xdr:colOff>0</xdr:colOff>
      <xdr:row>41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38BD76-2024-4D04-A458-FBDE82603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133350</xdr:rowOff>
    </xdr:from>
    <xdr:to>
      <xdr:col>10</xdr:col>
      <xdr:colOff>47625</xdr:colOff>
      <xdr:row>18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637398-4715-482A-9E87-AF0912A29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18</xdr:row>
      <xdr:rowOff>19050</xdr:rowOff>
    </xdr:from>
    <xdr:to>
      <xdr:col>10</xdr:col>
      <xdr:colOff>19050</xdr:colOff>
      <xdr:row>32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6F0C45-E4E0-4F53-802A-F5751A84E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209550</xdr:colOff>
      <xdr:row>3</xdr:row>
      <xdr:rowOff>76200</xdr:rowOff>
    </xdr:from>
    <xdr:to>
      <xdr:col>27</xdr:col>
      <xdr:colOff>276225</xdr:colOff>
      <xdr:row>13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FF9857-6FF4-4821-A685-5F171F5F83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1BC520-3553-42F2-B044-E836C3DCD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266700</xdr:colOff>
      <xdr:row>13</xdr:row>
      <xdr:rowOff>57150</xdr:rowOff>
    </xdr:from>
    <xdr:to>
      <xdr:col>9</xdr:col>
      <xdr:colOff>390525</xdr:colOff>
      <xdr:row>30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7643BF9-A0BF-4FE0-BD38-9960370E8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304800</xdr:colOff>
      <xdr:row>981</xdr:row>
      <xdr:rowOff>9525</xdr:rowOff>
    </xdr:from>
    <xdr:to>
      <xdr:col>25</xdr:col>
      <xdr:colOff>304800</xdr:colOff>
      <xdr:row>991</xdr:row>
      <xdr:rowOff>9525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15072B-D521-4C38-8D57-C33A5EE92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1B1329-BE53-4913-AC51-3BD3491DE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D49D5C-C318-480E-981F-3AFE0063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723900</xdr:colOff>
      <xdr:row>15</xdr:row>
      <xdr:rowOff>171450</xdr:rowOff>
    </xdr:from>
    <xdr:to>
      <xdr:col>9</xdr:col>
      <xdr:colOff>238125</xdr:colOff>
      <xdr:row>26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F30D38C-A311-42C0-8934-30F434D7C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695324</xdr:colOff>
      <xdr:row>2</xdr:row>
      <xdr:rowOff>19050</xdr:rowOff>
    </xdr:from>
    <xdr:to>
      <xdr:col>26</xdr:col>
      <xdr:colOff>323849</xdr:colOff>
      <xdr:row>14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6A82C47-5AFF-40EE-AFE4-904DF4437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5C1C7E-A647-4550-9E3D-A59D6D282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10</xdr:col>
      <xdr:colOff>200025</xdr:colOff>
      <xdr:row>80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3BE5F0-D853-4C71-9085-E4B8FB98E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B87E309-FC94-4DF5-AE78-223C10ED0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C84BEF-E779-4783-A381-C9AA466B2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447675</xdr:colOff>
      <xdr:row>13</xdr:row>
      <xdr:rowOff>9525</xdr:rowOff>
    </xdr:from>
    <xdr:to>
      <xdr:col>10</xdr:col>
      <xdr:colOff>390525</xdr:colOff>
      <xdr:row>26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727CC3C-53F9-40B1-AB3F-84B1E597A9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4</xdr:row>
      <xdr:rowOff>161925</xdr:rowOff>
    </xdr:from>
    <xdr:to>
      <xdr:col>28</xdr:col>
      <xdr:colOff>0</xdr:colOff>
      <xdr:row>18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496ED7E-1A75-4887-AC54-39E3F6938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4:E18"/>
  <sheetViews>
    <sheetView workbookViewId="0">
      <selection activeCell="M15" sqref="M15"/>
    </sheetView>
  </sheetViews>
  <sheetFormatPr baseColWidth="10" defaultRowHeight="15" x14ac:dyDescent="0.25"/>
  <sheetData>
    <row r="4" spans="2:5" x14ac:dyDescent="0.25">
      <c r="B4" t="s">
        <v>0</v>
      </c>
      <c r="C4" t="s">
        <v>1</v>
      </c>
      <c r="D4">
        <v>10000</v>
      </c>
    </row>
    <row r="5" spans="2:5" x14ac:dyDescent="0.25">
      <c r="C5" t="s">
        <v>2</v>
      </c>
      <c r="D5">
        <v>20000</v>
      </c>
    </row>
    <row r="7" spans="2:5" x14ac:dyDescent="0.25">
      <c r="C7" t="s">
        <v>3</v>
      </c>
      <c r="D7" t="s">
        <v>4</v>
      </c>
      <c r="E7" t="s">
        <v>5</v>
      </c>
    </row>
    <row r="8" spans="2:5" x14ac:dyDescent="0.25">
      <c r="C8">
        <f>D4</f>
        <v>10000</v>
      </c>
      <c r="D8">
        <f>1/($D$5-$D$4)</f>
        <v>1E-4</v>
      </c>
      <c r="E8">
        <f>(C8-$D$4)/($D$5-$D$4)</f>
        <v>0</v>
      </c>
    </row>
    <row r="9" spans="2:5" x14ac:dyDescent="0.25">
      <c r="C9">
        <f>C8+1000</f>
        <v>11000</v>
      </c>
      <c r="D9">
        <f t="shared" ref="D9:D18" si="0">1/($D$5-$D$4)</f>
        <v>1E-4</v>
      </c>
      <c r="E9">
        <f t="shared" ref="E9:E18" si="1">(C9-$D$4)/($D$5-$D$4)</f>
        <v>0.1</v>
      </c>
    </row>
    <row r="10" spans="2:5" x14ac:dyDescent="0.25">
      <c r="C10">
        <f t="shared" ref="C10:C18" si="2">C9+1000</f>
        <v>12000</v>
      </c>
      <c r="D10">
        <f t="shared" si="0"/>
        <v>1E-4</v>
      </c>
      <c r="E10">
        <f t="shared" si="1"/>
        <v>0.2</v>
      </c>
    </row>
    <row r="11" spans="2:5" x14ac:dyDescent="0.25">
      <c r="C11">
        <f t="shared" si="2"/>
        <v>13000</v>
      </c>
      <c r="D11">
        <f t="shared" si="0"/>
        <v>1E-4</v>
      </c>
      <c r="E11">
        <f t="shared" si="1"/>
        <v>0.3</v>
      </c>
    </row>
    <row r="12" spans="2:5" x14ac:dyDescent="0.25">
      <c r="C12">
        <f t="shared" si="2"/>
        <v>14000</v>
      </c>
      <c r="D12">
        <f t="shared" si="0"/>
        <v>1E-4</v>
      </c>
      <c r="E12">
        <f t="shared" si="1"/>
        <v>0.4</v>
      </c>
    </row>
    <row r="13" spans="2:5" x14ac:dyDescent="0.25">
      <c r="C13">
        <f t="shared" si="2"/>
        <v>15000</v>
      </c>
      <c r="D13">
        <f t="shared" si="0"/>
        <v>1E-4</v>
      </c>
      <c r="E13">
        <f t="shared" si="1"/>
        <v>0.5</v>
      </c>
    </row>
    <row r="14" spans="2:5" x14ac:dyDescent="0.25">
      <c r="C14">
        <f t="shared" si="2"/>
        <v>16000</v>
      </c>
      <c r="D14">
        <f t="shared" si="0"/>
        <v>1E-4</v>
      </c>
      <c r="E14">
        <f t="shared" si="1"/>
        <v>0.6</v>
      </c>
    </row>
    <row r="15" spans="2:5" x14ac:dyDescent="0.25">
      <c r="C15">
        <f t="shared" si="2"/>
        <v>17000</v>
      </c>
      <c r="D15">
        <f t="shared" si="0"/>
        <v>1E-4</v>
      </c>
      <c r="E15">
        <f t="shared" si="1"/>
        <v>0.7</v>
      </c>
    </row>
    <row r="16" spans="2:5" x14ac:dyDescent="0.25">
      <c r="C16">
        <f t="shared" si="2"/>
        <v>18000</v>
      </c>
      <c r="D16">
        <f t="shared" si="0"/>
        <v>1E-4</v>
      </c>
      <c r="E16">
        <f t="shared" si="1"/>
        <v>0.8</v>
      </c>
    </row>
    <row r="17" spans="3:5" x14ac:dyDescent="0.25">
      <c r="C17">
        <f t="shared" si="2"/>
        <v>19000</v>
      </c>
      <c r="D17">
        <f t="shared" si="0"/>
        <v>1E-4</v>
      </c>
      <c r="E17">
        <f t="shared" si="1"/>
        <v>0.9</v>
      </c>
    </row>
    <row r="18" spans="3:5" x14ac:dyDescent="0.25">
      <c r="C18">
        <f t="shared" si="2"/>
        <v>20000</v>
      </c>
      <c r="D18">
        <f t="shared" si="0"/>
        <v>1E-4</v>
      </c>
      <c r="E18">
        <f t="shared" si="1"/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E23"/>
  <sheetViews>
    <sheetView workbookViewId="0">
      <selection activeCell="G19" sqref="G19"/>
    </sheetView>
  </sheetViews>
  <sheetFormatPr baseColWidth="10" defaultRowHeight="15" x14ac:dyDescent="0.25"/>
  <sheetData>
    <row r="2" spans="1:5" x14ac:dyDescent="0.25">
      <c r="A2" t="s">
        <v>0</v>
      </c>
    </row>
    <row r="3" spans="1:5" x14ac:dyDescent="0.25">
      <c r="A3" t="s">
        <v>9</v>
      </c>
      <c r="B3" t="s">
        <v>6</v>
      </c>
      <c r="C3">
        <v>15</v>
      </c>
    </row>
    <row r="4" spans="1:5" x14ac:dyDescent="0.25">
      <c r="A4" t="s">
        <v>10</v>
      </c>
      <c r="B4" t="s">
        <v>7</v>
      </c>
      <c r="C4">
        <v>30</v>
      </c>
    </row>
    <row r="5" spans="1:5" x14ac:dyDescent="0.25">
      <c r="A5" t="s">
        <v>11</v>
      </c>
      <c r="B5" t="s">
        <v>8</v>
      </c>
      <c r="C5">
        <v>20</v>
      </c>
      <c r="E5" t="s">
        <v>12</v>
      </c>
    </row>
    <row r="6" spans="1:5" x14ac:dyDescent="0.25">
      <c r="E6" t="s">
        <v>13</v>
      </c>
    </row>
    <row r="7" spans="1:5" x14ac:dyDescent="0.25">
      <c r="B7" t="s">
        <v>3</v>
      </c>
      <c r="C7" t="s">
        <v>4</v>
      </c>
      <c r="E7" t="s">
        <v>14</v>
      </c>
    </row>
    <row r="8" spans="1:5" x14ac:dyDescent="0.25">
      <c r="B8" s="1">
        <f>C3</f>
        <v>15</v>
      </c>
      <c r="C8" s="2">
        <f>(2*(B8-$C$3))/($C$4-$C$3)*($C$5-$C$3)</f>
        <v>0</v>
      </c>
      <c r="E8" s="2">
        <f>((B8-$C$3)^2)/(($C$4-$C$3)*($C$5-$C$3))</f>
        <v>0</v>
      </c>
    </row>
    <row r="9" spans="1:5" x14ac:dyDescent="0.25">
      <c r="B9">
        <f>B8+1</f>
        <v>16</v>
      </c>
      <c r="C9" s="2">
        <f>(2*(B9-$C$3))/(($C$4-$C$3)*($C$5-$C$3))</f>
        <v>2.6666666666666668E-2</v>
      </c>
      <c r="E9" s="2">
        <f t="shared" ref="E9:E13" si="0">((B9-$C$3)^2)/(($C$4-$C$3)*($C$5-$C$3))</f>
        <v>1.3333333333333334E-2</v>
      </c>
    </row>
    <row r="10" spans="1:5" x14ac:dyDescent="0.25">
      <c r="B10">
        <f t="shared" ref="B10:B23" si="1">B9+1</f>
        <v>17</v>
      </c>
      <c r="C10" s="2">
        <f>(2*(B10-$C$3))/(($C$4-$C$3)*($C$5-$C$3))</f>
        <v>5.3333333333333337E-2</v>
      </c>
      <c r="E10" s="2">
        <f t="shared" si="0"/>
        <v>5.3333333333333337E-2</v>
      </c>
    </row>
    <row r="11" spans="1:5" x14ac:dyDescent="0.25">
      <c r="B11">
        <f t="shared" si="1"/>
        <v>18</v>
      </c>
      <c r="C11" s="2">
        <f t="shared" ref="C11:C13" si="2">(2*(B11-$C$3))/(($C$4-$C$3)*($C$5-$C$3))</f>
        <v>0.08</v>
      </c>
      <c r="E11" s="2">
        <f t="shared" si="0"/>
        <v>0.12</v>
      </c>
    </row>
    <row r="12" spans="1:5" x14ac:dyDescent="0.25">
      <c r="B12">
        <f t="shared" si="1"/>
        <v>19</v>
      </c>
      <c r="C12" s="2">
        <f t="shared" si="2"/>
        <v>0.10666666666666667</v>
      </c>
      <c r="E12" s="2">
        <f t="shared" si="0"/>
        <v>0.21333333333333335</v>
      </c>
    </row>
    <row r="13" spans="1:5" x14ac:dyDescent="0.25">
      <c r="B13" s="1">
        <f t="shared" si="1"/>
        <v>20</v>
      </c>
      <c r="C13" s="2">
        <f t="shared" si="2"/>
        <v>0.13333333333333333</v>
      </c>
      <c r="D13" s="4"/>
      <c r="E13" s="2">
        <f t="shared" si="0"/>
        <v>0.33333333333333331</v>
      </c>
    </row>
    <row r="14" spans="1:5" x14ac:dyDescent="0.25">
      <c r="B14">
        <f t="shared" si="1"/>
        <v>21</v>
      </c>
      <c r="C14" s="3">
        <f>(2*($C$4-B14))/(($C$4-$C$3)*($C$4-$C$5))</f>
        <v>0.12</v>
      </c>
      <c r="E14" s="2">
        <f>1-(($C$4-B14)^2/(($C$4-$C$3)*($C$4-$C$5)))</f>
        <v>0.45999999999999996</v>
      </c>
    </row>
    <row r="15" spans="1:5" x14ac:dyDescent="0.25">
      <c r="B15">
        <f t="shared" si="1"/>
        <v>22</v>
      </c>
      <c r="C15" s="3">
        <f t="shared" ref="C15:C23" si="3">(2*($C$4-B15))/(($C$4-$C$3)*($C$4-$C$5))</f>
        <v>0.10666666666666667</v>
      </c>
      <c r="E15" s="2">
        <f t="shared" ref="E15:E23" si="4">1-(($C$4-B15)^2/(($C$4-$C$3)*($C$4-$C$5)))</f>
        <v>0.57333333333333325</v>
      </c>
    </row>
    <row r="16" spans="1:5" x14ac:dyDescent="0.25">
      <c r="B16">
        <f t="shared" si="1"/>
        <v>23</v>
      </c>
      <c r="C16" s="3">
        <f t="shared" si="3"/>
        <v>9.3333333333333338E-2</v>
      </c>
      <c r="E16" s="2">
        <f t="shared" si="4"/>
        <v>0.67333333333333334</v>
      </c>
    </row>
    <row r="17" spans="2:5" x14ac:dyDescent="0.25">
      <c r="B17">
        <f t="shared" si="1"/>
        <v>24</v>
      </c>
      <c r="C17" s="3">
        <f t="shared" si="3"/>
        <v>0.08</v>
      </c>
      <c r="E17" s="2">
        <f t="shared" si="4"/>
        <v>0.76</v>
      </c>
    </row>
    <row r="18" spans="2:5" x14ac:dyDescent="0.25">
      <c r="B18">
        <f t="shared" si="1"/>
        <v>25</v>
      </c>
      <c r="C18" s="3">
        <f t="shared" si="3"/>
        <v>6.6666666666666666E-2</v>
      </c>
      <c r="E18" s="2">
        <f t="shared" si="4"/>
        <v>0.83333333333333337</v>
      </c>
    </row>
    <row r="19" spans="2:5" x14ac:dyDescent="0.25">
      <c r="B19">
        <f t="shared" si="1"/>
        <v>26</v>
      </c>
      <c r="C19" s="3">
        <f t="shared" si="3"/>
        <v>5.3333333333333337E-2</v>
      </c>
      <c r="E19" s="2">
        <f t="shared" si="4"/>
        <v>0.89333333333333331</v>
      </c>
    </row>
    <row r="20" spans="2:5" x14ac:dyDescent="0.25">
      <c r="B20">
        <f t="shared" si="1"/>
        <v>27</v>
      </c>
      <c r="C20" s="3">
        <f t="shared" si="3"/>
        <v>0.04</v>
      </c>
      <c r="E20" s="2">
        <f t="shared" si="4"/>
        <v>0.94</v>
      </c>
    </row>
    <row r="21" spans="2:5" x14ac:dyDescent="0.25">
      <c r="B21">
        <f t="shared" si="1"/>
        <v>28</v>
      </c>
      <c r="C21" s="3">
        <f t="shared" si="3"/>
        <v>2.6666666666666668E-2</v>
      </c>
      <c r="E21" s="2">
        <f t="shared" si="4"/>
        <v>0.97333333333333338</v>
      </c>
    </row>
    <row r="22" spans="2:5" x14ac:dyDescent="0.25">
      <c r="B22">
        <f t="shared" si="1"/>
        <v>29</v>
      </c>
      <c r="C22" s="3">
        <f t="shared" si="3"/>
        <v>1.3333333333333334E-2</v>
      </c>
      <c r="E22" s="2">
        <f t="shared" si="4"/>
        <v>0.99333333333333329</v>
      </c>
    </row>
    <row r="23" spans="2:5" x14ac:dyDescent="0.25">
      <c r="B23" s="1">
        <f t="shared" si="1"/>
        <v>30</v>
      </c>
      <c r="C23" s="3">
        <f t="shared" si="3"/>
        <v>0</v>
      </c>
      <c r="E23" s="2">
        <f t="shared" si="4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5"/>
  <sheetViews>
    <sheetView workbookViewId="0">
      <selection activeCell="A5" sqref="A5"/>
    </sheetView>
  </sheetViews>
  <sheetFormatPr baseColWidth="10" defaultRowHeight="15" x14ac:dyDescent="0.25"/>
  <sheetData>
    <row r="1" spans="1:3" x14ac:dyDescent="0.25">
      <c r="A1" t="s">
        <v>15</v>
      </c>
    </row>
    <row r="2" spans="1:3" x14ac:dyDescent="0.25">
      <c r="A2" t="s">
        <v>16</v>
      </c>
      <c r="B2">
        <v>3</v>
      </c>
    </row>
    <row r="4" spans="1:3" x14ac:dyDescent="0.25">
      <c r="A4" t="s">
        <v>3</v>
      </c>
      <c r="B4" t="s">
        <v>4</v>
      </c>
      <c r="C4" t="s">
        <v>17</v>
      </c>
    </row>
    <row r="5" spans="1:3" x14ac:dyDescent="0.25">
      <c r="A5">
        <v>0</v>
      </c>
      <c r="B5">
        <f>$B$2*EXP(-$B$2*A5)</f>
        <v>3</v>
      </c>
      <c r="C5">
        <f>1-EXP(-$B$2*A5)</f>
        <v>0</v>
      </c>
    </row>
    <row r="6" spans="1:3" x14ac:dyDescent="0.25">
      <c r="A6">
        <v>0.1</v>
      </c>
      <c r="B6">
        <f t="shared" ref="B6:B35" si="0">$B$2*EXP(-$B$2*A6)</f>
        <v>2.2224546620451537</v>
      </c>
      <c r="C6">
        <f t="shared" ref="C6:C35" si="1">1-EXP(-$B$2*A6)</f>
        <v>0.25918177931828212</v>
      </c>
    </row>
    <row r="7" spans="1:3" x14ac:dyDescent="0.25">
      <c r="A7">
        <v>0.2</v>
      </c>
      <c r="B7">
        <f t="shared" si="0"/>
        <v>1.6464349082820791</v>
      </c>
      <c r="C7">
        <f t="shared" si="1"/>
        <v>0.45118836390597361</v>
      </c>
    </row>
    <row r="8" spans="1:3" x14ac:dyDescent="0.25">
      <c r="A8">
        <v>0.3</v>
      </c>
      <c r="B8">
        <f t="shared" si="0"/>
        <v>1.2197089792217974</v>
      </c>
      <c r="C8">
        <f t="shared" si="1"/>
        <v>0.59343034025940078</v>
      </c>
    </row>
    <row r="9" spans="1:3" x14ac:dyDescent="0.25">
      <c r="A9">
        <v>0.4</v>
      </c>
      <c r="B9">
        <f t="shared" si="0"/>
        <v>0.90358263573660613</v>
      </c>
      <c r="C9">
        <f t="shared" si="1"/>
        <v>0.69880578808779803</v>
      </c>
    </row>
    <row r="10" spans="1:3" x14ac:dyDescent="0.25">
      <c r="A10">
        <v>0.5</v>
      </c>
      <c r="B10">
        <f t="shared" si="0"/>
        <v>0.66939048044528948</v>
      </c>
      <c r="C10">
        <f t="shared" si="1"/>
        <v>0.77686983985157021</v>
      </c>
    </row>
    <row r="11" spans="1:3" x14ac:dyDescent="0.25">
      <c r="A11">
        <v>0.6</v>
      </c>
      <c r="B11">
        <f t="shared" si="0"/>
        <v>0.49589666466475968</v>
      </c>
      <c r="C11">
        <f t="shared" si="1"/>
        <v>0.83470111177841344</v>
      </c>
    </row>
    <row r="12" spans="1:3" x14ac:dyDescent="0.25">
      <c r="A12">
        <v>0.7</v>
      </c>
      <c r="B12">
        <f t="shared" si="0"/>
        <v>0.36736928475894581</v>
      </c>
      <c r="C12">
        <f t="shared" si="1"/>
        <v>0.87754357174701803</v>
      </c>
    </row>
    <row r="13" spans="1:3" x14ac:dyDescent="0.25">
      <c r="A13">
        <v>0.8</v>
      </c>
      <c r="B13">
        <f t="shared" si="0"/>
        <v>0.27215385986823742</v>
      </c>
      <c r="C13">
        <f t="shared" si="1"/>
        <v>0.90928204671058754</v>
      </c>
    </row>
    <row r="14" spans="1:3" x14ac:dyDescent="0.25">
      <c r="A14">
        <v>0.9</v>
      </c>
      <c r="B14">
        <f t="shared" si="0"/>
        <v>0.20161653821924927</v>
      </c>
      <c r="C14">
        <f t="shared" si="1"/>
        <v>0.93279448726025027</v>
      </c>
    </row>
    <row r="15" spans="1:3" x14ac:dyDescent="0.25">
      <c r="A15">
        <v>1</v>
      </c>
      <c r="B15">
        <f t="shared" si="0"/>
        <v>0.14936120510359183</v>
      </c>
      <c r="C15">
        <f t="shared" si="1"/>
        <v>0.95021293163213605</v>
      </c>
    </row>
    <row r="16" spans="1:3" x14ac:dyDescent="0.25">
      <c r="A16">
        <v>1.1000000000000001</v>
      </c>
      <c r="B16">
        <f t="shared" si="0"/>
        <v>0.11064950220371998</v>
      </c>
      <c r="C16">
        <f t="shared" si="1"/>
        <v>0.96311683259876002</v>
      </c>
    </row>
    <row r="17" spans="1:12" x14ac:dyDescent="0.25">
      <c r="A17">
        <v>1.2</v>
      </c>
      <c r="B17">
        <f t="shared" si="0"/>
        <v>8.1971167341877704E-2</v>
      </c>
      <c r="C17">
        <f t="shared" si="1"/>
        <v>0.97267627755270747</v>
      </c>
    </row>
    <row r="18" spans="1:12" x14ac:dyDescent="0.25">
      <c r="A18">
        <v>1.3</v>
      </c>
      <c r="B18">
        <f t="shared" si="0"/>
        <v>6.0725734337413143E-2</v>
      </c>
      <c r="C18">
        <f t="shared" si="1"/>
        <v>0.97975808855419566</v>
      </c>
    </row>
    <row r="19" spans="1:12" x14ac:dyDescent="0.25">
      <c r="A19">
        <v>1.4</v>
      </c>
      <c r="B19">
        <f t="shared" si="0"/>
        <v>4.4986730461433151E-2</v>
      </c>
      <c r="C19">
        <f t="shared" si="1"/>
        <v>0.9850044231795223</v>
      </c>
    </row>
    <row r="20" spans="1:12" x14ac:dyDescent="0.25">
      <c r="A20">
        <v>1.5</v>
      </c>
      <c r="B20">
        <f t="shared" si="0"/>
        <v>3.3326989614726917E-2</v>
      </c>
      <c r="C20">
        <f t="shared" si="1"/>
        <v>0.98889100346175773</v>
      </c>
    </row>
    <row r="21" spans="1:12" x14ac:dyDescent="0.25">
      <c r="A21">
        <v>1.6</v>
      </c>
      <c r="B21">
        <f t="shared" si="0"/>
        <v>2.468924114706007E-2</v>
      </c>
      <c r="C21">
        <f t="shared" si="1"/>
        <v>0.99177025295097998</v>
      </c>
    </row>
    <row r="22" spans="1:12" x14ac:dyDescent="0.25">
      <c r="A22">
        <v>1.7</v>
      </c>
      <c r="B22">
        <f t="shared" si="0"/>
        <v>1.8290239696546914E-2</v>
      </c>
      <c r="C22">
        <f t="shared" si="1"/>
        <v>0.99390325343448438</v>
      </c>
    </row>
    <row r="23" spans="1:12" x14ac:dyDescent="0.25">
      <c r="A23">
        <v>1.8</v>
      </c>
      <c r="B23">
        <f t="shared" si="0"/>
        <v>1.3549742827837998E-2</v>
      </c>
      <c r="C23">
        <f t="shared" si="1"/>
        <v>0.99548341905738735</v>
      </c>
    </row>
    <row r="24" spans="1:12" x14ac:dyDescent="0.25">
      <c r="A24">
        <v>1.9</v>
      </c>
      <c r="B24">
        <f t="shared" si="0"/>
        <v>1.0037896372413825E-2</v>
      </c>
      <c r="C24">
        <f t="shared" si="1"/>
        <v>0.99665403454252877</v>
      </c>
      <c r="L24" s="5"/>
    </row>
    <row r="25" spans="1:12" x14ac:dyDescent="0.25">
      <c r="A25">
        <v>2</v>
      </c>
      <c r="B25">
        <f t="shared" si="0"/>
        <v>7.4362565299990755E-3</v>
      </c>
      <c r="C25">
        <f t="shared" si="1"/>
        <v>0.99752124782333362</v>
      </c>
    </row>
    <row r="26" spans="1:12" x14ac:dyDescent="0.25">
      <c r="A26">
        <v>2.1</v>
      </c>
      <c r="B26">
        <f t="shared" si="0"/>
        <v>5.5089143310867172E-3</v>
      </c>
      <c r="C26">
        <f t="shared" si="1"/>
        <v>0.9981636952229711</v>
      </c>
    </row>
    <row r="27" spans="1:12" x14ac:dyDescent="0.25">
      <c r="A27">
        <v>2.2000000000000002</v>
      </c>
      <c r="B27">
        <f t="shared" si="0"/>
        <v>4.0811041126436786E-3</v>
      </c>
      <c r="C27">
        <f t="shared" si="1"/>
        <v>0.99863963196245209</v>
      </c>
    </row>
    <row r="28" spans="1:12" x14ac:dyDescent="0.25">
      <c r="A28">
        <v>2.2999999999999998</v>
      </c>
      <c r="B28">
        <f t="shared" si="0"/>
        <v>3.023356287145534E-3</v>
      </c>
      <c r="C28">
        <f t="shared" si="1"/>
        <v>0.99899221457095144</v>
      </c>
    </row>
    <row r="29" spans="1:12" x14ac:dyDescent="0.25">
      <c r="A29">
        <v>2.4</v>
      </c>
      <c r="B29">
        <f t="shared" si="0"/>
        <v>2.2397574251300395E-3</v>
      </c>
      <c r="C29">
        <f t="shared" si="1"/>
        <v>0.99925341419162328</v>
      </c>
    </row>
    <row r="30" spans="1:12" x14ac:dyDescent="0.25">
      <c r="A30">
        <v>2.5</v>
      </c>
      <c r="B30">
        <f t="shared" si="0"/>
        <v>1.659253110443501E-3</v>
      </c>
      <c r="C30">
        <f t="shared" si="1"/>
        <v>0.99944691562985222</v>
      </c>
    </row>
    <row r="31" spans="1:12" x14ac:dyDescent="0.25">
      <c r="A31">
        <v>2.6</v>
      </c>
      <c r="B31">
        <f t="shared" si="0"/>
        <v>1.2292049369393592E-3</v>
      </c>
      <c r="C31">
        <f t="shared" si="1"/>
        <v>0.99959026502102022</v>
      </c>
    </row>
    <row r="32" spans="1:12" x14ac:dyDescent="0.25">
      <c r="A32">
        <v>2.7</v>
      </c>
      <c r="B32">
        <f t="shared" si="0"/>
        <v>9.1061741423659865E-4</v>
      </c>
      <c r="C32">
        <f t="shared" si="1"/>
        <v>0.9996964608619211</v>
      </c>
    </row>
    <row r="33" spans="1:3" x14ac:dyDescent="0.25">
      <c r="A33">
        <v>2.8</v>
      </c>
      <c r="B33">
        <f t="shared" si="0"/>
        <v>6.746019725365458E-4</v>
      </c>
      <c r="C33">
        <f t="shared" si="1"/>
        <v>0.99977513267582119</v>
      </c>
    </row>
    <row r="34" spans="1:3" x14ac:dyDescent="0.25">
      <c r="A34">
        <v>2.9</v>
      </c>
      <c r="B34">
        <f t="shared" si="0"/>
        <v>4.9975743296290065E-4</v>
      </c>
      <c r="C34">
        <f t="shared" si="1"/>
        <v>0.99983341418901239</v>
      </c>
    </row>
    <row r="35" spans="1:3" x14ac:dyDescent="0.25">
      <c r="A35">
        <v>3</v>
      </c>
      <c r="B35">
        <f t="shared" si="0"/>
        <v>3.7022941226003868E-4</v>
      </c>
      <c r="C35">
        <f t="shared" si="1"/>
        <v>0.99987659019591335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V1005"/>
  <sheetViews>
    <sheetView topLeftCell="B1" workbookViewId="0">
      <selection activeCell="U6" sqref="U6:V38"/>
    </sheetView>
  </sheetViews>
  <sheetFormatPr baseColWidth="10" defaultRowHeight="15" x14ac:dyDescent="0.25"/>
  <cols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22" x14ac:dyDescent="0.25">
      <c r="E2" t="s">
        <v>48</v>
      </c>
      <c r="J2" s="17" t="s">
        <v>36</v>
      </c>
      <c r="K2" s="17"/>
      <c r="L2" s="17"/>
      <c r="M2" s="17"/>
      <c r="N2" s="17"/>
      <c r="P2" t="s">
        <v>63</v>
      </c>
    </row>
    <row r="3" spans="2:22" x14ac:dyDescent="0.25">
      <c r="E3" t="s">
        <v>54</v>
      </c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22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59</v>
      </c>
      <c r="R4" s="15" t="s">
        <v>62</v>
      </c>
    </row>
    <row r="5" spans="2:22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1-EXP(-$H$11*J5)</f>
        <v>0.43675540673019708</v>
      </c>
      <c r="O5">
        <f>ABS(M5-N5)</f>
        <v>0.43475540673019708</v>
      </c>
      <c r="P5">
        <f ca="1">(-1/H11)*LN(1-H9)</f>
        <v>27.334735190829235</v>
      </c>
      <c r="R5">
        <v>14.384969851927764</v>
      </c>
    </row>
    <row r="6" spans="2:22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1-EXP(-$H$11*J6)</f>
        <v>0.45563689939258911</v>
      </c>
      <c r="O6">
        <f t="shared" ref="O6:O69" si="2">ABS(M6-N6)</f>
        <v>0.45163689939258911</v>
      </c>
      <c r="R6">
        <v>54.834539134396209</v>
      </c>
      <c r="U6" s="10" t="s">
        <v>33</v>
      </c>
      <c r="V6" s="10" t="s">
        <v>35</v>
      </c>
    </row>
    <row r="7" spans="2:22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0.4826752477921018</v>
      </c>
      <c r="O7">
        <f t="shared" si="2"/>
        <v>0.4766752477921018</v>
      </c>
      <c r="R7">
        <v>29.499561876484098</v>
      </c>
      <c r="U7" s="8">
        <v>2.2046947099657078E-2</v>
      </c>
      <c r="V7" s="8">
        <v>1</v>
      </c>
    </row>
    <row r="8" spans="2:22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0.49436986271635064</v>
      </c>
      <c r="O8">
        <f t="shared" si="2"/>
        <v>0.48636986271635063</v>
      </c>
      <c r="R8">
        <v>16.107421878446459</v>
      </c>
      <c r="U8" s="8">
        <v>5.3302624247088257</v>
      </c>
      <c r="V8" s="8">
        <v>191</v>
      </c>
    </row>
    <row r="9" spans="2:22" x14ac:dyDescent="0.25">
      <c r="B9" s="7">
        <v>29.16</v>
      </c>
      <c r="D9" s="8" t="s">
        <v>21</v>
      </c>
      <c r="E9" s="8">
        <v>0.13643978616846866</v>
      </c>
      <c r="F9" s="13" t="s">
        <v>64</v>
      </c>
      <c r="G9" t="s">
        <v>61</v>
      </c>
      <c r="H9">
        <f ca="1">RAND()</f>
        <v>0.66597004043875796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>1-EXP(-$H$11*J9)</f>
        <v>0.50480788116066955</v>
      </c>
      <c r="O9">
        <f t="shared" si="2"/>
        <v>0.49480788116066954</v>
      </c>
      <c r="R9">
        <v>72.174933091806722</v>
      </c>
      <c r="U9" s="8">
        <v>10.638477902317995</v>
      </c>
      <c r="V9" s="8">
        <v>146</v>
      </c>
    </row>
    <row r="10" spans="2:22" x14ac:dyDescent="0.25">
      <c r="B10" s="7">
        <v>26.01</v>
      </c>
      <c r="D10" s="8" t="s">
        <v>22</v>
      </c>
      <c r="E10" s="8">
        <v>24.84</v>
      </c>
      <c r="G10" t="s">
        <v>55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0.50915883969089171</v>
      </c>
      <c r="O10">
        <f t="shared" si="2"/>
        <v>0.4971588396908917</v>
      </c>
      <c r="R10">
        <v>30.090518732898534</v>
      </c>
      <c r="U10" s="8">
        <v>15.946693379927163</v>
      </c>
      <c r="V10" s="8">
        <v>125</v>
      </c>
    </row>
    <row r="11" spans="2:22" x14ac:dyDescent="0.25">
      <c r="B11" s="7">
        <v>21.89</v>
      </c>
      <c r="D11" s="8" t="s">
        <v>23</v>
      </c>
      <c r="E11" s="8">
        <v>27.23</v>
      </c>
      <c r="G11" t="s">
        <v>16</v>
      </c>
      <c r="H11">
        <f>1/E8</f>
        <v>4.0114695938627702E-2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0.5128857082811904</v>
      </c>
      <c r="O11">
        <f t="shared" si="2"/>
        <v>0.49888570828119039</v>
      </c>
      <c r="R11">
        <v>46.616313557983055</v>
      </c>
      <c r="U11" s="8">
        <v>21.254908857536332</v>
      </c>
      <c r="V11" s="8">
        <v>121</v>
      </c>
    </row>
    <row r="12" spans="2:22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0.51948435669640525</v>
      </c>
      <c r="O12">
        <f t="shared" si="2"/>
        <v>0.50348435669640523</v>
      </c>
      <c r="R12">
        <v>28.217364530015526</v>
      </c>
      <c r="U12" s="8">
        <v>26.563124335145499</v>
      </c>
      <c r="V12" s="8">
        <v>75</v>
      </c>
    </row>
    <row r="13" spans="2:22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0.51967707542880304</v>
      </c>
      <c r="O13">
        <f t="shared" si="2"/>
        <v>0.50167707542880302</v>
      </c>
      <c r="R13">
        <v>18.140603933620511</v>
      </c>
      <c r="U13" s="8">
        <v>31.87133981275467</v>
      </c>
      <c r="V13" s="8">
        <v>73</v>
      </c>
    </row>
    <row r="14" spans="2:22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0.51967707542880304</v>
      </c>
      <c r="O14">
        <f t="shared" si="2"/>
        <v>0.49967707542880302</v>
      </c>
      <c r="R14">
        <v>37.376882760297406</v>
      </c>
      <c r="U14" s="8">
        <v>37.179555290363844</v>
      </c>
      <c r="V14" s="8">
        <v>54</v>
      </c>
    </row>
    <row r="15" spans="2:22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0.52160001674699541</v>
      </c>
      <c r="O15">
        <f t="shared" si="2"/>
        <v>0.49960001674699539</v>
      </c>
      <c r="R15">
        <v>2.4302448526006519</v>
      </c>
      <c r="U15" s="8">
        <v>42.487770767973011</v>
      </c>
      <c r="V15" s="8">
        <v>42</v>
      </c>
    </row>
    <row r="16" spans="2:22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0.52485136573913493</v>
      </c>
      <c r="O16">
        <f t="shared" si="2"/>
        <v>0.50085136573913491</v>
      </c>
      <c r="R16">
        <v>17.043437310241234</v>
      </c>
      <c r="U16" s="8">
        <v>47.795986245582178</v>
      </c>
      <c r="V16" s="8">
        <v>22</v>
      </c>
    </row>
    <row r="17" spans="2:22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0.53185165048875227</v>
      </c>
      <c r="O17">
        <f t="shared" si="2"/>
        <v>0.50585165048875225</v>
      </c>
      <c r="R17">
        <v>2.6143758492605635</v>
      </c>
      <c r="U17" s="8">
        <v>53.104201723191345</v>
      </c>
      <c r="V17" s="8">
        <v>24</v>
      </c>
    </row>
    <row r="18" spans="2:22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0.53203940911378189</v>
      </c>
      <c r="O18">
        <f t="shared" si="2"/>
        <v>0.50403940911378187</v>
      </c>
      <c r="R18">
        <v>5.5084448472823944</v>
      </c>
      <c r="U18" s="8">
        <v>58.412417200800519</v>
      </c>
      <c r="V18" s="8">
        <v>29</v>
      </c>
    </row>
    <row r="19" spans="2:22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0.53856373459006368</v>
      </c>
      <c r="O19">
        <f t="shared" si="2"/>
        <v>0.50856373459006365</v>
      </c>
      <c r="R19">
        <v>18.245899616271256</v>
      </c>
      <c r="U19" s="8">
        <v>63.720632678409686</v>
      </c>
      <c r="V19" s="8">
        <v>19</v>
      </c>
    </row>
    <row r="20" spans="2:22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0.53985764335710673</v>
      </c>
      <c r="O20">
        <f t="shared" si="2"/>
        <v>0.5078576433571067</v>
      </c>
      <c r="R20">
        <v>19.820594875686218</v>
      </c>
      <c r="U20" s="8">
        <v>69.028848156018853</v>
      </c>
      <c r="V20" s="8">
        <v>14</v>
      </c>
    </row>
    <row r="21" spans="2:22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0.54169979309549166</v>
      </c>
      <c r="O21">
        <f t="shared" si="2"/>
        <v>0.50769979309549162</v>
      </c>
      <c r="R21">
        <v>41.627460309936843</v>
      </c>
      <c r="U21" s="8">
        <v>74.33706363362802</v>
      </c>
      <c r="V21" s="8">
        <v>19</v>
      </c>
    </row>
    <row r="22" spans="2:22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0.5424345863556147</v>
      </c>
      <c r="O22">
        <f t="shared" si="2"/>
        <v>0.50643458635561467</v>
      </c>
      <c r="R22">
        <v>39.01476328299583</v>
      </c>
      <c r="U22" s="8">
        <v>79.645279111237187</v>
      </c>
      <c r="V22" s="8">
        <v>6</v>
      </c>
    </row>
    <row r="23" spans="2:22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0.54261810051948323</v>
      </c>
      <c r="O23">
        <f t="shared" si="2"/>
        <v>0.50461810051948319</v>
      </c>
      <c r="R23">
        <v>29.80625602289485</v>
      </c>
      <c r="U23" s="8">
        <v>84.953494588846354</v>
      </c>
      <c r="V23" s="8">
        <v>5</v>
      </c>
    </row>
    <row r="24" spans="2:22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0.54463190511893633</v>
      </c>
      <c r="O24">
        <f t="shared" si="2"/>
        <v>0.5046319051189363</v>
      </c>
      <c r="R24">
        <v>3.933869009828161</v>
      </c>
      <c r="U24" s="8">
        <v>90.261710066455521</v>
      </c>
      <c r="V24" s="8">
        <v>8</v>
      </c>
    </row>
    <row r="25" spans="2:22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0.54953736892348182</v>
      </c>
      <c r="O25">
        <f t="shared" si="2"/>
        <v>0.50753736892348178</v>
      </c>
      <c r="R25">
        <v>4.7272456547441006</v>
      </c>
      <c r="U25" s="8">
        <v>95.569925544064688</v>
      </c>
      <c r="V25" s="8">
        <v>4</v>
      </c>
    </row>
    <row r="26" spans="2:22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0.55043997200355088</v>
      </c>
      <c r="O26">
        <f t="shared" si="2"/>
        <v>0.50643997200355084</v>
      </c>
      <c r="R26">
        <v>16.536346200959049</v>
      </c>
      <c r="U26" s="8">
        <v>100.87814102167385</v>
      </c>
      <c r="V26" s="8">
        <v>7</v>
      </c>
    </row>
    <row r="27" spans="2:22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0.55152070870884273</v>
      </c>
      <c r="O27">
        <f t="shared" si="2"/>
        <v>0.50552070870884269</v>
      </c>
      <c r="R27">
        <v>7.56782206432921</v>
      </c>
      <c r="U27" s="8">
        <v>106.18635649928302</v>
      </c>
      <c r="V27" s="8">
        <v>4</v>
      </c>
    </row>
    <row r="28" spans="2:22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0.55170057873332323</v>
      </c>
      <c r="O28">
        <f t="shared" si="2"/>
        <v>0.50370057873332319</v>
      </c>
      <c r="R28">
        <v>24.273114705509844</v>
      </c>
      <c r="U28" s="8">
        <v>111.4945719768922</v>
      </c>
      <c r="V28" s="8">
        <v>3</v>
      </c>
    </row>
    <row r="29" spans="2:22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0.55652989508056694</v>
      </c>
      <c r="O29">
        <f t="shared" si="2"/>
        <v>0.50652989508056689</v>
      </c>
      <c r="R29">
        <v>14.402746452854378</v>
      </c>
      <c r="U29" s="8">
        <v>116.80278745450137</v>
      </c>
      <c r="V29" s="8">
        <v>3</v>
      </c>
    </row>
    <row r="30" spans="2:22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0.55724091122075559</v>
      </c>
      <c r="O30">
        <f t="shared" si="2"/>
        <v>0.50524091122075554</v>
      </c>
      <c r="R30">
        <v>8.3018093940670461</v>
      </c>
      <c r="U30" s="8">
        <v>122.11100293211054</v>
      </c>
      <c r="V30" s="8">
        <v>1</v>
      </c>
    </row>
    <row r="31" spans="2:22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0.55777342511860373</v>
      </c>
      <c r="O31">
        <f t="shared" si="2"/>
        <v>0.50377342511860368</v>
      </c>
      <c r="R31">
        <v>6.8817715568556466</v>
      </c>
      <c r="U31" s="8">
        <v>127.4192184097197</v>
      </c>
      <c r="V31" s="8">
        <v>0</v>
      </c>
    </row>
    <row r="32" spans="2:22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0.55777342511860373</v>
      </c>
      <c r="O32">
        <f t="shared" si="2"/>
        <v>0.50177342511860368</v>
      </c>
      <c r="R32">
        <v>3.5881770667209034</v>
      </c>
      <c r="U32" s="8">
        <v>132.72743388732889</v>
      </c>
      <c r="V32" s="8">
        <v>1</v>
      </c>
    </row>
    <row r="33" spans="2:22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0.55901346818663211</v>
      </c>
      <c r="O33">
        <f t="shared" si="2"/>
        <v>0.50101346818663206</v>
      </c>
      <c r="R33">
        <v>67.451623934851625</v>
      </c>
      <c r="U33" s="8">
        <v>138.03564936493805</v>
      </c>
      <c r="V33" s="8">
        <v>2</v>
      </c>
    </row>
    <row r="34" spans="2:22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0.55936712711119418</v>
      </c>
      <c r="O34">
        <f t="shared" si="2"/>
        <v>0.49936712711119413</v>
      </c>
      <c r="R34">
        <v>17.691746197656361</v>
      </c>
      <c r="U34" s="8">
        <v>143.34386484254722</v>
      </c>
      <c r="V34" s="8">
        <v>0</v>
      </c>
    </row>
    <row r="35" spans="2:22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0.55936712711119418</v>
      </c>
      <c r="O35">
        <f t="shared" si="2"/>
        <v>0.49736712711119413</v>
      </c>
      <c r="R35">
        <v>14.748824789447681</v>
      </c>
      <c r="U35" s="8">
        <v>148.65208032015639</v>
      </c>
      <c r="V35" s="8">
        <v>0</v>
      </c>
    </row>
    <row r="36" spans="2:22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0.56042640304684943</v>
      </c>
      <c r="O36">
        <f t="shared" si="2"/>
        <v>0.49642640304684937</v>
      </c>
      <c r="R36">
        <v>97.476650881825506</v>
      </c>
      <c r="U36" s="8">
        <v>153.96029579776555</v>
      </c>
      <c r="V36" s="8">
        <v>0</v>
      </c>
    </row>
    <row r="37" spans="2:22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0.56113117191123829</v>
      </c>
      <c r="O37">
        <f t="shared" si="2"/>
        <v>0.49513117191123823</v>
      </c>
      <c r="R37">
        <v>27.672114001771529</v>
      </c>
      <c r="U37" s="8">
        <v>159.26851127537472</v>
      </c>
      <c r="V37" s="8">
        <v>1</v>
      </c>
    </row>
    <row r="38" spans="2:22" ht="15.75" thickBot="1" x14ac:dyDescent="0.3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0.56113117191123829</v>
      </c>
      <c r="O38">
        <f t="shared" si="2"/>
        <v>0.49313117191123823</v>
      </c>
      <c r="R38">
        <v>41.812459692474476</v>
      </c>
      <c r="U38" s="9" t="s">
        <v>34</v>
      </c>
      <c r="V38" s="9">
        <v>1</v>
      </c>
    </row>
    <row r="39" spans="2:22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0.56130718750077579</v>
      </c>
      <c r="O39">
        <f t="shared" si="2"/>
        <v>0.49130718750077573</v>
      </c>
      <c r="R39">
        <v>5.1252648163407217</v>
      </c>
    </row>
    <row r="40" spans="2:22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0.56201054420241492</v>
      </c>
      <c r="O40">
        <f t="shared" si="2"/>
        <v>0.49001054420241485</v>
      </c>
      <c r="R40">
        <v>3.5773326839554653</v>
      </c>
    </row>
    <row r="41" spans="2:22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0.56306346539632279</v>
      </c>
      <c r="O41">
        <f t="shared" si="2"/>
        <v>0.48906346539632273</v>
      </c>
      <c r="R41">
        <v>32.152447636899652</v>
      </c>
    </row>
    <row r="42" spans="2:22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0.56411385538080094</v>
      </c>
      <c r="O42">
        <f t="shared" si="2"/>
        <v>0.48811385538080088</v>
      </c>
      <c r="R42">
        <v>5.894423217847014</v>
      </c>
    </row>
    <row r="43" spans="2:22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0.56463810307163698</v>
      </c>
      <c r="O43">
        <f t="shared" si="2"/>
        <v>0.48663810307163691</v>
      </c>
      <c r="R43">
        <v>3.7468134170805141</v>
      </c>
    </row>
    <row r="44" spans="2:22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0.56533611931242844</v>
      </c>
      <c r="O44">
        <f t="shared" si="2"/>
        <v>0.48533611931242837</v>
      </c>
      <c r="R44">
        <v>53.62402253821336</v>
      </c>
    </row>
    <row r="45" spans="2:22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0.56533611931242844</v>
      </c>
      <c r="O45">
        <f t="shared" si="2"/>
        <v>0.48333611931242837</v>
      </c>
      <c r="R45">
        <v>1.6097507352881109</v>
      </c>
    </row>
    <row r="46" spans="2:22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0.56672879619753735</v>
      </c>
      <c r="O46">
        <f t="shared" si="2"/>
        <v>0.48272879619753728</v>
      </c>
      <c r="R46">
        <v>7.4594157701048518</v>
      </c>
    </row>
    <row r="47" spans="2:22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0.56707626764377483</v>
      </c>
      <c r="O47">
        <f t="shared" si="2"/>
        <v>0.48107626764377476</v>
      </c>
      <c r="R47">
        <v>0.1427683845115448</v>
      </c>
    </row>
    <row r="48" spans="2:22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0.56724989885451116</v>
      </c>
      <c r="O48">
        <f t="shared" si="2"/>
        <v>0.47924989885451108</v>
      </c>
      <c r="R48">
        <v>27.322536327889249</v>
      </c>
    </row>
    <row r="49" spans="2:18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0.56794372760005563</v>
      </c>
      <c r="O49">
        <f t="shared" si="2"/>
        <v>0.47794372760005555</v>
      </c>
      <c r="R49">
        <v>26.256633326648203</v>
      </c>
    </row>
    <row r="50" spans="2:18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0.56967343654268787</v>
      </c>
      <c r="O50">
        <f t="shared" si="2"/>
        <v>0.47767343654268779</v>
      </c>
      <c r="R50">
        <v>6.8759955185653183</v>
      </c>
    </row>
    <row r="51" spans="2:18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0.5700185464693267</v>
      </c>
      <c r="O51">
        <f t="shared" si="2"/>
        <v>0.47601854646932662</v>
      </c>
      <c r="R51">
        <v>0.43361928591865029</v>
      </c>
    </row>
    <row r="52" spans="2:18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0.571739949010729</v>
      </c>
      <c r="O52">
        <f t="shared" si="2"/>
        <v>0.47573994901072891</v>
      </c>
      <c r="R52">
        <v>2.9958611215901345</v>
      </c>
    </row>
    <row r="53" spans="2:18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0.57208340165188543</v>
      </c>
      <c r="O53">
        <f t="shared" si="2"/>
        <v>0.47408340165188534</v>
      </c>
      <c r="R53">
        <v>15.046249003759002</v>
      </c>
    </row>
    <row r="54" spans="2:18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0.57242657885358317</v>
      </c>
      <c r="O54">
        <f t="shared" si="2"/>
        <v>0.47242657885358308</v>
      </c>
      <c r="R54">
        <v>20.836098777149331</v>
      </c>
    </row>
    <row r="55" spans="2:18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0.57311210782200361</v>
      </c>
      <c r="O55">
        <f t="shared" si="2"/>
        <v>0.47111210782200352</v>
      </c>
      <c r="R55">
        <v>15.186389253494781</v>
      </c>
    </row>
    <row r="56" spans="2:18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0.57345446002998479</v>
      </c>
      <c r="O56">
        <f t="shared" si="2"/>
        <v>0.4694544600299847</v>
      </c>
      <c r="R56">
        <v>9.5773450414145529</v>
      </c>
    </row>
    <row r="57" spans="2:18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0.57345446002998479</v>
      </c>
      <c r="O57">
        <f t="shared" si="2"/>
        <v>0.4674544600299847</v>
      </c>
      <c r="R57">
        <v>17.557522258891719</v>
      </c>
    </row>
    <row r="58" spans="2:18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0.57447987019284685</v>
      </c>
      <c r="O58">
        <f t="shared" si="2"/>
        <v>0.46647987019284676</v>
      </c>
      <c r="R58">
        <v>9.3958695891155131</v>
      </c>
    </row>
    <row r="59" spans="2:18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0.57516210711685101</v>
      </c>
      <c r="O59">
        <f t="shared" si="2"/>
        <v>0.46516210711685091</v>
      </c>
      <c r="R59">
        <v>6.641939824982324</v>
      </c>
    </row>
    <row r="60" spans="2:18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0.57584325020959348</v>
      </c>
      <c r="O60">
        <f t="shared" si="2"/>
        <v>0.46384325020959338</v>
      </c>
      <c r="R60">
        <v>31.558257646282797</v>
      </c>
    </row>
    <row r="61" spans="2:18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0.57584325020959348</v>
      </c>
      <c r="O61">
        <f t="shared" si="2"/>
        <v>0.46184325020959338</v>
      </c>
      <c r="R61">
        <v>6.3789836106623943</v>
      </c>
    </row>
    <row r="62" spans="2:18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0.57618341211739543</v>
      </c>
      <c r="O62">
        <f t="shared" si="2"/>
        <v>0.46018341211739533</v>
      </c>
      <c r="R62">
        <v>33.970702093820186</v>
      </c>
    </row>
    <row r="63" spans="2:18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0.57618341211739543</v>
      </c>
      <c r="O63">
        <f t="shared" si="2"/>
        <v>0.45818341211739533</v>
      </c>
      <c r="R63">
        <v>18.421839639233504</v>
      </c>
    </row>
    <row r="64" spans="2:18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0.57652330122481521</v>
      </c>
      <c r="O64">
        <f t="shared" si="2"/>
        <v>0.4565233012248151</v>
      </c>
      <c r="R64">
        <v>15.38367976622906</v>
      </c>
    </row>
    <row r="65" spans="2:18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0.5766931435467566</v>
      </c>
      <c r="O65">
        <f t="shared" si="2"/>
        <v>0.4546931435467565</v>
      </c>
      <c r="R65">
        <v>0.20329750635211655</v>
      </c>
    </row>
    <row r="66" spans="2:18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0.57703262386375731</v>
      </c>
      <c r="O66">
        <f t="shared" si="2"/>
        <v>0.4530326238637572</v>
      </c>
      <c r="R66">
        <v>15.380104842201494</v>
      </c>
    </row>
    <row r="67" spans="2:18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0.57720226191344515</v>
      </c>
      <c r="O67">
        <f t="shared" si="2"/>
        <v>0.45120226191344504</v>
      </c>
      <c r="R67">
        <v>20.321529488220282</v>
      </c>
    </row>
    <row r="68" spans="2:18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0.5778801340236055</v>
      </c>
      <c r="O68">
        <f t="shared" si="2"/>
        <v>0.44988013402360538</v>
      </c>
      <c r="R68">
        <v>26.617962393904463</v>
      </c>
    </row>
    <row r="69" spans="2:18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0.57804943216535087</v>
      </c>
      <c r="O69">
        <f t="shared" si="2"/>
        <v>0.44804943216535076</v>
      </c>
      <c r="R69">
        <v>5.0901725464123508</v>
      </c>
    </row>
    <row r="70" spans="2:18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1-EXP(-$H$11*J70)</f>
        <v>0.57855691930061526</v>
      </c>
      <c r="O70">
        <f t="shared" ref="O70:O133" si="6">ABS(M70-N70)</f>
        <v>0.44655691930061514</v>
      </c>
      <c r="R70">
        <v>15.213698242773319</v>
      </c>
    </row>
    <row r="71" spans="2:18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0.57889490492133566</v>
      </c>
      <c r="O71">
        <f t="shared" si="6"/>
        <v>0.44489490492133554</v>
      </c>
      <c r="R71">
        <v>40.009519270323885</v>
      </c>
    </row>
    <row r="72" spans="2:18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0.57889490492133566</v>
      </c>
      <c r="O72">
        <f t="shared" si="6"/>
        <v>0.44289490492133554</v>
      </c>
      <c r="R72">
        <v>53.25503933658451</v>
      </c>
    </row>
    <row r="73" spans="2:18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0.57906379607245784</v>
      </c>
      <c r="O73">
        <f t="shared" si="6"/>
        <v>0.44106379607245771</v>
      </c>
      <c r="R73">
        <v>4.1630915058053715</v>
      </c>
    </row>
    <row r="74" spans="2:18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0.57940137519211521</v>
      </c>
      <c r="O74">
        <f t="shared" si="6"/>
        <v>0.43940137519211508</v>
      </c>
      <c r="R74">
        <v>58.833923300767282</v>
      </c>
    </row>
    <row r="75" spans="2:18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0.5797386835827143</v>
      </c>
      <c r="O75">
        <f t="shared" si="6"/>
        <v>0.43773868358271417</v>
      </c>
      <c r="R75">
        <v>10.732558339648365</v>
      </c>
    </row>
    <row r="76" spans="2:18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0.57990723632247299</v>
      </c>
      <c r="O76">
        <f t="shared" si="6"/>
        <v>0.43590723632247286</v>
      </c>
      <c r="R76">
        <v>33.426876666730081</v>
      </c>
    </row>
    <row r="77" spans="2:18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0.57990723632247299</v>
      </c>
      <c r="O77">
        <f t="shared" si="6"/>
        <v>0.43390723632247286</v>
      </c>
      <c r="R77">
        <v>16.226734590068776</v>
      </c>
    </row>
    <row r="78" spans="2:18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0.58058077154398557</v>
      </c>
      <c r="O78">
        <f t="shared" si="6"/>
        <v>0.43258077154398544</v>
      </c>
      <c r="R78">
        <v>11.333770427255054</v>
      </c>
    </row>
    <row r="79" spans="2:18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0.58192460407894786</v>
      </c>
      <c r="O79">
        <f t="shared" si="6"/>
        <v>0.43192460407894773</v>
      </c>
      <c r="R79">
        <v>2.9195769371419797</v>
      </c>
    </row>
    <row r="80" spans="2:18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0.58209228011920033</v>
      </c>
      <c r="O80">
        <f t="shared" si="6"/>
        <v>0.4300922801192002</v>
      </c>
      <c r="R80">
        <v>55.598242148950781</v>
      </c>
    </row>
    <row r="81" spans="2:18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0.58259490485236665</v>
      </c>
      <c r="O81">
        <f t="shared" si="6"/>
        <v>0.42859490485236651</v>
      </c>
      <c r="R81">
        <v>1.5909333645656936</v>
      </c>
    </row>
    <row r="82" spans="2:18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0.58276231205742679</v>
      </c>
      <c r="O82">
        <f t="shared" si="6"/>
        <v>0.42676231205742665</v>
      </c>
      <c r="R82">
        <v>27.762941532336235</v>
      </c>
    </row>
    <row r="83" spans="2:18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0.58309692507020472</v>
      </c>
      <c r="O83">
        <f t="shared" si="6"/>
        <v>0.42509692507020458</v>
      </c>
      <c r="R83">
        <v>35.896444128224807</v>
      </c>
    </row>
    <row r="84" spans="2:18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0.58426595876802145</v>
      </c>
      <c r="O84">
        <f t="shared" si="6"/>
        <v>0.42426595876802131</v>
      </c>
      <c r="R84">
        <v>17.815587745794616</v>
      </c>
    </row>
    <row r="85" spans="2:18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0.58443269576931844</v>
      </c>
      <c r="O85">
        <f t="shared" si="6"/>
        <v>0.4224326957693183</v>
      </c>
      <c r="R85">
        <v>30.82706728911133</v>
      </c>
    </row>
    <row r="86" spans="2:18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0.58443269576931844</v>
      </c>
      <c r="O86">
        <f t="shared" si="6"/>
        <v>0.4204326957693183</v>
      </c>
      <c r="R86">
        <v>2.8478134990347281</v>
      </c>
    </row>
    <row r="87" spans="2:18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0.58459936589798822</v>
      </c>
      <c r="O87">
        <f t="shared" si="6"/>
        <v>0.41859936589798807</v>
      </c>
      <c r="R87">
        <v>102.79493991714885</v>
      </c>
    </row>
    <row r="88" spans="2:18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0.58493250564471677</v>
      </c>
      <c r="O88">
        <f t="shared" si="6"/>
        <v>0.41693250564471662</v>
      </c>
      <c r="R88">
        <v>2.592269436829981</v>
      </c>
    </row>
    <row r="89" spans="2:18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0.58509897531638377</v>
      </c>
      <c r="O89">
        <f t="shared" si="6"/>
        <v>0.41509897531638362</v>
      </c>
      <c r="R89">
        <v>1.2448447701134377</v>
      </c>
    </row>
    <row r="90" spans="2:18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0.58526537822264046</v>
      </c>
      <c r="O90">
        <f t="shared" si="6"/>
        <v>0.41326537822264031</v>
      </c>
      <c r="R90">
        <v>2.0213715575570639</v>
      </c>
    </row>
    <row r="91" spans="2:18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0.58609639220960075</v>
      </c>
      <c r="O91">
        <f t="shared" si="6"/>
        <v>0.41209639220960059</v>
      </c>
      <c r="R91">
        <v>3.1761043769523316</v>
      </c>
    </row>
    <row r="92" spans="2:18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0.58676000435020881</v>
      </c>
      <c r="O92">
        <f t="shared" si="6"/>
        <v>0.41076000435020865</v>
      </c>
      <c r="R92">
        <v>9.8030653721182404</v>
      </c>
    </row>
    <row r="93" spans="2:18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0.58725701513193429</v>
      </c>
      <c r="O93">
        <f t="shared" si="6"/>
        <v>0.40925701513193413</v>
      </c>
      <c r="R93">
        <v>78.534575289689386</v>
      </c>
    </row>
    <row r="94" spans="2:18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0.58725701513193429</v>
      </c>
      <c r="O94">
        <f t="shared" si="6"/>
        <v>0.40725701513193413</v>
      </c>
      <c r="R94">
        <v>49.043529816075178</v>
      </c>
    </row>
    <row r="95" spans="2:18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0.5887444637720084</v>
      </c>
      <c r="O95">
        <f t="shared" si="6"/>
        <v>0.40674446377200824</v>
      </c>
      <c r="R95">
        <v>2.9153227066357141</v>
      </c>
    </row>
    <row r="96" spans="2:18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0.58890940459493046</v>
      </c>
      <c r="O96">
        <f t="shared" si="6"/>
        <v>0.4049094045949303</v>
      </c>
      <c r="R96">
        <v>18.157179492304685</v>
      </c>
    </row>
    <row r="97" spans="2:18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0.58956850662947646</v>
      </c>
      <c r="O97">
        <f t="shared" si="6"/>
        <v>0.4035685066294763</v>
      </c>
      <c r="R97">
        <v>17.368606906022748</v>
      </c>
    </row>
    <row r="98" spans="2:18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0.58973311695640496</v>
      </c>
      <c r="O98">
        <f t="shared" si="6"/>
        <v>0.40173311695640479</v>
      </c>
      <c r="R98">
        <v>0.31297943317525612</v>
      </c>
    </row>
    <row r="99" spans="2:18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0.59006213957767195</v>
      </c>
      <c r="O99">
        <f t="shared" si="6"/>
        <v>0.40006213957767178</v>
      </c>
      <c r="R99">
        <v>5.2701555676828349</v>
      </c>
    </row>
    <row r="100" spans="2:18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0.59039089833195413</v>
      </c>
      <c r="O100">
        <f t="shared" si="6"/>
        <v>0.39839089833195396</v>
      </c>
      <c r="R100">
        <v>39.304140605692474</v>
      </c>
    </row>
    <row r="101" spans="2:18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0.5905551788251121</v>
      </c>
      <c r="O101">
        <f t="shared" si="6"/>
        <v>0.39655517882511193</v>
      </c>
      <c r="R101">
        <v>45.056388767458678</v>
      </c>
    </row>
    <row r="102" spans="2:18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0.59071939343086588</v>
      </c>
      <c r="O102">
        <f t="shared" si="6"/>
        <v>0.39471939343086571</v>
      </c>
      <c r="R102">
        <v>8.0314384376092818</v>
      </c>
    </row>
    <row r="103" spans="2:18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0.59088354217564065</v>
      </c>
      <c r="O103">
        <f t="shared" si="6"/>
        <v>0.39288354217564048</v>
      </c>
      <c r="R103">
        <v>9.8980952975093288</v>
      </c>
    </row>
    <row r="104" spans="2:18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0.59088354217564065</v>
      </c>
      <c r="O104">
        <f t="shared" si="6"/>
        <v>0.39088354217564047</v>
      </c>
      <c r="R104">
        <v>1.0099089767600877</v>
      </c>
    </row>
    <row r="105" spans="2:18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0.59137559350818503</v>
      </c>
      <c r="O105">
        <f t="shared" si="6"/>
        <v>0.38937559350818485</v>
      </c>
      <c r="R105">
        <v>58.531877620655656</v>
      </c>
    </row>
    <row r="106" spans="2:18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0.59137559350818503</v>
      </c>
      <c r="O106">
        <f t="shared" si="6"/>
        <v>0.38737559350818485</v>
      </c>
      <c r="R106">
        <v>12.232530915925969</v>
      </c>
    </row>
    <row r="107" spans="2:18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0.59284819956091206</v>
      </c>
      <c r="O107">
        <f t="shared" si="6"/>
        <v>0.38684819956091188</v>
      </c>
      <c r="R107">
        <v>16.320540672647564</v>
      </c>
    </row>
    <row r="108" spans="2:18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0.59366401966180193</v>
      </c>
      <c r="O108">
        <f t="shared" si="6"/>
        <v>0.38566401966180175</v>
      </c>
      <c r="R108">
        <v>57.85112261119572</v>
      </c>
    </row>
    <row r="109" spans="2:18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0.59366401966180193</v>
      </c>
      <c r="O109">
        <f t="shared" si="6"/>
        <v>0.38366401966180175</v>
      </c>
      <c r="R109">
        <v>50.533733014183589</v>
      </c>
    </row>
    <row r="110" spans="2:18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0.59382698741560902</v>
      </c>
      <c r="O110">
        <f t="shared" si="6"/>
        <v>0.38182698741560883</v>
      </c>
      <c r="R110">
        <v>8.8151811132297304</v>
      </c>
    </row>
    <row r="111" spans="2:18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0.59382698741560902</v>
      </c>
      <c r="O111">
        <f t="shared" si="6"/>
        <v>0.37982698741560883</v>
      </c>
      <c r="R111">
        <v>19.163689265379979</v>
      </c>
    </row>
    <row r="112" spans="2:18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0.59398988980850775</v>
      </c>
      <c r="O112">
        <f t="shared" si="6"/>
        <v>0.37798988980850756</v>
      </c>
      <c r="R112">
        <v>2.2236379620685418</v>
      </c>
    </row>
    <row r="113" spans="2:18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0.59415272686671217</v>
      </c>
      <c r="O113">
        <f t="shared" si="6"/>
        <v>0.37615272686671197</v>
      </c>
      <c r="R113">
        <v>53.656383858148722</v>
      </c>
    </row>
    <row r="114" spans="2:18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0.59431549861642574</v>
      </c>
      <c r="O114">
        <f t="shared" si="6"/>
        <v>0.37431549861642555</v>
      </c>
      <c r="R114">
        <v>20.926477311170956</v>
      </c>
    </row>
    <row r="115" spans="2:18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0.59431549861642574</v>
      </c>
      <c r="O115">
        <f t="shared" si="6"/>
        <v>0.37231549861642554</v>
      </c>
      <c r="R115">
        <v>38.350840150321233</v>
      </c>
    </row>
    <row r="116" spans="2:18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0.59464084629514247</v>
      </c>
      <c r="O116">
        <f t="shared" si="6"/>
        <v>0.37064084629514227</v>
      </c>
      <c r="R116">
        <v>0.8407734162114906</v>
      </c>
    </row>
    <row r="117" spans="2:18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0.59561532464942879</v>
      </c>
      <c r="O117">
        <f t="shared" si="6"/>
        <v>0.36961532464942859</v>
      </c>
      <c r="R117">
        <v>51.073451701338527</v>
      </c>
    </row>
    <row r="118" spans="2:18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0.59593962990384508</v>
      </c>
      <c r="O118">
        <f t="shared" si="6"/>
        <v>0.36793962990384488</v>
      </c>
      <c r="R118">
        <v>2.0898068395874962</v>
      </c>
    </row>
    <row r="119" spans="2:18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0.59610168498659266</v>
      </c>
      <c r="O119">
        <f t="shared" si="6"/>
        <v>0.36610168498659246</v>
      </c>
      <c r="R119">
        <v>99.59491456073026</v>
      </c>
    </row>
    <row r="120" spans="2:18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0.59626367507447364</v>
      </c>
      <c r="O120">
        <f t="shared" si="6"/>
        <v>0.36426367507447344</v>
      </c>
      <c r="R120">
        <v>7.025352247494669</v>
      </c>
    </row>
    <row r="121" spans="2:18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0.59739578802170978</v>
      </c>
      <c r="O121">
        <f t="shared" si="6"/>
        <v>0.36339578802170958</v>
      </c>
      <c r="R121">
        <v>42.345137046487444</v>
      </c>
    </row>
    <row r="122" spans="2:18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0.59755725908820212</v>
      </c>
      <c r="O122">
        <f t="shared" si="6"/>
        <v>0.36155725908820191</v>
      </c>
      <c r="R122">
        <v>5.6296794233591205</v>
      </c>
    </row>
    <row r="123" spans="2:18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0.59755725908820212</v>
      </c>
      <c r="O123">
        <f t="shared" si="6"/>
        <v>0.35955725908820191</v>
      </c>
      <c r="R123">
        <v>22.80067155999253</v>
      </c>
    </row>
    <row r="124" spans="2:18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0.59788000696524812</v>
      </c>
      <c r="O124">
        <f t="shared" si="6"/>
        <v>0.35788000696524791</v>
      </c>
      <c r="R124">
        <v>26.180103389904804</v>
      </c>
    </row>
    <row r="125" spans="2:18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0.59788000696524812</v>
      </c>
      <c r="O125">
        <f t="shared" si="6"/>
        <v>0.35588000696524791</v>
      </c>
      <c r="R125">
        <v>70.555741059700964</v>
      </c>
    </row>
    <row r="126" spans="2:18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0.59820249600747988</v>
      </c>
      <c r="O126">
        <f t="shared" si="6"/>
        <v>0.35420249600747966</v>
      </c>
      <c r="R126">
        <v>9.3070935149757723</v>
      </c>
    </row>
    <row r="127" spans="2:18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0.59820249600747988</v>
      </c>
      <c r="O127">
        <f t="shared" si="6"/>
        <v>0.35220249600747966</v>
      </c>
      <c r="R127">
        <v>60.062816619820282</v>
      </c>
    </row>
    <row r="128" spans="2:18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0.59884669841764704</v>
      </c>
      <c r="O128">
        <f t="shared" si="6"/>
        <v>0.35084669841764682</v>
      </c>
      <c r="R128">
        <v>17.233326237032404</v>
      </c>
    </row>
    <row r="129" spans="2:18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0.59981106595584022</v>
      </c>
      <c r="O129">
        <f t="shared" si="6"/>
        <v>0.34981106595584005</v>
      </c>
      <c r="R129">
        <v>37.430467397930016</v>
      </c>
    </row>
    <row r="130" spans="2:18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0.59997156833523912</v>
      </c>
      <c r="O130">
        <f t="shared" si="6"/>
        <v>0.34797156833523896</v>
      </c>
      <c r="R130">
        <v>93.4041236110141</v>
      </c>
    </row>
    <row r="131" spans="2:18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0.60045268934391949</v>
      </c>
      <c r="O131">
        <f t="shared" si="6"/>
        <v>0.34645268934391932</v>
      </c>
      <c r="R131">
        <v>13.969121473137914</v>
      </c>
    </row>
    <row r="132" spans="2:18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0.6006129343896649</v>
      </c>
      <c r="O132">
        <f t="shared" si="6"/>
        <v>0.34461293438966473</v>
      </c>
      <c r="R132">
        <v>34.461275161100247</v>
      </c>
    </row>
    <row r="133" spans="2:18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0.60141319609993849</v>
      </c>
      <c r="O133">
        <f t="shared" si="6"/>
        <v>0.34341319609993831</v>
      </c>
      <c r="R133">
        <v>12.373570313550195</v>
      </c>
    </row>
    <row r="134" spans="2:18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1-EXP(-$H$11*J134)</f>
        <v>0.60157305591859078</v>
      </c>
      <c r="O134">
        <f t="shared" ref="O134:O197" si="10">ABS(M134-N134)</f>
        <v>0.34157305591859061</v>
      </c>
      <c r="R134">
        <v>12.097710817636592</v>
      </c>
    </row>
    <row r="135" spans="2:18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0.60173285162282331</v>
      </c>
      <c r="O135">
        <f t="shared" si="10"/>
        <v>0.33973285162282313</v>
      </c>
      <c r="R135">
        <v>5.65356985485196</v>
      </c>
    </row>
    <row r="136" spans="2:18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0.60221185430609281</v>
      </c>
      <c r="O136">
        <f t="shared" si="10"/>
        <v>0.33821185430609263</v>
      </c>
      <c r="R136">
        <v>0.95495083547691162</v>
      </c>
    </row>
    <row r="137" spans="2:18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0.60269028088467602</v>
      </c>
      <c r="O137">
        <f t="shared" si="10"/>
        <v>0.33669028088467584</v>
      </c>
      <c r="R137">
        <v>3.4851116527425425</v>
      </c>
    </row>
    <row r="138" spans="2:18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0.60316813205146391</v>
      </c>
      <c r="O138">
        <f t="shared" si="10"/>
        <v>0.33516813205146373</v>
      </c>
      <c r="R138">
        <v>14.19342417453919</v>
      </c>
    </row>
    <row r="139" spans="2:18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0.60364540849851389</v>
      </c>
      <c r="O139">
        <f t="shared" si="10"/>
        <v>0.33364540849851371</v>
      </c>
      <c r="R139">
        <v>8.7427930029873249</v>
      </c>
    </row>
    <row r="140" spans="2:18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0.60380437305152812</v>
      </c>
      <c r="O140">
        <f t="shared" si="10"/>
        <v>0.33180437305152793</v>
      </c>
      <c r="R140">
        <v>19.874041799403781</v>
      </c>
    </row>
    <row r="141" spans="2:18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0.60380437305152812</v>
      </c>
      <c r="O141">
        <f t="shared" si="10"/>
        <v>0.32980437305152793</v>
      </c>
      <c r="R141">
        <v>6.1322697915249655</v>
      </c>
    </row>
    <row r="142" spans="2:18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0.60412211091705137</v>
      </c>
      <c r="O142">
        <f t="shared" si="10"/>
        <v>0.32812211091705118</v>
      </c>
      <c r="R142">
        <v>1.9961456499270749</v>
      </c>
    </row>
    <row r="143" spans="2:18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0.60428088428068993</v>
      </c>
      <c r="O143">
        <f t="shared" si="10"/>
        <v>0.32628088428068974</v>
      </c>
      <c r="R143">
        <v>15.316850310518264</v>
      </c>
    </row>
    <row r="144" spans="2:18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0.60443959396564972</v>
      </c>
      <c r="O144">
        <f t="shared" si="10"/>
        <v>0.32443959396564953</v>
      </c>
      <c r="R144">
        <v>30.934531364704732</v>
      </c>
    </row>
    <row r="145" spans="2:18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0.60475682240167972</v>
      </c>
      <c r="O145">
        <f t="shared" si="10"/>
        <v>0.32275682240167952</v>
      </c>
      <c r="R145">
        <v>20.041060598906476</v>
      </c>
    </row>
    <row r="146" spans="2:18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0.60523218810378454</v>
      </c>
      <c r="O146">
        <f t="shared" si="10"/>
        <v>0.32123218810378434</v>
      </c>
      <c r="R146">
        <v>15.190831986516448</v>
      </c>
    </row>
    <row r="147" spans="2:18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0.6053905162526394</v>
      </c>
      <c r="O147">
        <f t="shared" si="10"/>
        <v>0.3193905162526392</v>
      </c>
      <c r="R147">
        <v>12.956458723532927</v>
      </c>
    </row>
    <row r="148" spans="2:18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0.60554878090137598</v>
      </c>
      <c r="O148">
        <f t="shared" si="10"/>
        <v>0.31754878090137578</v>
      </c>
      <c r="R148">
        <v>35.204977965321497</v>
      </c>
    </row>
    <row r="149" spans="2:18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0.60570698207546214</v>
      </c>
      <c r="O149">
        <f t="shared" si="10"/>
        <v>0.31570698207546194</v>
      </c>
      <c r="R149">
        <v>8.3145001942216119</v>
      </c>
    </row>
    <row r="150" spans="2:18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0.60602319410150318</v>
      </c>
      <c r="O150">
        <f t="shared" si="10"/>
        <v>0.31402319410150298</v>
      </c>
      <c r="R150">
        <v>23.209254502537025</v>
      </c>
    </row>
    <row r="151" spans="2:18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0.60602319410150318</v>
      </c>
      <c r="O151">
        <f t="shared" si="10"/>
        <v>0.31202319410150298</v>
      </c>
      <c r="R151">
        <v>5.79746637097454</v>
      </c>
    </row>
    <row r="152" spans="2:18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0.60602319410150318</v>
      </c>
      <c r="O152">
        <f t="shared" si="10"/>
        <v>0.31002319410150297</v>
      </c>
      <c r="R152">
        <v>16.505875906103736</v>
      </c>
    </row>
    <row r="153" spans="2:18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0.60618120500434269</v>
      </c>
      <c r="O153">
        <f t="shared" si="10"/>
        <v>0.30818120500434248</v>
      </c>
      <c r="R153">
        <v>10.486600949896465</v>
      </c>
    </row>
    <row r="154" spans="2:18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0.60633915253430049</v>
      </c>
      <c r="O154">
        <f t="shared" si="10"/>
        <v>0.30633915253430027</v>
      </c>
      <c r="R154">
        <v>34.949911889502175</v>
      </c>
    </row>
    <row r="155" spans="2:18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0.60665485757722881</v>
      </c>
      <c r="O155">
        <f t="shared" si="10"/>
        <v>0.3046548575772286</v>
      </c>
      <c r="R155">
        <v>8.0310901471133871</v>
      </c>
    </row>
    <row r="156" spans="2:18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0.60712794048009755</v>
      </c>
      <c r="O156">
        <f t="shared" si="10"/>
        <v>0.30312794048009734</v>
      </c>
      <c r="R156">
        <v>37.03890101094904</v>
      </c>
    </row>
    <row r="157" spans="2:18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0.60712794048009755</v>
      </c>
      <c r="O157">
        <f t="shared" si="10"/>
        <v>0.30112794048009733</v>
      </c>
      <c r="R157">
        <v>9.1017961691399076</v>
      </c>
    </row>
    <row r="158" spans="2:18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0.6074430129370475</v>
      </c>
      <c r="O158">
        <f t="shared" si="10"/>
        <v>0.29944301293704728</v>
      </c>
      <c r="R158">
        <v>13.078902591776183</v>
      </c>
    </row>
    <row r="159" spans="2:18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0.60807240001556617</v>
      </c>
      <c r="O159">
        <f t="shared" si="10"/>
        <v>0.29807240001556595</v>
      </c>
      <c r="R159">
        <v>6.5141800420211551</v>
      </c>
    </row>
    <row r="160" spans="2:18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0.60822958905053981</v>
      </c>
      <c r="O160">
        <f t="shared" si="10"/>
        <v>0.29622958905053959</v>
      </c>
      <c r="R160">
        <v>11.485504929808148</v>
      </c>
    </row>
    <row r="161" spans="2:18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0.60838671504225572</v>
      </c>
      <c r="O161">
        <f t="shared" si="10"/>
        <v>0.2943867150422555</v>
      </c>
      <c r="R161">
        <v>18.464430068600564</v>
      </c>
    </row>
    <row r="162" spans="2:18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0.60854377801599835</v>
      </c>
      <c r="O162">
        <f t="shared" si="10"/>
        <v>0.29254377801599812</v>
      </c>
      <c r="R162">
        <v>35.544927608331982</v>
      </c>
    </row>
    <row r="163" spans="2:18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0.60854377801599835</v>
      </c>
      <c r="O163">
        <f t="shared" si="10"/>
        <v>0.29054377801599812</v>
      </c>
      <c r="R163">
        <v>16.782518709944323</v>
      </c>
    </row>
    <row r="164" spans="2:18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0.60870077799704236</v>
      </c>
      <c r="O164">
        <f t="shared" si="10"/>
        <v>0.28870077799704214</v>
      </c>
      <c r="R164">
        <v>8.2866749060314984</v>
      </c>
    </row>
    <row r="165" spans="2:18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0.60870077799704236</v>
      </c>
      <c r="O165">
        <f t="shared" si="10"/>
        <v>0.28670077799704213</v>
      </c>
      <c r="R165">
        <v>59.233704472539884</v>
      </c>
    </row>
    <row r="166" spans="2:18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0.60870077799704236</v>
      </c>
      <c r="O166">
        <f t="shared" si="10"/>
        <v>0.28470077799704213</v>
      </c>
      <c r="R166">
        <v>6.3002337840361955</v>
      </c>
    </row>
    <row r="167" spans="2:18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0.60885771501065156</v>
      </c>
      <c r="O167">
        <f t="shared" si="10"/>
        <v>0.28285771501065132</v>
      </c>
      <c r="R167">
        <v>10.900381285176405</v>
      </c>
    </row>
    <row r="168" spans="2:18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0.60932814849936257</v>
      </c>
      <c r="O168">
        <f t="shared" si="10"/>
        <v>0.28132814849936233</v>
      </c>
      <c r="R168">
        <v>18.155344643408569</v>
      </c>
    </row>
    <row r="169" spans="2:18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0.60932814849936257</v>
      </c>
      <c r="O169">
        <f t="shared" si="10"/>
        <v>0.27932814849936233</v>
      </c>
      <c r="R169">
        <v>15.806392497391506</v>
      </c>
    </row>
    <row r="170" spans="2:18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0.60932814849936257</v>
      </c>
      <c r="O170">
        <f t="shared" si="10"/>
        <v>0.27732814849936233</v>
      </c>
      <c r="R170">
        <v>2.3754760189090631</v>
      </c>
    </row>
    <row r="171" spans="2:18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0.60948483389567354</v>
      </c>
      <c r="O171">
        <f t="shared" si="10"/>
        <v>0.2754848338956733</v>
      </c>
      <c r="R171">
        <v>4.5288149180720287</v>
      </c>
    </row>
    <row r="172" spans="2:18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0.60964145645071932</v>
      </c>
      <c r="O172">
        <f t="shared" si="10"/>
        <v>0.27364145645071908</v>
      </c>
      <c r="R172">
        <v>58.31677269057505</v>
      </c>
    </row>
    <row r="173" spans="2:18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0.60979801618970364</v>
      </c>
      <c r="O173">
        <f t="shared" si="10"/>
        <v>0.2717980161897034</v>
      </c>
      <c r="R173">
        <v>11.140425597098904</v>
      </c>
    </row>
    <row r="174" spans="2:18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0.60995451313781945</v>
      </c>
      <c r="O174">
        <f t="shared" si="10"/>
        <v>0.26995451313781921</v>
      </c>
      <c r="R174">
        <v>3.386363054489745</v>
      </c>
    </row>
    <row r="175" spans="2:18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0.61026731876216989</v>
      </c>
      <c r="O175">
        <f t="shared" si="10"/>
        <v>0.26826731876216964</v>
      </c>
      <c r="R175">
        <v>18.303180873577457</v>
      </c>
    </row>
    <row r="176" spans="2:18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0.6107360568964384</v>
      </c>
      <c r="O176">
        <f t="shared" si="10"/>
        <v>0.26673605689643815</v>
      </c>
      <c r="R176">
        <v>5.4804566353023256</v>
      </c>
    </row>
    <row r="177" spans="2:18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0.61089217762784109</v>
      </c>
      <c r="O177">
        <f t="shared" si="10"/>
        <v>0.26489217762784084</v>
      </c>
      <c r="R177">
        <v>2.8315225326230054</v>
      </c>
    </row>
    <row r="178" spans="2:18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0.61120423127136847</v>
      </c>
      <c r="O178">
        <f t="shared" si="10"/>
        <v>0.26320423127136822</v>
      </c>
      <c r="R178">
        <v>0.10609821273713364</v>
      </c>
    </row>
    <row r="179" spans="2:18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0.61136016423370831</v>
      </c>
      <c r="O179">
        <f t="shared" si="10"/>
        <v>0.26136016423370806</v>
      </c>
      <c r="R179">
        <v>10.775435596757008</v>
      </c>
    </row>
    <row r="180" spans="2:18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0.61151603465655902</v>
      </c>
      <c r="O180">
        <f t="shared" si="10"/>
        <v>0.25951603465655876</v>
      </c>
      <c r="R180">
        <v>57.643614487422695</v>
      </c>
    </row>
    <row r="181" spans="2:18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0.61182758798411307</v>
      </c>
      <c r="O181">
        <f t="shared" si="10"/>
        <v>0.25782758798411282</v>
      </c>
      <c r="R181">
        <v>9.0406817071594414</v>
      </c>
    </row>
    <row r="182" spans="2:18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0.61182758798411307</v>
      </c>
      <c r="O182">
        <f t="shared" si="10"/>
        <v>0.25582758798411281</v>
      </c>
      <c r="R182">
        <v>0.66056300116776123</v>
      </c>
    </row>
    <row r="183" spans="2:18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0.61276074962554472</v>
      </c>
      <c r="O183">
        <f t="shared" si="10"/>
        <v>0.25476074962554446</v>
      </c>
      <c r="R183">
        <v>53.501453971137153</v>
      </c>
    </row>
    <row r="184" spans="2:18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0.61291605832049945</v>
      </c>
      <c r="O184">
        <f t="shared" si="10"/>
        <v>0.25291605832049918</v>
      </c>
      <c r="R184">
        <v>4.711039723965202</v>
      </c>
    </row>
    <row r="185" spans="2:18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0.61353667045892513</v>
      </c>
      <c r="O185">
        <f t="shared" si="10"/>
        <v>0.25153667045892486</v>
      </c>
      <c r="R185">
        <v>11.498209254293895</v>
      </c>
    </row>
    <row r="186" spans="2:18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0.61353667045892513</v>
      </c>
      <c r="O186">
        <f t="shared" si="10"/>
        <v>0.24953667045892486</v>
      </c>
      <c r="R186">
        <v>13.33486411214014</v>
      </c>
    </row>
    <row r="187" spans="2:18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0.61400147648821912</v>
      </c>
      <c r="O187">
        <f t="shared" si="10"/>
        <v>0.24800147648821885</v>
      </c>
      <c r="R187">
        <v>12.836678918466891</v>
      </c>
    </row>
    <row r="188" spans="2:18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0.61415628756918039</v>
      </c>
      <c r="O188">
        <f t="shared" si="10"/>
        <v>0.24615628756918012</v>
      </c>
      <c r="R188">
        <v>19.252401506834953</v>
      </c>
    </row>
    <row r="189" spans="2:18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0.61415628756918039</v>
      </c>
      <c r="O189">
        <f t="shared" si="10"/>
        <v>0.24415628756918012</v>
      </c>
      <c r="R189">
        <v>27.094757582280856</v>
      </c>
    </row>
    <row r="190" spans="2:18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0.61462034837442148</v>
      </c>
      <c r="O190">
        <f t="shared" si="10"/>
        <v>0.2426203483744212</v>
      </c>
      <c r="R190">
        <v>10.84593262222638</v>
      </c>
    </row>
    <row r="191" spans="2:18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0.61508385104582763</v>
      </c>
      <c r="O191">
        <f t="shared" si="10"/>
        <v>0.24108385104582736</v>
      </c>
      <c r="R191">
        <v>1.3799876611560724</v>
      </c>
    </row>
    <row r="192" spans="2:18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0.61523822802260164</v>
      </c>
      <c r="O192">
        <f t="shared" si="10"/>
        <v>0.23923822802260136</v>
      </c>
      <c r="R192">
        <v>62.035578194818925</v>
      </c>
    </row>
    <row r="193" spans="2:18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0.61539254308394042</v>
      </c>
      <c r="O193">
        <f t="shared" si="10"/>
        <v>0.23739254308394014</v>
      </c>
      <c r="R193">
        <v>14.060135703394865</v>
      </c>
    </row>
    <row r="194" spans="2:18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0.61570098755963021</v>
      </c>
      <c r="O194">
        <f t="shared" si="10"/>
        <v>0.23570098755962993</v>
      </c>
      <c r="R194">
        <v>39.194869320947191</v>
      </c>
    </row>
    <row r="195" spans="2:18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0.61616319052788127</v>
      </c>
      <c r="O195">
        <f t="shared" si="10"/>
        <v>0.23416319052788098</v>
      </c>
      <c r="R195">
        <v>18.906267699235606</v>
      </c>
    </row>
    <row r="196" spans="2:18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0.61647101696577056</v>
      </c>
      <c r="O196">
        <f t="shared" si="10"/>
        <v>0.23247101696577027</v>
      </c>
      <c r="R196">
        <v>8.4505558648214389</v>
      </c>
    </row>
    <row r="197" spans="2:18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0.61677859653542422</v>
      </c>
      <c r="O197">
        <f t="shared" si="10"/>
        <v>0.23077859653542393</v>
      </c>
      <c r="R197">
        <v>18.682662060537467</v>
      </c>
    </row>
    <row r="198" spans="2:18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1-EXP(-$H$11*J198)</f>
        <v>0.61785318379878307</v>
      </c>
      <c r="O198">
        <f t="shared" ref="O198:O261" si="14">ABS(M198-N198)</f>
        <v>0.22985318379878278</v>
      </c>
      <c r="R198">
        <v>16.329842744431833</v>
      </c>
    </row>
    <row r="199" spans="2:18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0.61785318379878307</v>
      </c>
      <c r="O199">
        <f t="shared" si="14"/>
        <v>0.22785318379878278</v>
      </c>
      <c r="R199">
        <v>7.5016076367507019</v>
      </c>
    </row>
    <row r="200" spans="2:18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0.61815965490910663</v>
      </c>
      <c r="O200">
        <f t="shared" si="14"/>
        <v>0.22615965490910633</v>
      </c>
      <c r="R200">
        <v>53.012906329375653</v>
      </c>
    </row>
    <row r="201" spans="2:18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0.61846588023812954</v>
      </c>
      <c r="O201">
        <f t="shared" si="14"/>
        <v>0.22446588023812925</v>
      </c>
      <c r="R201">
        <v>40.922828998652108</v>
      </c>
    </row>
    <row r="202" spans="2:18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0.61861890079625637</v>
      </c>
      <c r="O202">
        <f t="shared" si="14"/>
        <v>0.22261890079625607</v>
      </c>
      <c r="R202">
        <v>41.427316867894952</v>
      </c>
    </row>
    <row r="203" spans="2:18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0.61907759434055509</v>
      </c>
      <c r="O203">
        <f t="shared" si="14"/>
        <v>0.22107759434055479</v>
      </c>
      <c r="R203">
        <v>10.931762889618042</v>
      </c>
    </row>
    <row r="204" spans="2:18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0.61907759434055509</v>
      </c>
      <c r="O204">
        <f t="shared" si="14"/>
        <v>0.21907759434055479</v>
      </c>
      <c r="R204">
        <v>0.3568692005931694</v>
      </c>
    </row>
    <row r="205" spans="2:18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0.61953573620631497</v>
      </c>
      <c r="O205">
        <f t="shared" si="14"/>
        <v>0.21753573620631467</v>
      </c>
      <c r="R205">
        <v>135.54119919284818</v>
      </c>
    </row>
    <row r="206" spans="2:18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0.62045036755547234</v>
      </c>
      <c r="O206">
        <f t="shared" si="14"/>
        <v>0.21645036755547203</v>
      </c>
      <c r="R206">
        <v>7.6529346133463312</v>
      </c>
    </row>
    <row r="207" spans="2:18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0.62060259220219538</v>
      </c>
      <c r="O207">
        <f t="shared" si="14"/>
        <v>0.21460259220219507</v>
      </c>
      <c r="R207">
        <v>0.8180270296203983</v>
      </c>
    </row>
    <row r="208" spans="2:18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0.62090685836350334</v>
      </c>
      <c r="O208">
        <f t="shared" si="14"/>
        <v>0.21290685836350304</v>
      </c>
      <c r="R208">
        <v>18.124483508722445</v>
      </c>
    </row>
    <row r="209" spans="2:18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0.62121088051181861</v>
      </c>
      <c r="O209">
        <f t="shared" si="14"/>
        <v>0.2112108805118183</v>
      </c>
      <c r="R209">
        <v>71.457661028237439</v>
      </c>
    </row>
    <row r="210" spans="2:18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0.62136280014226386</v>
      </c>
      <c r="O210">
        <f t="shared" si="14"/>
        <v>0.20936280014226355</v>
      </c>
      <c r="R210">
        <v>27.633808546975821</v>
      </c>
    </row>
    <row r="211" spans="2:18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0.62166645663796283</v>
      </c>
      <c r="O211">
        <f t="shared" si="14"/>
        <v>0.20766645663796252</v>
      </c>
      <c r="R211">
        <v>7.6574960981908138</v>
      </c>
    </row>
    <row r="212" spans="2:18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0.62196986960960388</v>
      </c>
      <c r="O212">
        <f t="shared" si="14"/>
        <v>0.20596986960960356</v>
      </c>
      <c r="R212">
        <v>60.476404437550613</v>
      </c>
    </row>
    <row r="213" spans="2:18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0.6221214848349399</v>
      </c>
      <c r="O213">
        <f t="shared" si="14"/>
        <v>0.20412148483493958</v>
      </c>
      <c r="R213">
        <v>17.762888098450503</v>
      </c>
    </row>
    <row r="214" spans="2:18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0.62227303925248656</v>
      </c>
      <c r="O214">
        <f t="shared" si="14"/>
        <v>0.20227303925248624</v>
      </c>
      <c r="R214">
        <v>17.537541456088515</v>
      </c>
    </row>
    <row r="215" spans="2:18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0.62227303925248656</v>
      </c>
      <c r="O215">
        <f t="shared" si="14"/>
        <v>0.20027303925248624</v>
      </c>
      <c r="R215">
        <v>53.772739505788245</v>
      </c>
    </row>
    <row r="216" spans="2:18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0.62287864933239179</v>
      </c>
      <c r="O216">
        <f t="shared" si="14"/>
        <v>0.19887864933239147</v>
      </c>
      <c r="R216">
        <v>20.631964838266857</v>
      </c>
    </row>
    <row r="217" spans="2:18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0.62302990007661552</v>
      </c>
      <c r="O217">
        <f t="shared" si="14"/>
        <v>0.19702990007661519</v>
      </c>
      <c r="R217">
        <v>64.488283248938473</v>
      </c>
    </row>
    <row r="218" spans="2:18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0.62318109015923084</v>
      </c>
      <c r="O218">
        <f t="shared" si="14"/>
        <v>0.19518109015923052</v>
      </c>
      <c r="R218">
        <v>43.042851961058915</v>
      </c>
    </row>
    <row r="219" spans="2:18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0.62318109015923084</v>
      </c>
      <c r="O219">
        <f t="shared" si="14"/>
        <v>0.19318109015923052</v>
      </c>
      <c r="R219">
        <v>3.8682247230332125</v>
      </c>
    </row>
    <row r="220" spans="2:18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0.62348328843694456</v>
      </c>
      <c r="O220">
        <f t="shared" si="14"/>
        <v>0.19148328843694423</v>
      </c>
      <c r="R220">
        <v>3.7805030393419541</v>
      </c>
    </row>
    <row r="221" spans="2:18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0.62378524436005067</v>
      </c>
      <c r="O221">
        <f t="shared" si="14"/>
        <v>0.18978524436005034</v>
      </c>
      <c r="R221">
        <v>13.616991958852804</v>
      </c>
    </row>
    <row r="222" spans="2:18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0.62378524436005067</v>
      </c>
      <c r="O222">
        <f t="shared" si="14"/>
        <v>0.18778524436005034</v>
      </c>
      <c r="R222">
        <v>36.461917205091048</v>
      </c>
    </row>
    <row r="223" spans="2:18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0.62438842991973043</v>
      </c>
      <c r="O223">
        <f t="shared" si="14"/>
        <v>0.18638842991973009</v>
      </c>
      <c r="R223">
        <v>20.502719720779904</v>
      </c>
    </row>
    <row r="224" spans="2:18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0.62499064839129392</v>
      </c>
      <c r="O224">
        <f t="shared" si="14"/>
        <v>0.18499064839129359</v>
      </c>
      <c r="R224">
        <v>38.933576228771287</v>
      </c>
    </row>
    <row r="225" spans="2:18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0.62499064839129392</v>
      </c>
      <c r="O225">
        <f t="shared" si="14"/>
        <v>0.18299064839129359</v>
      </c>
      <c r="R225">
        <v>22.494672539449653</v>
      </c>
    </row>
    <row r="226" spans="2:18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0.62529139545367074</v>
      </c>
      <c r="O226">
        <f t="shared" si="14"/>
        <v>0.1812913954536704</v>
      </c>
      <c r="R226">
        <v>96.692639185876416</v>
      </c>
    </row>
    <row r="227" spans="2:18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0.62589216619953292</v>
      </c>
      <c r="O227">
        <f t="shared" si="14"/>
        <v>0.17989216619953258</v>
      </c>
      <c r="R227">
        <v>0.91911933551475045</v>
      </c>
    </row>
    <row r="228" spans="2:18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0.62589216619953292</v>
      </c>
      <c r="O228">
        <f t="shared" si="14"/>
        <v>0.17789216619953258</v>
      </c>
      <c r="R228">
        <v>106.89477528457371</v>
      </c>
    </row>
    <row r="229" spans="2:18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0.62604220832306168</v>
      </c>
      <c r="O229">
        <f t="shared" si="14"/>
        <v>0.17604220832306133</v>
      </c>
      <c r="R229">
        <v>1.3721479346315608</v>
      </c>
    </row>
    <row r="230" spans="2:18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0.62634211206364132</v>
      </c>
      <c r="O230">
        <f t="shared" si="14"/>
        <v>0.17434211206364097</v>
      </c>
      <c r="R230">
        <v>1.1651076385755037</v>
      </c>
    </row>
    <row r="231" spans="2:18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0.62649197372895249</v>
      </c>
      <c r="O231">
        <f t="shared" si="14"/>
        <v>0.17249197372895214</v>
      </c>
      <c r="R231">
        <v>70.617035352376021</v>
      </c>
    </row>
    <row r="232" spans="2:18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0.62679151677019485</v>
      </c>
      <c r="O232">
        <f t="shared" si="14"/>
        <v>0.1707915167701945</v>
      </c>
      <c r="R232">
        <v>17.201347531914092</v>
      </c>
    </row>
    <row r="233" spans="2:18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0.62724038097005275</v>
      </c>
      <c r="O233">
        <f t="shared" si="14"/>
        <v>0.1692403809700524</v>
      </c>
      <c r="R233">
        <v>90.773690530679787</v>
      </c>
    </row>
    <row r="234" spans="2:18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0.62724038097005275</v>
      </c>
      <c r="O234">
        <f t="shared" si="14"/>
        <v>0.16724038097005239</v>
      </c>
      <c r="R234">
        <v>164.57672675298389</v>
      </c>
    </row>
    <row r="235" spans="2:18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0.62768870531329179</v>
      </c>
      <c r="O235">
        <f t="shared" si="14"/>
        <v>0.16568870531329144</v>
      </c>
      <c r="R235">
        <v>15.084118473510452</v>
      </c>
    </row>
    <row r="236" spans="2:18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0.6278380269051469</v>
      </c>
      <c r="O236">
        <f t="shared" si="14"/>
        <v>0.16383802690514654</v>
      </c>
      <c r="R236">
        <v>1.49989007112843</v>
      </c>
    </row>
    <row r="237" spans="2:18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0.6278380269051469</v>
      </c>
      <c r="O237">
        <f t="shared" si="14"/>
        <v>0.16183802690514654</v>
      </c>
      <c r="R237">
        <v>5.5855866156392509</v>
      </c>
    </row>
    <row r="238" spans="2:18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0.62813649044920661</v>
      </c>
      <c r="O238">
        <f t="shared" si="14"/>
        <v>0.16013649044920625</v>
      </c>
      <c r="R238">
        <v>17.308928497270799</v>
      </c>
    </row>
    <row r="239" spans="2:18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0.62843471463381106</v>
      </c>
      <c r="O239">
        <f t="shared" si="14"/>
        <v>0.1584347146338107</v>
      </c>
      <c r="R239">
        <v>13.709141084007163</v>
      </c>
    </row>
    <row r="240" spans="2:18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0.6285837370263111</v>
      </c>
      <c r="O240">
        <f t="shared" si="14"/>
        <v>0.15658373702631073</v>
      </c>
      <c r="R240">
        <v>7.9366652721663788</v>
      </c>
    </row>
    <row r="241" spans="2:18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0.62873269965091994</v>
      </c>
      <c r="O241">
        <f t="shared" si="14"/>
        <v>0.15473269965091957</v>
      </c>
      <c r="R241">
        <v>1.1830617381097628</v>
      </c>
    </row>
    <row r="242" spans="2:18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0.62917922915706193</v>
      </c>
      <c r="O242">
        <f t="shared" si="14"/>
        <v>0.15317922915706156</v>
      </c>
      <c r="R242">
        <v>41.860364441039096</v>
      </c>
    </row>
    <row r="243" spans="2:18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0.62932795294971999</v>
      </c>
      <c r="O243">
        <f t="shared" si="14"/>
        <v>0.15132795294971962</v>
      </c>
      <c r="R243">
        <v>0.35877708217920418</v>
      </c>
    </row>
    <row r="244" spans="2:18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0.62932795294971999</v>
      </c>
      <c r="O244">
        <f t="shared" si="14"/>
        <v>0.14932795294971962</v>
      </c>
      <c r="R244">
        <v>9.9340594855054132</v>
      </c>
    </row>
    <row r="245" spans="2:18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0.62947661709424529</v>
      </c>
      <c r="O245">
        <f t="shared" si="14"/>
        <v>0.14747661709424492</v>
      </c>
      <c r="R245">
        <v>29.137619938148305</v>
      </c>
    </row>
    <row r="246" spans="2:18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0.62947661709424529</v>
      </c>
      <c r="O246">
        <f t="shared" si="14"/>
        <v>0.14547661709424492</v>
      </c>
      <c r="R246">
        <v>52.670634084150961</v>
      </c>
    </row>
    <row r="247" spans="2:18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0.62962522161456103</v>
      </c>
      <c r="O247">
        <f t="shared" si="14"/>
        <v>0.14362522161456065</v>
      </c>
      <c r="R247">
        <v>8.4966706267153054</v>
      </c>
    </row>
    <row r="248" spans="2:18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0.62977376653458017</v>
      </c>
      <c r="O248">
        <f t="shared" si="14"/>
        <v>0.14177376653457979</v>
      </c>
      <c r="R248">
        <v>57.566494683314865</v>
      </c>
    </row>
    <row r="249" spans="2:18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0.63021904393184802</v>
      </c>
      <c r="O249">
        <f t="shared" si="14"/>
        <v>0.14021904393184764</v>
      </c>
      <c r="R249">
        <v>5.1906545046399648</v>
      </c>
    </row>
    <row r="250" spans="2:18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0.63021904393184802</v>
      </c>
      <c r="O250">
        <f t="shared" si="14"/>
        <v>0.13821904393184764</v>
      </c>
      <c r="R250">
        <v>10.42518726808507</v>
      </c>
    </row>
    <row r="251" spans="2:18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0.63036735068962257</v>
      </c>
      <c r="O251">
        <f t="shared" si="14"/>
        <v>0.13636735068962219</v>
      </c>
      <c r="R251">
        <v>14.935151455217429</v>
      </c>
    </row>
    <row r="252" spans="2:18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0.63036735068962257</v>
      </c>
      <c r="O252">
        <f t="shared" si="14"/>
        <v>0.13436735068962219</v>
      </c>
      <c r="R252">
        <v>1.9035950537316897</v>
      </c>
    </row>
    <row r="253" spans="2:18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0.63066378578640558</v>
      </c>
      <c r="O253">
        <f t="shared" si="14"/>
        <v>0.1326637857864052</v>
      </c>
      <c r="R253">
        <v>7.4593702181306201</v>
      </c>
    </row>
    <row r="254" spans="2:18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0.63081191417311633</v>
      </c>
      <c r="O254">
        <f t="shared" si="14"/>
        <v>0.130811914173116</v>
      </c>
      <c r="R254">
        <v>37.440659698368904</v>
      </c>
    </row>
    <row r="255" spans="2:18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0.63081191417311633</v>
      </c>
      <c r="O255">
        <f t="shared" si="14"/>
        <v>0.12881191417311599</v>
      </c>
      <c r="R255">
        <v>5.1158667854784676</v>
      </c>
    </row>
    <row r="256" spans="2:18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0.63081191417311633</v>
      </c>
      <c r="O256">
        <f t="shared" si="14"/>
        <v>0.12681191417311599</v>
      </c>
      <c r="R256">
        <v>14.617855918201538</v>
      </c>
    </row>
    <row r="257" spans="2:18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0.63155166544304031</v>
      </c>
      <c r="O257">
        <f t="shared" si="14"/>
        <v>0.12555166544303997</v>
      </c>
      <c r="R257">
        <v>25.383523919486262</v>
      </c>
    </row>
    <row r="258" spans="2:18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0.63184715075235409</v>
      </c>
      <c r="O258">
        <f t="shared" si="14"/>
        <v>0.12384715075235375</v>
      </c>
      <c r="R258">
        <v>59.429768641538615</v>
      </c>
    </row>
    <row r="259" spans="2:18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0.63228993445510617</v>
      </c>
      <c r="O259">
        <f t="shared" si="14"/>
        <v>0.12228993445510583</v>
      </c>
      <c r="R259">
        <v>31.727658906876506</v>
      </c>
    </row>
    <row r="260" spans="2:18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0.63243741064804437</v>
      </c>
      <c r="O260">
        <f t="shared" si="14"/>
        <v>0.12043741064804403</v>
      </c>
      <c r="R260">
        <v>53.967233126747296</v>
      </c>
    </row>
    <row r="261" spans="2:18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0.63258482769322044</v>
      </c>
      <c r="O261">
        <f t="shared" si="14"/>
        <v>0.1185848276932201</v>
      </c>
      <c r="R261">
        <v>8.4832838666482235</v>
      </c>
    </row>
    <row r="262" spans="2:18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1-EXP(-$H$11*J262)</f>
        <v>0.63273218561435662</v>
      </c>
      <c r="O262">
        <f t="shared" ref="O262:O325" si="18">ABS(M262-N262)</f>
        <v>0.11673218561435628</v>
      </c>
      <c r="R262">
        <v>8.1016905090596971</v>
      </c>
    </row>
    <row r="263" spans="2:18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0.63317390487060488</v>
      </c>
      <c r="O263">
        <f t="shared" si="18"/>
        <v>0.11517390487060453</v>
      </c>
      <c r="R263">
        <v>7.6915467422417274</v>
      </c>
    </row>
    <row r="264" spans="2:18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0.63317390487060488</v>
      </c>
      <c r="O264">
        <f t="shared" si="18"/>
        <v>0.11317390487060452</v>
      </c>
      <c r="R264">
        <v>53.421994424142234</v>
      </c>
    </row>
    <row r="265" spans="2:18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0.63361509286357953</v>
      </c>
      <c r="O265">
        <f t="shared" si="18"/>
        <v>0.11161509286357918</v>
      </c>
      <c r="R265">
        <v>22.998006619932923</v>
      </c>
    </row>
    <row r="266" spans="2:18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0.63449587761477722</v>
      </c>
      <c r="O266">
        <f t="shared" si="18"/>
        <v>0.11049587761477686</v>
      </c>
      <c r="R266">
        <v>0.65224595167761745</v>
      </c>
    </row>
    <row r="267" spans="2:18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0.63478900174787545</v>
      </c>
      <c r="O267">
        <f t="shared" si="18"/>
        <v>0.10878900174787509</v>
      </c>
      <c r="R267">
        <v>15.368151844454074</v>
      </c>
    </row>
    <row r="268" spans="2:18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0.63478900174787545</v>
      </c>
      <c r="O268">
        <f t="shared" si="18"/>
        <v>0.10678900174787509</v>
      </c>
      <c r="R268">
        <v>0.92334349827295104</v>
      </c>
    </row>
    <row r="269" spans="2:18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0.63508189080357735</v>
      </c>
      <c r="O269">
        <f t="shared" si="18"/>
        <v>0.10508189080357699</v>
      </c>
      <c r="R269">
        <v>84.470914142707088</v>
      </c>
    </row>
    <row r="270" spans="2:18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0.63508189080357735</v>
      </c>
      <c r="O270">
        <f t="shared" si="18"/>
        <v>0.10308189080357699</v>
      </c>
      <c r="R270">
        <v>32.509478136854192</v>
      </c>
    </row>
    <row r="271" spans="2:18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0.63595914939080522</v>
      </c>
      <c r="O271">
        <f t="shared" si="18"/>
        <v>0.10195914939080486</v>
      </c>
      <c r="R271">
        <v>101.16138625203401</v>
      </c>
    </row>
    <row r="272" spans="2:18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0.63610515398451206</v>
      </c>
      <c r="O272">
        <f t="shared" si="18"/>
        <v>0.1001051539845117</v>
      </c>
      <c r="R272">
        <v>1.0332861526882386</v>
      </c>
    </row>
    <row r="273" spans="2:18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0.6362511000206662</v>
      </c>
      <c r="O273">
        <f t="shared" si="18"/>
        <v>9.8251100020665838E-2</v>
      </c>
      <c r="R273">
        <v>31.019977203862599</v>
      </c>
    </row>
    <row r="274" spans="2:18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0.6362511000206662</v>
      </c>
      <c r="O274">
        <f t="shared" si="18"/>
        <v>9.6251100020665836E-2</v>
      </c>
      <c r="R274">
        <v>24.67105223558211</v>
      </c>
    </row>
    <row r="275" spans="2:18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0.63639698752275264</v>
      </c>
      <c r="O275">
        <f t="shared" si="18"/>
        <v>9.4396987522752274E-2</v>
      </c>
      <c r="R275">
        <v>11.492807235385692</v>
      </c>
    </row>
    <row r="276" spans="2:18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0.63697995265980401</v>
      </c>
      <c r="O276">
        <f t="shared" si="18"/>
        <v>9.2979952659803633E-2</v>
      </c>
      <c r="R276">
        <v>6.5019299839354607</v>
      </c>
    </row>
    <row r="277" spans="2:18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0.63712554784350561</v>
      </c>
      <c r="O277">
        <f t="shared" si="18"/>
        <v>9.1125547843505239E-2</v>
      </c>
      <c r="R277">
        <v>19.916534154934865</v>
      </c>
    </row>
    <row r="278" spans="2:18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0.63727108463385518</v>
      </c>
      <c r="O278">
        <f t="shared" si="18"/>
        <v>8.9271084633854803E-2</v>
      </c>
      <c r="R278">
        <v>9.2635579865506781</v>
      </c>
    </row>
    <row r="279" spans="2:18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0.63727108463385518</v>
      </c>
      <c r="O279">
        <f t="shared" si="18"/>
        <v>8.7271084633854801E-2</v>
      </c>
      <c r="R279">
        <v>27.499082393544725</v>
      </c>
    </row>
    <row r="280" spans="2:18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0.63727108463385518</v>
      </c>
      <c r="O280">
        <f t="shared" si="18"/>
        <v>8.5271084633854799E-2</v>
      </c>
      <c r="R280">
        <v>24.861117669604631</v>
      </c>
    </row>
    <row r="281" spans="2:18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0.63741656305427186</v>
      </c>
      <c r="O281">
        <f t="shared" si="18"/>
        <v>8.3416563054271475E-2</v>
      </c>
      <c r="R281">
        <v>14.542538544271229</v>
      </c>
    </row>
    <row r="282" spans="2:18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0.63814308042639478</v>
      </c>
      <c r="O282">
        <f t="shared" si="18"/>
        <v>8.2143080426394399E-2</v>
      </c>
      <c r="R282">
        <v>15.272103941441111</v>
      </c>
    </row>
    <row r="283" spans="2:18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0.63843327960435037</v>
      </c>
      <c r="O283">
        <f t="shared" si="18"/>
        <v>8.0433279604349983E-2</v>
      </c>
      <c r="R283">
        <v>4.0262530143902389</v>
      </c>
    </row>
    <row r="284" spans="2:18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0.63872324605064246</v>
      </c>
      <c r="O284">
        <f t="shared" si="18"/>
        <v>7.8723246050642071E-2</v>
      </c>
      <c r="R284">
        <v>57.764938542677832</v>
      </c>
    </row>
    <row r="285" spans="2:18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0.63944714518982915</v>
      </c>
      <c r="O285">
        <f t="shared" si="18"/>
        <v>7.7447145189828759E-2</v>
      </c>
      <c r="R285">
        <v>114.35423449534679</v>
      </c>
    </row>
    <row r="286" spans="2:18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0.63959175086523168</v>
      </c>
      <c r="O286">
        <f t="shared" si="18"/>
        <v>7.5591750865231289E-2</v>
      </c>
      <c r="R286">
        <v>5.861711614317203</v>
      </c>
    </row>
    <row r="287" spans="2:18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0.64016959383446292</v>
      </c>
      <c r="O287">
        <f t="shared" si="18"/>
        <v>7.4169593834462533E-2</v>
      </c>
      <c r="R287">
        <v>4.5957232313995027</v>
      </c>
    </row>
    <row r="288" spans="2:18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0.64045816780506915</v>
      </c>
      <c r="O288">
        <f t="shared" si="18"/>
        <v>7.2458167805068752E-2</v>
      </c>
      <c r="R288">
        <v>47.657727291077123</v>
      </c>
    </row>
    <row r="289" spans="2:18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0.64045816780506915</v>
      </c>
      <c r="O289">
        <f t="shared" si="18"/>
        <v>7.045816780506875E-2</v>
      </c>
      <c r="R289">
        <v>27.206885946945921</v>
      </c>
    </row>
    <row r="290" spans="2:18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0.64074651034738273</v>
      </c>
      <c r="O290">
        <f t="shared" si="18"/>
        <v>6.8746510347382328E-2</v>
      </c>
      <c r="R290">
        <v>28.523914294216762</v>
      </c>
    </row>
    <row r="291" spans="2:18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0.64074651034738273</v>
      </c>
      <c r="O291">
        <f t="shared" si="18"/>
        <v>6.6746510347382326E-2</v>
      </c>
      <c r="R291">
        <v>25.256474697627965</v>
      </c>
    </row>
    <row r="292" spans="2:18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0.64103462164700287</v>
      </c>
      <c r="O292">
        <f t="shared" si="18"/>
        <v>6.5034621647002466E-2</v>
      </c>
      <c r="R292">
        <v>9.2198082565839936</v>
      </c>
    </row>
    <row r="293" spans="2:18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0.64146635542201436</v>
      </c>
      <c r="O293">
        <f t="shared" si="18"/>
        <v>6.3466355422013954E-2</v>
      </c>
      <c r="R293">
        <v>37.55778753641367</v>
      </c>
    </row>
    <row r="294" spans="2:18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0.64161015125981458</v>
      </c>
      <c r="O294">
        <f t="shared" si="18"/>
        <v>6.1610151259814172E-2</v>
      </c>
      <c r="R294">
        <v>0.18844435284276448</v>
      </c>
    </row>
    <row r="295" spans="2:18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0.6418975699434607</v>
      </c>
      <c r="O295">
        <f t="shared" si="18"/>
        <v>5.9897569943460294E-2</v>
      </c>
      <c r="R295">
        <v>101.17264800192159</v>
      </c>
    </row>
    <row r="296" spans="2:18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0.6418975699434607</v>
      </c>
      <c r="O296">
        <f t="shared" si="18"/>
        <v>5.7897569943460292E-2</v>
      </c>
      <c r="R296">
        <v>33.460376119286103</v>
      </c>
    </row>
    <row r="297" spans="2:18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0.64218475812532216</v>
      </c>
      <c r="O297">
        <f t="shared" si="18"/>
        <v>5.6184758125321754E-2</v>
      </c>
      <c r="R297">
        <v>8.3395127598529708</v>
      </c>
    </row>
    <row r="298" spans="2:18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0.64218475812532216</v>
      </c>
      <c r="O298">
        <f t="shared" si="18"/>
        <v>5.4184758125321753E-2</v>
      </c>
      <c r="R298">
        <v>4.9535040592070221</v>
      </c>
    </row>
    <row r="299" spans="2:18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0.64304494150801794</v>
      </c>
      <c r="O299">
        <f t="shared" si="18"/>
        <v>5.3044941508017529E-2</v>
      </c>
      <c r="R299">
        <v>0.8052440095369785</v>
      </c>
    </row>
    <row r="300" spans="2:18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0.64318810422780492</v>
      </c>
      <c r="O300">
        <f t="shared" si="18"/>
        <v>5.118810422780451E-2</v>
      </c>
      <c r="R300">
        <v>39.359412521762238</v>
      </c>
    </row>
    <row r="301" spans="2:18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0.64333120952981937</v>
      </c>
      <c r="O301">
        <f t="shared" si="18"/>
        <v>4.9331209529818953E-2</v>
      </c>
      <c r="R301">
        <v>46.598414174883651</v>
      </c>
    </row>
    <row r="302" spans="2:18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0.64333120952981937</v>
      </c>
      <c r="O302">
        <f t="shared" si="18"/>
        <v>4.7331209529818952E-2</v>
      </c>
      <c r="R302">
        <v>17.39045990210133</v>
      </c>
    </row>
    <row r="303" spans="2:18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0.64347425743708975</v>
      </c>
      <c r="O303">
        <f t="shared" si="18"/>
        <v>4.5474257437089327E-2</v>
      </c>
      <c r="R303">
        <v>6.1096125093524076</v>
      </c>
    </row>
    <row r="304" spans="2:18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0.64376018115946509</v>
      </c>
      <c r="O304">
        <f t="shared" si="18"/>
        <v>4.3760181159464673E-2</v>
      </c>
      <c r="R304">
        <v>1.9441089337199751</v>
      </c>
    </row>
    <row r="305" spans="2:18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0.64376018115946509</v>
      </c>
      <c r="O305">
        <f t="shared" si="18"/>
        <v>4.1760181159464671E-2</v>
      </c>
      <c r="R305">
        <v>19.032732691537753</v>
      </c>
    </row>
    <row r="306" spans="2:18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0.6440458755789733</v>
      </c>
      <c r="O306">
        <f t="shared" si="18"/>
        <v>4.0045875578972878E-2</v>
      </c>
      <c r="R306">
        <v>12.855082180986432</v>
      </c>
    </row>
    <row r="307" spans="2:18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0.64418863685762484</v>
      </c>
      <c r="O307">
        <f t="shared" si="18"/>
        <v>3.8188636857624414E-2</v>
      </c>
      <c r="R307">
        <v>9.0438504524422516</v>
      </c>
    </row>
    <row r="308" spans="2:18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0.64447398766758834</v>
      </c>
      <c r="O308">
        <f t="shared" si="18"/>
        <v>3.6473987667587915E-2</v>
      </c>
      <c r="R308">
        <v>33.438898633028906</v>
      </c>
    </row>
    <row r="309" spans="2:18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0.64475910963414429</v>
      </c>
      <c r="O309">
        <f t="shared" si="18"/>
        <v>3.4759109634143859E-2</v>
      </c>
      <c r="R309">
        <v>0.68086026505692909</v>
      </c>
    </row>
    <row r="310" spans="2:18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0.64518636390401229</v>
      </c>
      <c r="O310">
        <f t="shared" si="18"/>
        <v>3.3186363904011862E-2</v>
      </c>
      <c r="R310">
        <v>29.60818598008537</v>
      </c>
    </row>
    <row r="311" spans="2:18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0.64518636390401229</v>
      </c>
      <c r="O311">
        <f t="shared" si="18"/>
        <v>3.118636390401186E-2</v>
      </c>
      <c r="R311">
        <v>12.290347706489477</v>
      </c>
    </row>
    <row r="312" spans="2:18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0.64532866777099096</v>
      </c>
      <c r="O312">
        <f t="shared" si="18"/>
        <v>2.9328667770990524E-2</v>
      </c>
      <c r="R312">
        <v>7.6025061373506801</v>
      </c>
    </row>
    <row r="313" spans="2:18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0.64589731273460771</v>
      </c>
      <c r="O313">
        <f t="shared" si="18"/>
        <v>2.7897312734607271E-2</v>
      </c>
      <c r="R313">
        <v>2.9737395071343316</v>
      </c>
    </row>
    <row r="314" spans="2:18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0.64603933146381953</v>
      </c>
      <c r="O314">
        <f t="shared" si="18"/>
        <v>2.6039331463819093E-2</v>
      </c>
      <c r="R314">
        <v>9.2043150065805435</v>
      </c>
    </row>
    <row r="315" spans="2:18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0.64618129323407514</v>
      </c>
      <c r="O315">
        <f t="shared" si="18"/>
        <v>2.4181293234074697E-2</v>
      </c>
      <c r="R315">
        <v>24.553868662221742</v>
      </c>
    </row>
    <row r="316" spans="2:18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0.64632319806821914</v>
      </c>
      <c r="O316">
        <f t="shared" si="18"/>
        <v>2.2323198068218697E-2</v>
      </c>
      <c r="R316">
        <v>8.384189603125705</v>
      </c>
    </row>
    <row r="317" spans="2:18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0.64646504598908616</v>
      </c>
      <c r="O317">
        <f t="shared" si="18"/>
        <v>2.0465045989085717E-2</v>
      </c>
      <c r="R317">
        <v>17.266756455052306</v>
      </c>
    </row>
    <row r="318" spans="2:18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0.64660683701950261</v>
      </c>
      <c r="O318">
        <f t="shared" si="18"/>
        <v>1.8606837019502165E-2</v>
      </c>
      <c r="R318">
        <v>21.466892448974047</v>
      </c>
    </row>
    <row r="319" spans="2:18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0.64674857118228535</v>
      </c>
      <c r="O319">
        <f t="shared" si="18"/>
        <v>1.6748571182284899E-2</v>
      </c>
      <c r="R319">
        <v>118.63252839260647</v>
      </c>
    </row>
    <row r="320" spans="2:18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0.6468902485002419</v>
      </c>
      <c r="O320">
        <f t="shared" si="18"/>
        <v>1.4890248500241454E-2</v>
      </c>
      <c r="R320">
        <v>11.313393470636237</v>
      </c>
    </row>
    <row r="321" spans="2:18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0.6468902485002419</v>
      </c>
      <c r="O321">
        <f t="shared" si="18"/>
        <v>1.2890248500241452E-2</v>
      </c>
      <c r="R321">
        <v>17.654228431109107</v>
      </c>
    </row>
    <row r="322" spans="2:18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0.64703186899617093</v>
      </c>
      <c r="O322">
        <f t="shared" si="18"/>
        <v>1.103186899617048E-2</v>
      </c>
      <c r="R322">
        <v>4.7083279797102504</v>
      </c>
    </row>
    <row r="323" spans="2:18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0.64703186899617093</v>
      </c>
      <c r="O323">
        <f t="shared" si="18"/>
        <v>9.0318689961704779E-3</v>
      </c>
      <c r="R323">
        <v>26.567716768012538</v>
      </c>
    </row>
    <row r="324" spans="2:18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0.64773911994271205</v>
      </c>
      <c r="O324">
        <f t="shared" si="18"/>
        <v>7.739119942711592E-3</v>
      </c>
      <c r="R324">
        <v>23.851516960448521</v>
      </c>
    </row>
    <row r="325" spans="2:18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0.64802162336406166</v>
      </c>
      <c r="O325">
        <f t="shared" si="18"/>
        <v>6.0216233640612016E-3</v>
      </c>
      <c r="R325">
        <v>9.2875686502109875</v>
      </c>
    </row>
    <row r="326" spans="2:18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1-EXP(-$H$11*J326)</f>
        <v>0.6481627901034217</v>
      </c>
      <c r="O326">
        <f t="shared" ref="O326:O389" si="22">ABS(M326-N326)</f>
        <v>4.1627901034212433E-3</v>
      </c>
      <c r="R326">
        <v>27.574291185524263</v>
      </c>
    </row>
    <row r="327" spans="2:18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0.6484449537530943</v>
      </c>
      <c r="O327">
        <f t="shared" si="22"/>
        <v>2.444953753093837E-3</v>
      </c>
      <c r="R327">
        <v>21.025985748659455</v>
      </c>
    </row>
    <row r="328" spans="2:18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0.64886777499545734</v>
      </c>
      <c r="O328">
        <f t="shared" si="22"/>
        <v>8.6777499545687142E-4</v>
      </c>
      <c r="R328">
        <v>15.214756040079228</v>
      </c>
    </row>
    <row r="329" spans="2:18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0.64900860237173508</v>
      </c>
      <c r="O329">
        <f t="shared" si="22"/>
        <v>9.9139762826538913E-4</v>
      </c>
      <c r="R329">
        <v>72.000614743550202</v>
      </c>
    </row>
    <row r="330" spans="2:18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0.64957134729188337</v>
      </c>
      <c r="O330">
        <f t="shared" si="22"/>
        <v>2.4286527081170961E-3</v>
      </c>
      <c r="R330">
        <v>39.389809221729173</v>
      </c>
    </row>
    <row r="331" spans="2:18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0.65013318996244007</v>
      </c>
      <c r="O331">
        <f t="shared" si="22"/>
        <v>3.8668100375603975E-3</v>
      </c>
      <c r="R331">
        <v>3.1639176579862887</v>
      </c>
    </row>
    <row r="332" spans="2:18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0.65041377340626783</v>
      </c>
      <c r="O332">
        <f t="shared" si="22"/>
        <v>5.5862265937326461E-3</v>
      </c>
      <c r="R332">
        <v>0.6975092871936529</v>
      </c>
    </row>
    <row r="333" spans="2:18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0.65041377340626783</v>
      </c>
      <c r="O333">
        <f t="shared" si="22"/>
        <v>7.5862265937326478E-3</v>
      </c>
      <c r="R333">
        <v>18.125256969143468</v>
      </c>
    </row>
    <row r="334" spans="2:18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0.65097426541404579</v>
      </c>
      <c r="O334">
        <f t="shared" si="22"/>
        <v>9.0257345859546811E-3</v>
      </c>
      <c r="R334">
        <v>6.7423383270797439</v>
      </c>
    </row>
    <row r="335" spans="2:18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0.65125417433877097</v>
      </c>
      <c r="O335">
        <f t="shared" si="22"/>
        <v>1.0745825661229502E-2</v>
      </c>
      <c r="R335">
        <v>50.964091935115718</v>
      </c>
    </row>
    <row r="336" spans="2:18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0.65153385878432912</v>
      </c>
      <c r="O336">
        <f t="shared" si="22"/>
        <v>1.2466141215671356E-2</v>
      </c>
      <c r="R336">
        <v>28.837223820532763</v>
      </c>
    </row>
    <row r="337" spans="2:18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0.65167361688368453</v>
      </c>
      <c r="O337">
        <f t="shared" si="22"/>
        <v>1.4326383116315955E-2</v>
      </c>
      <c r="R337">
        <v>4.9297821668266808</v>
      </c>
    </row>
    <row r="338" spans="2:18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0.65209255495790464</v>
      </c>
      <c r="O338">
        <f t="shared" si="22"/>
        <v>1.5907445042095847E-2</v>
      </c>
      <c r="R338">
        <v>24.817947828063993</v>
      </c>
    </row>
    <row r="339" spans="2:18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0.65278966568321284</v>
      </c>
      <c r="O339">
        <f t="shared" si="22"/>
        <v>1.7210334316787645E-2</v>
      </c>
      <c r="R339">
        <v>19.336777084735843</v>
      </c>
    </row>
    <row r="340" spans="2:18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0.65348537959057329</v>
      </c>
      <c r="O340">
        <f t="shared" si="22"/>
        <v>1.8514620409427196E-2</v>
      </c>
      <c r="R340">
        <v>18.958827807243377</v>
      </c>
    </row>
    <row r="341" spans="2:18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0.65376327467162065</v>
      </c>
      <c r="O341">
        <f t="shared" si="22"/>
        <v>2.0236725328379834E-2</v>
      </c>
      <c r="R341">
        <v>0.31943157949952727</v>
      </c>
    </row>
    <row r="342" spans="2:18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0.65376327467162065</v>
      </c>
      <c r="O342">
        <f t="shared" si="22"/>
        <v>2.2236725328379836E-2</v>
      </c>
      <c r="R342">
        <v>17.088499190181647</v>
      </c>
    </row>
    <row r="343" spans="2:18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0.65376327467162065</v>
      </c>
      <c r="O343">
        <f t="shared" si="22"/>
        <v>2.4236725328379838E-2</v>
      </c>
      <c r="R343">
        <v>72.016158998201263</v>
      </c>
    </row>
    <row r="344" spans="2:18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0.65390213862692503</v>
      </c>
      <c r="O344">
        <f t="shared" si="22"/>
        <v>2.6097861373075459E-2</v>
      </c>
      <c r="R344">
        <v>88.341658120005036</v>
      </c>
    </row>
    <row r="345" spans="2:18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0.65404094688854753</v>
      </c>
      <c r="O345">
        <f t="shared" si="22"/>
        <v>2.7959053111452969E-2</v>
      </c>
      <c r="R345">
        <v>66.675881509051578</v>
      </c>
    </row>
    <row r="346" spans="2:18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0.65417969947882482</v>
      </c>
      <c r="O346">
        <f t="shared" si="22"/>
        <v>2.982030052117568E-2</v>
      </c>
      <c r="R346">
        <v>2.80848657533345</v>
      </c>
    </row>
    <row r="347" spans="2:18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0.65528771871008784</v>
      </c>
      <c r="O347">
        <f t="shared" si="22"/>
        <v>3.0712281289912657E-2</v>
      </c>
      <c r="R347">
        <v>6.49411803958919</v>
      </c>
    </row>
    <row r="348" spans="2:18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0.65542597126194102</v>
      </c>
      <c r="O348">
        <f t="shared" si="22"/>
        <v>3.257402873805948E-2</v>
      </c>
      <c r="R348">
        <v>58.53083909761348</v>
      </c>
    </row>
    <row r="349" spans="2:18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0.6558403963156344</v>
      </c>
      <c r="O349">
        <f t="shared" si="22"/>
        <v>3.4159603684366102E-2</v>
      </c>
      <c r="R349">
        <v>52.565449170202641</v>
      </c>
    </row>
    <row r="350" spans="2:18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0.65652999739881079</v>
      </c>
      <c r="O350">
        <f t="shared" si="22"/>
        <v>3.547000260118971E-2</v>
      </c>
      <c r="R350">
        <v>17.634351683387926</v>
      </c>
    </row>
    <row r="351" spans="2:18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0.65666775171428504</v>
      </c>
      <c r="O351">
        <f t="shared" si="22"/>
        <v>3.7332248285715464E-2</v>
      </c>
      <c r="R351">
        <v>19.105763314377416</v>
      </c>
    </row>
    <row r="352" spans="2:18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0.65735569500505076</v>
      </c>
      <c r="O352">
        <f t="shared" si="22"/>
        <v>3.8644304994949752E-2</v>
      </c>
      <c r="R352">
        <v>12.372390895103536</v>
      </c>
    </row>
    <row r="353" spans="2:18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0.65776779914712824</v>
      </c>
      <c r="O353">
        <f t="shared" si="22"/>
        <v>4.0232200852872269E-2</v>
      </c>
      <c r="R353">
        <v>31.929647043561463</v>
      </c>
    </row>
    <row r="354" spans="2:18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0.65790505702177415</v>
      </c>
      <c r="O354">
        <f t="shared" si="22"/>
        <v>4.2094942978226357E-2</v>
      </c>
      <c r="R354">
        <v>19.033413600556568</v>
      </c>
    </row>
    <row r="355" spans="2:18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0.65831650043679657</v>
      </c>
      <c r="O355">
        <f t="shared" si="22"/>
        <v>4.3683499563203942E-2</v>
      </c>
      <c r="R355">
        <v>32.218363590526032</v>
      </c>
    </row>
    <row r="356" spans="2:18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0.65845353824573083</v>
      </c>
      <c r="O356">
        <f t="shared" si="22"/>
        <v>4.5546461754269685E-2</v>
      </c>
      <c r="R356">
        <v>6.9326992839301838</v>
      </c>
    </row>
    <row r="357" spans="2:18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0.65927461168374424</v>
      </c>
      <c r="O357">
        <f t="shared" si="22"/>
        <v>4.6725388316256278E-2</v>
      </c>
      <c r="R357">
        <v>55.702421268752509</v>
      </c>
    </row>
    <row r="358" spans="2:18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0.65927461168374424</v>
      </c>
      <c r="O358">
        <f t="shared" si="22"/>
        <v>4.872538831625628E-2</v>
      </c>
      <c r="R358">
        <v>0.34048100839850454</v>
      </c>
    </row>
    <row r="359" spans="2:18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0.65941126522634397</v>
      </c>
      <c r="O359">
        <f t="shared" si="22"/>
        <v>5.0588734773656552E-2</v>
      </c>
      <c r="R359">
        <v>23.340741862686009</v>
      </c>
    </row>
    <row r="360" spans="2:18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0.65954786396178422</v>
      </c>
      <c r="O360">
        <f t="shared" si="22"/>
        <v>5.2452136038216302E-2</v>
      </c>
      <c r="R360">
        <v>14.907327321017037</v>
      </c>
    </row>
    <row r="361" spans="2:18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0.65968440791204619</v>
      </c>
      <c r="O361">
        <f t="shared" si="22"/>
        <v>5.4315592087954334E-2</v>
      </c>
      <c r="R361">
        <v>47.45889755443612</v>
      </c>
    </row>
    <row r="362" spans="2:18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0.65968440791204619</v>
      </c>
      <c r="O362">
        <f t="shared" si="22"/>
        <v>5.6315592087954336E-2</v>
      </c>
      <c r="R362">
        <v>34.841782622375248</v>
      </c>
    </row>
    <row r="363" spans="2:18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0.65982089709910241</v>
      </c>
      <c r="O363">
        <f t="shared" si="22"/>
        <v>5.8179102900898116E-2</v>
      </c>
      <c r="R363">
        <v>34.444749476816469</v>
      </c>
    </row>
    <row r="364" spans="2:18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0.66077478988257776</v>
      </c>
      <c r="O364">
        <f t="shared" si="22"/>
        <v>5.9225210117422766E-2</v>
      </c>
      <c r="R364">
        <v>11.521448165104495</v>
      </c>
    </row>
    <row r="365" spans="2:18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0.66131867006046752</v>
      </c>
      <c r="O365">
        <f t="shared" si="22"/>
        <v>6.0681329939533013E-2</v>
      </c>
      <c r="R365">
        <v>9.2134084293236445</v>
      </c>
    </row>
    <row r="366" spans="2:18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0.66159028306058154</v>
      </c>
      <c r="O366">
        <f t="shared" si="22"/>
        <v>6.2409716939418991E-2</v>
      </c>
      <c r="R366">
        <v>28.501759852025742</v>
      </c>
    </row>
    <row r="367" spans="2:18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0.66159028306058154</v>
      </c>
      <c r="O367">
        <f t="shared" si="22"/>
        <v>6.4409716939418993E-2</v>
      </c>
      <c r="R367">
        <v>9.8644437139847696</v>
      </c>
    </row>
    <row r="368" spans="2:18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0.66159028306058154</v>
      </c>
      <c r="O368">
        <f t="shared" si="22"/>
        <v>6.6409716939418995E-2</v>
      </c>
      <c r="R368">
        <v>26.289101390057795</v>
      </c>
    </row>
    <row r="369" spans="2:18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0.66199729419147424</v>
      </c>
      <c r="O369">
        <f t="shared" si="22"/>
        <v>6.8002705808526298E-2</v>
      </c>
      <c r="R369">
        <v>6.2788119796192134</v>
      </c>
    </row>
    <row r="370" spans="2:18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0.66213285575730085</v>
      </c>
      <c r="O370">
        <f t="shared" si="22"/>
        <v>6.9867144242699686E-2</v>
      </c>
      <c r="R370">
        <v>7.1321911620994696</v>
      </c>
    </row>
    <row r="371" spans="2:18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0.66226836295392322</v>
      </c>
      <c r="O371">
        <f t="shared" si="22"/>
        <v>7.1731637046077323E-2</v>
      </c>
      <c r="R371">
        <v>36.774441534453231</v>
      </c>
    </row>
    <row r="372" spans="2:18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0.66253921432676943</v>
      </c>
      <c r="O372">
        <f t="shared" si="22"/>
        <v>7.346078567323111E-2</v>
      </c>
      <c r="R372">
        <v>131.47630579536906</v>
      </c>
    </row>
    <row r="373" spans="2:18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0.6626745585465782</v>
      </c>
      <c r="O373">
        <f t="shared" si="22"/>
        <v>7.5325441453422348E-2</v>
      </c>
      <c r="R373">
        <v>136.00244835098448</v>
      </c>
    </row>
    <row r="374" spans="2:18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0.6626745585465782</v>
      </c>
      <c r="O374">
        <f t="shared" si="22"/>
        <v>7.732544145342235E-2</v>
      </c>
      <c r="R374">
        <v>34.929171682125329</v>
      </c>
    </row>
    <row r="375" spans="2:18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0.6626745585465782</v>
      </c>
      <c r="O375">
        <f t="shared" si="22"/>
        <v>7.9325441453422352E-2</v>
      </c>
      <c r="R375">
        <v>35.451897167363207</v>
      </c>
    </row>
    <row r="376" spans="2:18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0.66308026560087496</v>
      </c>
      <c r="O376">
        <f t="shared" si="22"/>
        <v>8.0919734399125587E-2</v>
      </c>
      <c r="R376">
        <v>41.243354586985348</v>
      </c>
    </row>
    <row r="377" spans="2:18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0.66308026560087496</v>
      </c>
      <c r="O377">
        <f t="shared" si="22"/>
        <v>8.2919734399125589E-2</v>
      </c>
      <c r="R377">
        <v>4.6890416526809</v>
      </c>
    </row>
    <row r="378" spans="2:18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0.66362044940683718</v>
      </c>
      <c r="O378">
        <f t="shared" si="22"/>
        <v>8.4379550593163377E-2</v>
      </c>
      <c r="R378">
        <v>14.991396454490811</v>
      </c>
    </row>
    <row r="379" spans="2:18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0.66375535997946522</v>
      </c>
      <c r="O379">
        <f t="shared" si="22"/>
        <v>8.6244640020535335E-2</v>
      </c>
      <c r="R379">
        <v>88.169623565601441</v>
      </c>
    </row>
    <row r="380" spans="2:18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0.66375535997946522</v>
      </c>
      <c r="O380">
        <f t="shared" si="22"/>
        <v>8.8244640020535337E-2</v>
      </c>
      <c r="R380">
        <v>1.6204100743394942</v>
      </c>
    </row>
    <row r="381" spans="2:18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0.66389021644398061</v>
      </c>
      <c r="O381">
        <f t="shared" si="22"/>
        <v>9.0109783556019951E-2</v>
      </c>
      <c r="R381">
        <v>6.1108713300246151</v>
      </c>
    </row>
    <row r="382" spans="2:18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0.66429446140581716</v>
      </c>
      <c r="O382">
        <f t="shared" si="22"/>
        <v>9.17055385941834E-2</v>
      </c>
      <c r="R382">
        <v>20.299056795505759</v>
      </c>
    </row>
    <row r="383" spans="2:18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0.66442910165480451</v>
      </c>
      <c r="O383">
        <f t="shared" si="22"/>
        <v>9.3570898345196052E-2</v>
      </c>
      <c r="R383">
        <v>35.583914523602331</v>
      </c>
    </row>
    <row r="384" spans="2:18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0.66442910165480451</v>
      </c>
      <c r="O384">
        <f t="shared" si="22"/>
        <v>9.5570898345196054E-2</v>
      </c>
      <c r="R384">
        <v>70.602930948180983</v>
      </c>
    </row>
    <row r="385" spans="2:18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0.66456368790409703</v>
      </c>
      <c r="O385">
        <f t="shared" si="22"/>
        <v>9.7436312095903532E-2</v>
      </c>
      <c r="R385">
        <v>5.0882838159184836</v>
      </c>
    </row>
    <row r="386" spans="2:18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0.66456368790409703</v>
      </c>
      <c r="O386">
        <f t="shared" si="22"/>
        <v>9.9436312095903534E-2</v>
      </c>
      <c r="R386">
        <v>27.771571255792971</v>
      </c>
    </row>
    <row r="387" spans="2:18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0.66456368790409703</v>
      </c>
      <c r="O387">
        <f t="shared" si="22"/>
        <v>0.10143631209590354</v>
      </c>
      <c r="R387">
        <v>6.5328957273736314</v>
      </c>
    </row>
    <row r="388" spans="2:18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0.66456368790409703</v>
      </c>
      <c r="O388">
        <f t="shared" si="22"/>
        <v>0.10343631209590354</v>
      </c>
      <c r="R388">
        <v>11.349694235745721</v>
      </c>
    </row>
    <row r="389" spans="2:18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0.66469822017535229</v>
      </c>
      <c r="O389">
        <f t="shared" si="22"/>
        <v>0.10530177982464828</v>
      </c>
      <c r="R389">
        <v>3.1956595258482126</v>
      </c>
    </row>
    <row r="390" spans="2:18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1-EXP(-$H$11*J390)</f>
        <v>0.66483269849021887</v>
      </c>
      <c r="O390">
        <f t="shared" ref="O390:O453" si="26">ABS(M390-N390)</f>
        <v>0.10716730150978171</v>
      </c>
      <c r="R390">
        <v>3.6817099905952229</v>
      </c>
    </row>
    <row r="391" spans="2:18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0.66496712287033688</v>
      </c>
      <c r="O391">
        <f t="shared" si="26"/>
        <v>0.1090328771296637</v>
      </c>
      <c r="R391">
        <v>10.711512328507991</v>
      </c>
    </row>
    <row r="392" spans="2:18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0.66496712287033688</v>
      </c>
      <c r="O392">
        <f t="shared" si="26"/>
        <v>0.1110328771296637</v>
      </c>
      <c r="R392">
        <v>4.9851650392810569</v>
      </c>
    </row>
    <row r="393" spans="2:18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0.66523580991284459</v>
      </c>
      <c r="O393">
        <f t="shared" si="26"/>
        <v>0.11276419008715599</v>
      </c>
      <c r="R393">
        <v>25.443541511517775</v>
      </c>
    </row>
    <row r="394" spans="2:18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0.66630840501497057</v>
      </c>
      <c r="O394">
        <f t="shared" si="26"/>
        <v>0.11369159498503001</v>
      </c>
      <c r="R394">
        <v>17.833219296493937</v>
      </c>
    </row>
    <row r="395" spans="2:18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0.66684341314121776</v>
      </c>
      <c r="O395">
        <f t="shared" si="26"/>
        <v>0.11515658685878283</v>
      </c>
      <c r="R395">
        <v>97.869201644372112</v>
      </c>
    </row>
    <row r="396" spans="2:18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0.66724410624308306</v>
      </c>
      <c r="O396">
        <f t="shared" si="26"/>
        <v>0.11675589375691753</v>
      </c>
      <c r="R396">
        <v>51.336228194788006</v>
      </c>
    </row>
    <row r="397" spans="2:18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0.668177183680841</v>
      </c>
      <c r="O397">
        <f t="shared" si="26"/>
        <v>0.11782281631915958</v>
      </c>
      <c r="R397">
        <v>12.317231737967258</v>
      </c>
    </row>
    <row r="398" spans="2:18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0.66857627263415953</v>
      </c>
      <c r="O398">
        <f t="shared" si="26"/>
        <v>0.11942372736584106</v>
      </c>
      <c r="R398">
        <v>22.563093368592988</v>
      </c>
    </row>
    <row r="399" spans="2:18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0.66950561455760749</v>
      </c>
      <c r="O399">
        <f t="shared" si="26"/>
        <v>0.1204943854423931</v>
      </c>
      <c r="R399">
        <v>5.8568286985208937</v>
      </c>
    </row>
    <row r="400" spans="2:18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0.66950561455760749</v>
      </c>
      <c r="O400">
        <f t="shared" si="26"/>
        <v>0.12249438544239311</v>
      </c>
      <c r="R400">
        <v>68.238800945163689</v>
      </c>
    </row>
    <row r="401" spans="2:18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0.66977066185610146</v>
      </c>
      <c r="O401">
        <f t="shared" si="26"/>
        <v>0.12422933814389914</v>
      </c>
      <c r="R401">
        <v>8.1065461642742438</v>
      </c>
    </row>
    <row r="402" spans="2:18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0.66977066185610146</v>
      </c>
      <c r="O402">
        <f t="shared" si="26"/>
        <v>0.12622933814389914</v>
      </c>
      <c r="R402">
        <v>30.802392413476294</v>
      </c>
    </row>
    <row r="403" spans="2:18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0.67043235052276307</v>
      </c>
      <c r="O403">
        <f t="shared" si="26"/>
        <v>0.12756764947723753</v>
      </c>
      <c r="R403">
        <v>7.1476080980033085</v>
      </c>
    </row>
    <row r="404" spans="2:18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0.67056452906997921</v>
      </c>
      <c r="O404">
        <f t="shared" si="26"/>
        <v>0.12943547093002139</v>
      </c>
      <c r="R404">
        <v>4.2202278098389367</v>
      </c>
    </row>
    <row r="405" spans="2:18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0.67069665460480676</v>
      </c>
      <c r="O405">
        <f t="shared" si="26"/>
        <v>0.13130334539519384</v>
      </c>
      <c r="R405">
        <v>9.3352338845873142</v>
      </c>
    </row>
    <row r="406" spans="2:18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0.67148829574365543</v>
      </c>
      <c r="O406">
        <f t="shared" si="26"/>
        <v>0.13251170425634518</v>
      </c>
      <c r="R406">
        <v>18.356921592637764</v>
      </c>
    </row>
    <row r="407" spans="2:18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0.67175175298702205</v>
      </c>
      <c r="O407">
        <f t="shared" si="26"/>
        <v>0.13424824701297855</v>
      </c>
      <c r="R407">
        <v>11.930122758891894</v>
      </c>
    </row>
    <row r="408" spans="2:18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0.67201499894501227</v>
      </c>
      <c r="O408">
        <f t="shared" si="26"/>
        <v>0.13598500105498834</v>
      </c>
      <c r="R408">
        <v>10.460617804274452</v>
      </c>
    </row>
    <row r="409" spans="2:18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0.67227803378707107</v>
      </c>
      <c r="O409">
        <f t="shared" si="26"/>
        <v>0.13772196621292954</v>
      </c>
      <c r="R409">
        <v>53.610635951004383</v>
      </c>
    </row>
    <row r="410" spans="2:18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0.67240947209254065</v>
      </c>
      <c r="O410">
        <f t="shared" si="26"/>
        <v>0.13959052790745996</v>
      </c>
      <c r="R410">
        <v>36.383850621139331</v>
      </c>
    </row>
    <row r="411" spans="2:18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0.6725408576825076</v>
      </c>
      <c r="O411">
        <f t="shared" si="26"/>
        <v>0.14145914231749301</v>
      </c>
      <c r="R411">
        <v>73.050246064561108</v>
      </c>
    </row>
    <row r="412" spans="2:18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0.6728034708004953</v>
      </c>
      <c r="O412">
        <f t="shared" si="26"/>
        <v>0.14319652919950532</v>
      </c>
      <c r="R412">
        <v>20.488486893500152</v>
      </c>
    </row>
    <row r="413" spans="2:18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0.67372095928029907</v>
      </c>
      <c r="O413">
        <f t="shared" si="26"/>
        <v>0.14427904071970155</v>
      </c>
      <c r="R413">
        <v>2.1582986691419728</v>
      </c>
    </row>
    <row r="414" spans="2:18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0.67398262598965086</v>
      </c>
      <c r="O414">
        <f t="shared" si="26"/>
        <v>0.14601737401034975</v>
      </c>
      <c r="R414">
        <v>15.463039391839406</v>
      </c>
    </row>
    <row r="415" spans="2:18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0.6741133806402736</v>
      </c>
      <c r="O415">
        <f t="shared" si="26"/>
        <v>0.14788661935972702</v>
      </c>
      <c r="R415">
        <v>13.682661342929828</v>
      </c>
    </row>
    <row r="416" spans="2:18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0.67476636769423726</v>
      </c>
      <c r="O416">
        <f t="shared" si="26"/>
        <v>0.14923363230576336</v>
      </c>
      <c r="R416">
        <v>24.583015897964337</v>
      </c>
    </row>
    <row r="417" spans="2:18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0.67489680801230922</v>
      </c>
      <c r="O417">
        <f t="shared" si="26"/>
        <v>0.1511031919876914</v>
      </c>
      <c r="R417">
        <v>6.9906414061752296</v>
      </c>
    </row>
    <row r="418" spans="2:18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0.6751575317237053</v>
      </c>
      <c r="O418">
        <f t="shared" si="26"/>
        <v>0.15284246827629533</v>
      </c>
      <c r="R418">
        <v>7.9758931087541134</v>
      </c>
    </row>
    <row r="419" spans="2:18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0.6758084265863995</v>
      </c>
      <c r="O419">
        <f t="shared" si="26"/>
        <v>0.15419157341360112</v>
      </c>
      <c r="R419">
        <v>2.267363435913496</v>
      </c>
    </row>
    <row r="420" spans="2:18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0.6758084265863995</v>
      </c>
      <c r="O420">
        <f t="shared" si="26"/>
        <v>0.15619157341360113</v>
      </c>
      <c r="R420">
        <v>4.6614004564346478</v>
      </c>
    </row>
    <row r="421" spans="2:18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0.67593844896954769</v>
      </c>
      <c r="O421">
        <f t="shared" si="26"/>
        <v>0.15806155103045294</v>
      </c>
      <c r="R421">
        <v>30.691530962399423</v>
      </c>
    </row>
    <row r="422" spans="2:18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0.67632820331690113</v>
      </c>
      <c r="O422">
        <f t="shared" si="26"/>
        <v>0.1596717966830995</v>
      </c>
      <c r="R422">
        <v>1.4743480574042056</v>
      </c>
    </row>
    <row r="423" spans="2:18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0.67658777908910284</v>
      </c>
      <c r="O423">
        <f t="shared" si="26"/>
        <v>0.1614122209108978</v>
      </c>
      <c r="R423">
        <v>3.929145690663491</v>
      </c>
    </row>
    <row r="424" spans="2:18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0.67684714668876</v>
      </c>
      <c r="O424">
        <f t="shared" si="26"/>
        <v>0.16315285331124063</v>
      </c>
      <c r="R424">
        <v>43.975059418075745</v>
      </c>
    </row>
    <row r="425" spans="2:18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0.67710630628282131</v>
      </c>
      <c r="O425">
        <f t="shared" si="26"/>
        <v>0.16489369371717932</v>
      </c>
      <c r="R425">
        <v>3.1284225419156044</v>
      </c>
    </row>
    <row r="426" spans="2:18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0.67788253869890736</v>
      </c>
      <c r="O426">
        <f t="shared" si="26"/>
        <v>0.16611746130109328</v>
      </c>
      <c r="R426">
        <v>33.58898742269767</v>
      </c>
    </row>
    <row r="427" spans="2:18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0.67801172922514774</v>
      </c>
      <c r="O427">
        <f t="shared" si="26"/>
        <v>0.1679882707748529</v>
      </c>
      <c r="R427">
        <v>30.835457887162733</v>
      </c>
    </row>
    <row r="428" spans="2:18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0.67865690506193799</v>
      </c>
      <c r="O428">
        <f t="shared" si="26"/>
        <v>0.16934309493806265</v>
      </c>
      <c r="R428">
        <v>1.7398329532221293</v>
      </c>
    </row>
    <row r="429" spans="2:18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0.67878578501576303</v>
      </c>
      <c r="O429">
        <f t="shared" si="26"/>
        <v>0.17121421498423761</v>
      </c>
      <c r="R429">
        <v>7.4928386872210302</v>
      </c>
    </row>
    <row r="430" spans="2:18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0.67904338987584401</v>
      </c>
      <c r="O430">
        <f t="shared" si="26"/>
        <v>0.17295661012415664</v>
      </c>
      <c r="R430">
        <v>35.248812159152401</v>
      </c>
    </row>
    <row r="431" spans="2:18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0.67904338987584401</v>
      </c>
      <c r="O431">
        <f t="shared" si="26"/>
        <v>0.17495661012415664</v>
      </c>
      <c r="R431">
        <v>1.7836574149878242</v>
      </c>
    </row>
    <row r="432" spans="2:18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0.67917211482355344</v>
      </c>
      <c r="O432">
        <f t="shared" si="26"/>
        <v>0.17682788517644721</v>
      </c>
      <c r="R432">
        <v>29.061096094606633</v>
      </c>
    </row>
    <row r="433" spans="2:18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0.67917211482355344</v>
      </c>
      <c r="O433">
        <f t="shared" si="26"/>
        <v>0.17882788517644721</v>
      </c>
      <c r="R433">
        <v>43.300442709419642</v>
      </c>
    </row>
    <row r="434" spans="2:18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0.67930078814399719</v>
      </c>
      <c r="O434">
        <f t="shared" si="26"/>
        <v>0.18069921185600346</v>
      </c>
      <c r="R434">
        <v>13.741591739501095</v>
      </c>
    </row>
    <row r="435" spans="2:18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0.67930078814399719</v>
      </c>
      <c r="O435">
        <f t="shared" si="26"/>
        <v>0.18269921185600346</v>
      </c>
      <c r="R435">
        <v>4.133193064342283</v>
      </c>
    </row>
    <row r="436" spans="2:18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0.67994338106164975</v>
      </c>
      <c r="O436">
        <f t="shared" si="26"/>
        <v>0.1840566189383509</v>
      </c>
      <c r="R436">
        <v>22.949025662878867</v>
      </c>
    </row>
    <row r="437" spans="2:18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0.68007174505303458</v>
      </c>
      <c r="O437">
        <f t="shared" si="26"/>
        <v>0.18592825494696608</v>
      </c>
      <c r="R437">
        <v>60.906589549378999</v>
      </c>
    </row>
    <row r="438" spans="2:18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0.68032831860895771</v>
      </c>
      <c r="O438">
        <f t="shared" si="26"/>
        <v>0.18767168139104295</v>
      </c>
      <c r="R438">
        <v>1.0754053853267864</v>
      </c>
    </row>
    <row r="439" spans="2:18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0.68045652821478364</v>
      </c>
      <c r="O439">
        <f t="shared" si="26"/>
        <v>0.18954347178521702</v>
      </c>
      <c r="R439">
        <v>17.7335014764394</v>
      </c>
    </row>
    <row r="440" spans="2:18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0.68084084859126981</v>
      </c>
      <c r="O440">
        <f t="shared" si="26"/>
        <v>0.19115915140873085</v>
      </c>
      <c r="R440">
        <v>23.117113173404931</v>
      </c>
    </row>
    <row r="441" spans="2:18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0.68135255683365892</v>
      </c>
      <c r="O441">
        <f t="shared" si="26"/>
        <v>0.19264744316634175</v>
      </c>
      <c r="R441">
        <v>49.233966974538831</v>
      </c>
    </row>
    <row r="442" spans="2:18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0.68135255683365892</v>
      </c>
      <c r="O442">
        <f t="shared" si="26"/>
        <v>0.19464744316634175</v>
      </c>
      <c r="R442">
        <v>58.280628721859166</v>
      </c>
    </row>
    <row r="443" spans="2:18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0.68173579954126262</v>
      </c>
      <c r="O443">
        <f t="shared" si="26"/>
        <v>0.19626420045873805</v>
      </c>
      <c r="R443">
        <v>2.4310822286914946</v>
      </c>
    </row>
    <row r="444" spans="2:18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0.68237351336654328</v>
      </c>
      <c r="O444">
        <f t="shared" si="26"/>
        <v>0.19762648663345739</v>
      </c>
      <c r="R444">
        <v>3.1865171141069917</v>
      </c>
    </row>
    <row r="445" spans="2:18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0.68250090271324404</v>
      </c>
      <c r="O445">
        <f t="shared" si="26"/>
        <v>0.19949909728675663</v>
      </c>
      <c r="R445">
        <v>17.87316355999921</v>
      </c>
    </row>
    <row r="446" spans="2:18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0.68351817990944164</v>
      </c>
      <c r="O446">
        <f t="shared" si="26"/>
        <v>0.20048182009055904</v>
      </c>
      <c r="R446">
        <v>37.457904952101153</v>
      </c>
    </row>
    <row r="447" spans="2:18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0.68364511016872598</v>
      </c>
      <c r="O447">
        <f t="shared" si="26"/>
        <v>0.2023548898312747</v>
      </c>
      <c r="R447">
        <v>25.256751844135433</v>
      </c>
    </row>
    <row r="448" spans="2:18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0.68440562338175104</v>
      </c>
      <c r="O448">
        <f t="shared" si="26"/>
        <v>0.20359437661824964</v>
      </c>
      <c r="R448">
        <v>86.831041690043122</v>
      </c>
    </row>
    <row r="449" spans="2:18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0.68465872128787919</v>
      </c>
      <c r="O449">
        <f t="shared" si="26"/>
        <v>0.20534127871212149</v>
      </c>
      <c r="R449">
        <v>13.22052167987111</v>
      </c>
    </row>
    <row r="450" spans="2:18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0.68465872128787919</v>
      </c>
      <c r="O450">
        <f t="shared" si="26"/>
        <v>0.20734127871212149</v>
      </c>
      <c r="R450">
        <v>2.8407409194713784</v>
      </c>
    </row>
    <row r="451" spans="2:18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0.6851643083304888</v>
      </c>
      <c r="O451">
        <f t="shared" si="26"/>
        <v>0.20883569166951188</v>
      </c>
      <c r="R451">
        <v>15.446430507211133</v>
      </c>
    </row>
    <row r="452" spans="2:18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0.68529057838279128</v>
      </c>
      <c r="O452">
        <f t="shared" si="26"/>
        <v>0.2107094216172094</v>
      </c>
      <c r="R452">
        <v>2.1575618941549801</v>
      </c>
    </row>
    <row r="453" spans="2:18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0.6854167977924045</v>
      </c>
      <c r="O453">
        <f t="shared" si="26"/>
        <v>0.21258320220759619</v>
      </c>
      <c r="R453">
        <v>60.743024491867999</v>
      </c>
    </row>
    <row r="454" spans="2:18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1-EXP(-$H$11*J454)</f>
        <v>0.6864247323681163</v>
      </c>
      <c r="O454">
        <f t="shared" ref="O454:O504" si="30">ABS(M454-N454)</f>
        <v>0.21357526763188439</v>
      </c>
      <c r="R454">
        <v>6.204766144172666</v>
      </c>
    </row>
    <row r="455" spans="2:18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0.6865504969065479</v>
      </c>
      <c r="O455">
        <f t="shared" si="30"/>
        <v>0.21544950309345279</v>
      </c>
      <c r="R455">
        <v>50.495793709671467</v>
      </c>
    </row>
    <row r="456" spans="2:18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0.68692748796308634</v>
      </c>
      <c r="O456">
        <f t="shared" si="30"/>
        <v>0.21707251203691436</v>
      </c>
      <c r="R456">
        <v>1.7019151124590874</v>
      </c>
    </row>
    <row r="457" spans="2:18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0.68742943748942043</v>
      </c>
      <c r="O457">
        <f t="shared" si="30"/>
        <v>0.21857056251058027</v>
      </c>
      <c r="R457">
        <v>31.211242642699528</v>
      </c>
    </row>
    <row r="458" spans="2:18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0.68780537142914833</v>
      </c>
      <c r="O458">
        <f t="shared" si="30"/>
        <v>0.22019462857085237</v>
      </c>
      <c r="R458">
        <v>59.073404006001148</v>
      </c>
    </row>
    <row r="459" spans="2:18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0.68793058223948922</v>
      </c>
      <c r="O459">
        <f t="shared" si="30"/>
        <v>0.22206941776051148</v>
      </c>
      <c r="R459">
        <v>0.12562787788841673</v>
      </c>
    </row>
    <row r="460" spans="2:18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0.68805574283196735</v>
      </c>
      <c r="O460">
        <f t="shared" si="30"/>
        <v>0.22394425716803334</v>
      </c>
      <c r="R460">
        <v>4.3096138755056499</v>
      </c>
    </row>
    <row r="461" spans="2:18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0.68855588342594476</v>
      </c>
      <c r="O461">
        <f t="shared" si="30"/>
        <v>0.22544411657405594</v>
      </c>
      <c r="R461">
        <v>13.641249370365088</v>
      </c>
    </row>
    <row r="462" spans="2:18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0.68868079323105791</v>
      </c>
      <c r="O462">
        <f t="shared" si="30"/>
        <v>0.22731920676894279</v>
      </c>
      <c r="R462">
        <v>4.3882709092642562</v>
      </c>
    </row>
    <row r="463" spans="2:18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0.6888056529390314</v>
      </c>
      <c r="O463">
        <f t="shared" si="30"/>
        <v>0.22919434706096931</v>
      </c>
      <c r="R463">
        <v>10.136077729821784</v>
      </c>
    </row>
    <row r="464" spans="2:18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0.68942920072475133</v>
      </c>
      <c r="O464">
        <f t="shared" si="30"/>
        <v>0.23057079927524937</v>
      </c>
      <c r="R464">
        <v>33.861786098300456</v>
      </c>
    </row>
    <row r="465" spans="2:18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0.68942920072475133</v>
      </c>
      <c r="O465">
        <f t="shared" si="30"/>
        <v>0.23257079927524937</v>
      </c>
      <c r="R465">
        <v>17.646213623795706</v>
      </c>
    </row>
    <row r="466" spans="2:18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0.68955376027154269</v>
      </c>
      <c r="O466">
        <f t="shared" si="30"/>
        <v>0.23444623972845802</v>
      </c>
      <c r="R466">
        <v>17.548939302098599</v>
      </c>
    </row>
    <row r="467" spans="2:18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0.69017580905615583</v>
      </c>
      <c r="O467">
        <f t="shared" si="30"/>
        <v>0.23582419094384488</v>
      </c>
      <c r="R467">
        <v>24.088481223225426</v>
      </c>
    </row>
    <row r="468" spans="2:18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0.69054843988801984</v>
      </c>
      <c r="O468">
        <f t="shared" si="30"/>
        <v>0.23745156011198087</v>
      </c>
      <c r="R468">
        <v>18.943208317868347</v>
      </c>
    </row>
    <row r="469" spans="2:18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0.69067255054546539</v>
      </c>
      <c r="O469">
        <f t="shared" si="30"/>
        <v>0.23932744945453532</v>
      </c>
      <c r="R469">
        <v>7.3575066172441881</v>
      </c>
    </row>
    <row r="470" spans="2:18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0.6912923575824228</v>
      </c>
      <c r="O470">
        <f t="shared" si="30"/>
        <v>0.24070764241757792</v>
      </c>
      <c r="R470">
        <v>43.100538359573633</v>
      </c>
    </row>
    <row r="471" spans="2:18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0.69141616987939436</v>
      </c>
      <c r="O471">
        <f t="shared" si="30"/>
        <v>0.24258383012060636</v>
      </c>
      <c r="R471">
        <v>33.03769869035699</v>
      </c>
    </row>
    <row r="472" spans="2:18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0.69166364552235549</v>
      </c>
      <c r="O472">
        <f t="shared" si="30"/>
        <v>0.24433635447764523</v>
      </c>
      <c r="R472">
        <v>24.335313237809782</v>
      </c>
    </row>
    <row r="473" spans="2:18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0.69191092269673882</v>
      </c>
      <c r="O473">
        <f t="shared" si="30"/>
        <v>0.2460890773032619</v>
      </c>
      <c r="R473">
        <v>13.577158026513105</v>
      </c>
    </row>
    <row r="474" spans="2:18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0.69240488227631025</v>
      </c>
      <c r="O474">
        <f t="shared" si="30"/>
        <v>0.24759511772369047</v>
      </c>
      <c r="R474">
        <v>13.256815168846282</v>
      </c>
    </row>
    <row r="475" spans="2:18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0.69277483216384317</v>
      </c>
      <c r="O475">
        <f t="shared" si="30"/>
        <v>0.24922516783615756</v>
      </c>
      <c r="R475">
        <v>15.753063923063156</v>
      </c>
    </row>
    <row r="476" spans="2:18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0.6943728136222771</v>
      </c>
      <c r="O476">
        <f t="shared" si="30"/>
        <v>0.24962718637772363</v>
      </c>
      <c r="R476">
        <v>33.499964024628646</v>
      </c>
    </row>
    <row r="477" spans="2:18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0.69486282604923533</v>
      </c>
      <c r="O477">
        <f t="shared" si="30"/>
        <v>0.2511371739507654</v>
      </c>
      <c r="R477">
        <v>66.287917849847489</v>
      </c>
    </row>
    <row r="478" spans="2:18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0.69608442270742166</v>
      </c>
      <c r="O478">
        <f t="shared" si="30"/>
        <v>0.25191557729257907</v>
      </c>
      <c r="R478">
        <v>12.209443412492288</v>
      </c>
    </row>
    <row r="479" spans="2:18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0.69657169090952287</v>
      </c>
      <c r="O479">
        <f t="shared" si="30"/>
        <v>0.25342830909047787</v>
      </c>
      <c r="R479">
        <v>15.54402587508182</v>
      </c>
    </row>
    <row r="480" spans="2:18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0.69681503196811123</v>
      </c>
      <c r="O480">
        <f t="shared" si="30"/>
        <v>0.2551849680318895</v>
      </c>
      <c r="R480">
        <v>6.3776815336944708</v>
      </c>
    </row>
    <row r="481" spans="2:18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0.69742253116359887</v>
      </c>
      <c r="O481">
        <f t="shared" si="30"/>
        <v>0.25657746883640187</v>
      </c>
      <c r="R481">
        <v>3.550905403884248</v>
      </c>
    </row>
    <row r="482" spans="2:18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0.69887556745044832</v>
      </c>
      <c r="O482">
        <f t="shared" si="30"/>
        <v>0.25712443254955242</v>
      </c>
      <c r="R482">
        <v>0.85814323706343176</v>
      </c>
    </row>
    <row r="483" spans="2:18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0.69996076367209237</v>
      </c>
      <c r="O483">
        <f t="shared" si="30"/>
        <v>0.25803923632790837</v>
      </c>
      <c r="R483">
        <v>11.821080920484821</v>
      </c>
    </row>
    <row r="484" spans="2:18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0.70044181693217122</v>
      </c>
      <c r="O484">
        <f t="shared" si="30"/>
        <v>0.25955818306782952</v>
      </c>
      <c r="R484">
        <v>6.6117980146850792</v>
      </c>
    </row>
    <row r="485" spans="2:18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0.70056195968740664</v>
      </c>
      <c r="O485">
        <f t="shared" si="30"/>
        <v>0.2614380403125941</v>
      </c>
      <c r="R485">
        <v>35.358922987178126</v>
      </c>
    </row>
    <row r="486" spans="2:18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0.70080210066149595</v>
      </c>
      <c r="O486">
        <f t="shared" si="30"/>
        <v>0.26319789933850479</v>
      </c>
      <c r="R486">
        <v>1.9910256463319982</v>
      </c>
    </row>
    <row r="487" spans="2:18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0.70140161086914121</v>
      </c>
      <c r="O487">
        <f t="shared" si="30"/>
        <v>0.26459838913085953</v>
      </c>
      <c r="R487">
        <v>23.460768206940212</v>
      </c>
    </row>
    <row r="488" spans="2:18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0.7019999198234026</v>
      </c>
      <c r="O488">
        <f t="shared" si="30"/>
        <v>0.26600008017659815</v>
      </c>
      <c r="R488">
        <v>4.1851612460230969</v>
      </c>
    </row>
    <row r="489" spans="2:18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0.70414392283460026</v>
      </c>
      <c r="O489">
        <f t="shared" si="30"/>
        <v>0.2658560771654005</v>
      </c>
      <c r="R489">
        <v>11.436671936382869</v>
      </c>
    </row>
    <row r="490" spans="2:18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0.70485515715741442</v>
      </c>
      <c r="O490">
        <f t="shared" si="30"/>
        <v>0.26714484284258633</v>
      </c>
      <c r="R490">
        <v>13.36149437363777</v>
      </c>
    </row>
    <row r="491" spans="2:18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0.70521013288727508</v>
      </c>
      <c r="O491">
        <f t="shared" si="30"/>
        <v>0.26878986711272568</v>
      </c>
      <c r="R491">
        <v>8.9393603028470334</v>
      </c>
    </row>
    <row r="492" spans="2:18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0.70603675017352974</v>
      </c>
      <c r="O492">
        <f t="shared" si="30"/>
        <v>0.26996324982647102</v>
      </c>
      <c r="R492">
        <v>13.950234325176787</v>
      </c>
    </row>
    <row r="493" spans="2:18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0.70650806179731296</v>
      </c>
      <c r="O493">
        <f t="shared" si="30"/>
        <v>0.2714919382026878</v>
      </c>
      <c r="R493">
        <v>31.347581924029335</v>
      </c>
    </row>
    <row r="494" spans="2:18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0.71048382302178026</v>
      </c>
      <c r="O494">
        <f t="shared" si="30"/>
        <v>0.2695161769782205</v>
      </c>
      <c r="R494">
        <v>32.633213156996426</v>
      </c>
    </row>
    <row r="495" spans="2:18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0.71371750742209628</v>
      </c>
      <c r="O495">
        <f t="shared" si="30"/>
        <v>0.26828249257790449</v>
      </c>
      <c r="R495">
        <v>12.761013620501728</v>
      </c>
    </row>
    <row r="496" spans="2:18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0.71680149249044578</v>
      </c>
      <c r="O496">
        <f t="shared" si="30"/>
        <v>0.26719850750955498</v>
      </c>
      <c r="R496">
        <v>15.974181955651604</v>
      </c>
    </row>
    <row r="497" spans="2:18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0.71680149249044578</v>
      </c>
      <c r="O497">
        <f t="shared" si="30"/>
        <v>0.26919850750955499</v>
      </c>
      <c r="R497">
        <v>26.557742988500532</v>
      </c>
    </row>
    <row r="498" spans="2:18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0.71782208702580963</v>
      </c>
      <c r="O498">
        <f t="shared" si="30"/>
        <v>0.27017791297419114</v>
      </c>
      <c r="R498">
        <v>7.0246507480411688</v>
      </c>
    </row>
    <row r="499" spans="2:18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0.71940237274972696</v>
      </c>
      <c r="O499">
        <f t="shared" si="30"/>
        <v>0.27059762725027381</v>
      </c>
      <c r="R499">
        <v>11.550365059794792</v>
      </c>
    </row>
    <row r="500" spans="2:18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0.71951491106099952</v>
      </c>
      <c r="O500">
        <f t="shared" si="30"/>
        <v>0.27248508893900125</v>
      </c>
      <c r="R500">
        <v>12.644195511738554</v>
      </c>
    </row>
    <row r="501" spans="2:18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0.72253644345857415</v>
      </c>
      <c r="O501">
        <f t="shared" si="30"/>
        <v>0.27146355654142662</v>
      </c>
      <c r="R501">
        <v>23.076960667628438</v>
      </c>
    </row>
    <row r="502" spans="2:18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0.72397962476389222</v>
      </c>
      <c r="O502">
        <f t="shared" si="30"/>
        <v>0.27202037523610856</v>
      </c>
      <c r="R502">
        <v>0.2066431410073141</v>
      </c>
    </row>
    <row r="503" spans="2:18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0.72464317430644276</v>
      </c>
      <c r="O503">
        <f t="shared" si="30"/>
        <v>0.27335682569355801</v>
      </c>
      <c r="R503">
        <v>61.451337639114605</v>
      </c>
    </row>
    <row r="504" spans="2:18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0.72967767469264089</v>
      </c>
      <c r="O504">
        <f t="shared" si="30"/>
        <v>0.27032232530735978</v>
      </c>
      <c r="R504">
        <v>19.567287559108529</v>
      </c>
    </row>
    <row r="505" spans="2:18" x14ac:dyDescent="0.25">
      <c r="N505" s="14" t="s">
        <v>52</v>
      </c>
      <c r="O505" s="14">
        <f>MAX(O5:O504)</f>
        <v>0.50856373459006365</v>
      </c>
      <c r="R505">
        <v>73.102110708687732</v>
      </c>
    </row>
    <row r="506" spans="2:18" x14ac:dyDescent="0.25">
      <c r="M506" s="16" t="s">
        <v>51</v>
      </c>
      <c r="N506" s="16">
        <f>1.358/SQRT($E$20)</f>
        <v>6.0731606268894289E-2</v>
      </c>
      <c r="R506">
        <v>11.722210080963759</v>
      </c>
    </row>
    <row r="507" spans="2:18" x14ac:dyDescent="0.25">
      <c r="R507">
        <v>0.48280358737716894</v>
      </c>
    </row>
    <row r="508" spans="2:18" x14ac:dyDescent="0.25">
      <c r="M508" t="s">
        <v>53</v>
      </c>
      <c r="R508">
        <v>4.5053828501521256</v>
      </c>
    </row>
    <row r="509" spans="2:18" x14ac:dyDescent="0.25">
      <c r="R509">
        <v>8.6713265781400004</v>
      </c>
    </row>
    <row r="510" spans="2:18" x14ac:dyDescent="0.25">
      <c r="R510">
        <v>1.1691518555585649</v>
      </c>
    </row>
    <row r="511" spans="2:18" x14ac:dyDescent="0.25">
      <c r="R511">
        <v>8.7466276280167587</v>
      </c>
    </row>
    <row r="512" spans="2:18" x14ac:dyDescent="0.25">
      <c r="R512">
        <v>60.914593085518561</v>
      </c>
    </row>
    <row r="513" spans="18:18" x14ac:dyDescent="0.25">
      <c r="R513">
        <v>32.095919875698065</v>
      </c>
    </row>
    <row r="514" spans="18:18" x14ac:dyDescent="0.25">
      <c r="R514">
        <v>14.293359580976238</v>
      </c>
    </row>
    <row r="515" spans="18:18" x14ac:dyDescent="0.25">
      <c r="R515">
        <v>11.472808066527728</v>
      </c>
    </row>
    <row r="516" spans="18:18" x14ac:dyDescent="0.25">
      <c r="R516">
        <v>6.6976888352323263</v>
      </c>
    </row>
    <row r="517" spans="18:18" x14ac:dyDescent="0.25">
      <c r="R517">
        <v>44.339980694274288</v>
      </c>
    </row>
    <row r="518" spans="18:18" x14ac:dyDescent="0.25">
      <c r="R518">
        <v>3.9499731956665918</v>
      </c>
    </row>
    <row r="519" spans="18:18" x14ac:dyDescent="0.25">
      <c r="R519">
        <v>26.368856370222392</v>
      </c>
    </row>
    <row r="520" spans="18:18" x14ac:dyDescent="0.25">
      <c r="R520">
        <v>47.428485796570321</v>
      </c>
    </row>
    <row r="521" spans="18:18" x14ac:dyDescent="0.25">
      <c r="R521">
        <v>31.340649198349777</v>
      </c>
    </row>
    <row r="522" spans="18:18" x14ac:dyDescent="0.25">
      <c r="R522">
        <v>3.7985849553431676</v>
      </c>
    </row>
    <row r="523" spans="18:18" x14ac:dyDescent="0.25">
      <c r="R523">
        <v>20.692067438141436</v>
      </c>
    </row>
    <row r="524" spans="18:18" x14ac:dyDescent="0.25">
      <c r="R524">
        <v>25.130890488548602</v>
      </c>
    </row>
    <row r="525" spans="18:18" x14ac:dyDescent="0.25">
      <c r="R525">
        <v>54.796633649960263</v>
      </c>
    </row>
    <row r="526" spans="18:18" x14ac:dyDescent="0.25">
      <c r="R526">
        <v>34.503887921908699</v>
      </c>
    </row>
    <row r="527" spans="18:18" x14ac:dyDescent="0.25">
      <c r="R527">
        <v>41.891854448588887</v>
      </c>
    </row>
    <row r="528" spans="18:18" x14ac:dyDescent="0.25">
      <c r="R528">
        <v>21.410855962911462</v>
      </c>
    </row>
    <row r="529" spans="18:18" x14ac:dyDescent="0.25">
      <c r="R529">
        <v>29.230239809177828</v>
      </c>
    </row>
    <row r="530" spans="18:18" x14ac:dyDescent="0.25">
      <c r="R530">
        <v>14.889723061131315</v>
      </c>
    </row>
    <row r="531" spans="18:18" x14ac:dyDescent="0.25">
      <c r="R531">
        <v>16.554135725352207</v>
      </c>
    </row>
    <row r="532" spans="18:18" x14ac:dyDescent="0.25">
      <c r="R532">
        <v>10.507443487780083</v>
      </c>
    </row>
    <row r="533" spans="18:18" x14ac:dyDescent="0.25">
      <c r="R533">
        <v>50.178200594874156</v>
      </c>
    </row>
    <row r="534" spans="18:18" x14ac:dyDescent="0.25">
      <c r="R534">
        <v>33.332128556667811</v>
      </c>
    </row>
    <row r="535" spans="18:18" x14ac:dyDescent="0.25">
      <c r="R535">
        <v>25.574140532221357</v>
      </c>
    </row>
    <row r="536" spans="18:18" x14ac:dyDescent="0.25">
      <c r="R536">
        <v>8.3477553460706471</v>
      </c>
    </row>
    <row r="537" spans="18:18" x14ac:dyDescent="0.25">
      <c r="R537">
        <v>19.616148232185111</v>
      </c>
    </row>
    <row r="538" spans="18:18" x14ac:dyDescent="0.25">
      <c r="R538">
        <v>65.175057091693802</v>
      </c>
    </row>
    <row r="539" spans="18:18" x14ac:dyDescent="0.25">
      <c r="R539">
        <v>12.159396498057225</v>
      </c>
    </row>
    <row r="540" spans="18:18" x14ac:dyDescent="0.25">
      <c r="R540">
        <v>57.761128117946981</v>
      </c>
    </row>
    <row r="541" spans="18:18" x14ac:dyDescent="0.25">
      <c r="R541">
        <v>89.791924531950116</v>
      </c>
    </row>
    <row r="542" spans="18:18" x14ac:dyDescent="0.25">
      <c r="R542">
        <v>11.223277368135244</v>
      </c>
    </row>
    <row r="543" spans="18:18" x14ac:dyDescent="0.25">
      <c r="R543">
        <v>34.902325378736329</v>
      </c>
    </row>
    <row r="544" spans="18:18" x14ac:dyDescent="0.25">
      <c r="R544">
        <v>5.1336060000214871</v>
      </c>
    </row>
    <row r="545" spans="18:18" x14ac:dyDescent="0.25">
      <c r="R545">
        <v>59.09822955217183</v>
      </c>
    </row>
    <row r="546" spans="18:18" x14ac:dyDescent="0.25">
      <c r="R546">
        <v>24.316490644860096</v>
      </c>
    </row>
    <row r="547" spans="18:18" x14ac:dyDescent="0.25">
      <c r="R547">
        <v>7.7905623987514812</v>
      </c>
    </row>
    <row r="548" spans="18:18" x14ac:dyDescent="0.25">
      <c r="R548">
        <v>9.2551209782465218</v>
      </c>
    </row>
    <row r="549" spans="18:18" x14ac:dyDescent="0.25">
      <c r="R549">
        <v>4.3817748397561926</v>
      </c>
    </row>
    <row r="550" spans="18:18" x14ac:dyDescent="0.25">
      <c r="R550">
        <v>21.062185890430204</v>
      </c>
    </row>
    <row r="551" spans="18:18" x14ac:dyDescent="0.25">
      <c r="R551">
        <v>26.932721053017481</v>
      </c>
    </row>
    <row r="552" spans="18:18" x14ac:dyDescent="0.25">
      <c r="R552">
        <v>8.97704266041778</v>
      </c>
    </row>
    <row r="553" spans="18:18" x14ac:dyDescent="0.25">
      <c r="R553">
        <v>7.9245534463912941</v>
      </c>
    </row>
    <row r="554" spans="18:18" x14ac:dyDescent="0.25">
      <c r="R554">
        <v>33.032363749007764</v>
      </c>
    </row>
    <row r="555" spans="18:18" x14ac:dyDescent="0.25">
      <c r="R555">
        <v>15.985758913304284</v>
      </c>
    </row>
    <row r="556" spans="18:18" x14ac:dyDescent="0.25">
      <c r="R556">
        <v>40.123711237833824</v>
      </c>
    </row>
    <row r="557" spans="18:18" x14ac:dyDescent="0.25">
      <c r="R557">
        <v>37.628828290839913</v>
      </c>
    </row>
    <row r="558" spans="18:18" x14ac:dyDescent="0.25">
      <c r="R558">
        <v>0.75927950960863988</v>
      </c>
    </row>
    <row r="559" spans="18:18" x14ac:dyDescent="0.25">
      <c r="R559">
        <v>28.250201413342726</v>
      </c>
    </row>
    <row r="560" spans="18:18" x14ac:dyDescent="0.25">
      <c r="R560">
        <v>1.4573737364296657</v>
      </c>
    </row>
    <row r="561" spans="18:18" x14ac:dyDescent="0.25">
      <c r="R561">
        <v>71.801588564056061</v>
      </c>
    </row>
    <row r="562" spans="18:18" x14ac:dyDescent="0.25">
      <c r="R562">
        <v>34.325636396596643</v>
      </c>
    </row>
    <row r="563" spans="18:18" x14ac:dyDescent="0.25">
      <c r="R563">
        <v>36.897851679524599</v>
      </c>
    </row>
    <row r="564" spans="18:18" x14ac:dyDescent="0.25">
      <c r="R564">
        <v>22.371083149371433</v>
      </c>
    </row>
    <row r="565" spans="18:18" x14ac:dyDescent="0.25">
      <c r="R565">
        <v>10.801867680640063</v>
      </c>
    </row>
    <row r="566" spans="18:18" x14ac:dyDescent="0.25">
      <c r="R566">
        <v>19.037651167013433</v>
      </c>
    </row>
    <row r="567" spans="18:18" x14ac:dyDescent="0.25">
      <c r="R567">
        <v>10.265651406978801</v>
      </c>
    </row>
    <row r="568" spans="18:18" x14ac:dyDescent="0.25">
      <c r="R568">
        <v>45.571994653626369</v>
      </c>
    </row>
    <row r="569" spans="18:18" x14ac:dyDescent="0.25">
      <c r="R569">
        <v>2.2046947099657078E-2</v>
      </c>
    </row>
    <row r="570" spans="18:18" x14ac:dyDescent="0.25">
      <c r="R570">
        <v>15.547731873772952</v>
      </c>
    </row>
    <row r="571" spans="18:18" x14ac:dyDescent="0.25">
      <c r="R571">
        <v>24.216783904061774</v>
      </c>
    </row>
    <row r="572" spans="18:18" x14ac:dyDescent="0.25">
      <c r="R572">
        <v>21.290746511175993</v>
      </c>
    </row>
    <row r="573" spans="18:18" x14ac:dyDescent="0.25">
      <c r="R573">
        <v>81.227117054204626</v>
      </c>
    </row>
    <row r="574" spans="18:18" x14ac:dyDescent="0.25">
      <c r="R574">
        <v>6.3066277557822694</v>
      </c>
    </row>
    <row r="575" spans="18:18" x14ac:dyDescent="0.25">
      <c r="R575">
        <v>16.731913078156207</v>
      </c>
    </row>
    <row r="576" spans="18:18" x14ac:dyDescent="0.25">
      <c r="R576">
        <v>27.684617298008632</v>
      </c>
    </row>
    <row r="577" spans="18:18" x14ac:dyDescent="0.25">
      <c r="R577">
        <v>3.1694710184075561</v>
      </c>
    </row>
    <row r="578" spans="18:18" x14ac:dyDescent="0.25">
      <c r="R578">
        <v>5.897273294416749</v>
      </c>
    </row>
    <row r="579" spans="18:18" x14ac:dyDescent="0.25">
      <c r="R579">
        <v>30.989524195732614</v>
      </c>
    </row>
    <row r="580" spans="18:18" x14ac:dyDescent="0.25">
      <c r="R580">
        <v>5.6190983520108304</v>
      </c>
    </row>
    <row r="581" spans="18:18" x14ac:dyDescent="0.25">
      <c r="R581">
        <v>2.7215687361824044</v>
      </c>
    </row>
    <row r="582" spans="18:18" x14ac:dyDescent="0.25">
      <c r="R582">
        <v>37.734462848515463</v>
      </c>
    </row>
    <row r="583" spans="18:18" x14ac:dyDescent="0.25">
      <c r="R583">
        <v>1.0581108021041099</v>
      </c>
    </row>
    <row r="584" spans="18:18" x14ac:dyDescent="0.25">
      <c r="R584">
        <v>47.738923822396572</v>
      </c>
    </row>
    <row r="585" spans="18:18" x14ac:dyDescent="0.25">
      <c r="R585">
        <v>62.642601044074894</v>
      </c>
    </row>
    <row r="586" spans="18:18" x14ac:dyDescent="0.25">
      <c r="R586">
        <v>25.725453197497728</v>
      </c>
    </row>
    <row r="587" spans="18:18" x14ac:dyDescent="0.25">
      <c r="R587">
        <v>3.6978861188258443</v>
      </c>
    </row>
    <row r="588" spans="18:18" x14ac:dyDescent="0.25">
      <c r="R588">
        <v>19.960096618900003</v>
      </c>
    </row>
    <row r="589" spans="18:18" x14ac:dyDescent="0.25">
      <c r="R589">
        <v>0.42303638307000679</v>
      </c>
    </row>
    <row r="590" spans="18:18" x14ac:dyDescent="0.25">
      <c r="R590">
        <v>79.826863223949815</v>
      </c>
    </row>
    <row r="591" spans="18:18" x14ac:dyDescent="0.25">
      <c r="R591">
        <v>29.539096186478954</v>
      </c>
    </row>
    <row r="592" spans="18:18" x14ac:dyDescent="0.25">
      <c r="R592">
        <v>22.378358328884065</v>
      </c>
    </row>
    <row r="593" spans="18:18" x14ac:dyDescent="0.25">
      <c r="R593">
        <v>19.061322532234851</v>
      </c>
    </row>
    <row r="594" spans="18:18" x14ac:dyDescent="0.25">
      <c r="R594">
        <v>0.3705841216016475</v>
      </c>
    </row>
    <row r="595" spans="18:18" x14ac:dyDescent="0.25">
      <c r="R595">
        <v>1.3517029767821578</v>
      </c>
    </row>
    <row r="596" spans="18:18" x14ac:dyDescent="0.25">
      <c r="R596">
        <v>57.415699721134921</v>
      </c>
    </row>
    <row r="597" spans="18:18" x14ac:dyDescent="0.25">
      <c r="R597">
        <v>82.971965802833068</v>
      </c>
    </row>
    <row r="598" spans="18:18" x14ac:dyDescent="0.25">
      <c r="R598">
        <v>10.209852842936536</v>
      </c>
    </row>
    <row r="599" spans="18:18" x14ac:dyDescent="0.25">
      <c r="R599">
        <v>16.232371347917852</v>
      </c>
    </row>
    <row r="600" spans="18:18" x14ac:dyDescent="0.25">
      <c r="R600">
        <v>7.9619189955915797</v>
      </c>
    </row>
    <row r="601" spans="18:18" x14ac:dyDescent="0.25">
      <c r="R601">
        <v>4.1368118581608488</v>
      </c>
    </row>
    <row r="602" spans="18:18" x14ac:dyDescent="0.25">
      <c r="R602">
        <v>24.510622131121824</v>
      </c>
    </row>
    <row r="603" spans="18:18" x14ac:dyDescent="0.25">
      <c r="R603">
        <v>50.937405990252152</v>
      </c>
    </row>
    <row r="604" spans="18:18" x14ac:dyDescent="0.25">
      <c r="R604">
        <v>35.28528670072069</v>
      </c>
    </row>
    <row r="605" spans="18:18" x14ac:dyDescent="0.25">
      <c r="R605">
        <v>52.715255598567978</v>
      </c>
    </row>
    <row r="606" spans="18:18" x14ac:dyDescent="0.25">
      <c r="R606">
        <v>17.333719453176926</v>
      </c>
    </row>
    <row r="607" spans="18:18" x14ac:dyDescent="0.25">
      <c r="R607">
        <v>28.175930466366747</v>
      </c>
    </row>
    <row r="608" spans="18:18" x14ac:dyDescent="0.25">
      <c r="R608">
        <v>7.8935249643215561</v>
      </c>
    </row>
    <row r="609" spans="18:18" x14ac:dyDescent="0.25">
      <c r="R609">
        <v>43.148886724378208</v>
      </c>
    </row>
    <row r="610" spans="18:18" x14ac:dyDescent="0.25">
      <c r="R610">
        <v>18.770732392823206</v>
      </c>
    </row>
    <row r="611" spans="18:18" x14ac:dyDescent="0.25">
      <c r="R611">
        <v>28.969086854053693</v>
      </c>
    </row>
    <row r="612" spans="18:18" x14ac:dyDescent="0.25">
      <c r="R612">
        <v>72.897504444111604</v>
      </c>
    </row>
    <row r="613" spans="18:18" x14ac:dyDescent="0.25">
      <c r="R613">
        <v>73.626324260076473</v>
      </c>
    </row>
    <row r="614" spans="18:18" x14ac:dyDescent="0.25">
      <c r="R614">
        <v>42.123007758113381</v>
      </c>
    </row>
    <row r="615" spans="18:18" x14ac:dyDescent="0.25">
      <c r="R615">
        <v>38.123460026017121</v>
      </c>
    </row>
    <row r="616" spans="18:18" x14ac:dyDescent="0.25">
      <c r="R616">
        <v>15.318791083270558</v>
      </c>
    </row>
    <row r="617" spans="18:18" x14ac:dyDescent="0.25">
      <c r="R617">
        <v>24.121325407715897</v>
      </c>
    </row>
    <row r="618" spans="18:18" x14ac:dyDescent="0.25">
      <c r="R618">
        <v>14.146106951669802</v>
      </c>
    </row>
    <row r="619" spans="18:18" x14ac:dyDescent="0.25">
      <c r="R619">
        <v>24.834976996189962</v>
      </c>
    </row>
    <row r="620" spans="18:18" x14ac:dyDescent="0.25">
      <c r="R620">
        <v>19.980217713427177</v>
      </c>
    </row>
    <row r="621" spans="18:18" x14ac:dyDescent="0.25">
      <c r="R621">
        <v>29.346005269397551</v>
      </c>
    </row>
    <row r="622" spans="18:18" x14ac:dyDescent="0.25">
      <c r="R622">
        <v>2.1800242393990046</v>
      </c>
    </row>
    <row r="623" spans="18:18" x14ac:dyDescent="0.25">
      <c r="R623">
        <v>47.819282036095153</v>
      </c>
    </row>
    <row r="624" spans="18:18" x14ac:dyDescent="0.25">
      <c r="R624">
        <v>63.899405412720327</v>
      </c>
    </row>
    <row r="625" spans="18:18" x14ac:dyDescent="0.25">
      <c r="R625">
        <v>6.2355489669175235</v>
      </c>
    </row>
    <row r="626" spans="18:18" x14ac:dyDescent="0.25">
      <c r="R626">
        <v>56.195244225522444</v>
      </c>
    </row>
    <row r="627" spans="18:18" x14ac:dyDescent="0.25">
      <c r="R627">
        <v>21.462760689908745</v>
      </c>
    </row>
    <row r="628" spans="18:18" x14ac:dyDescent="0.25">
      <c r="R628">
        <v>2.6277462889428662</v>
      </c>
    </row>
    <row r="629" spans="18:18" x14ac:dyDescent="0.25">
      <c r="R629">
        <v>70.874597468293999</v>
      </c>
    </row>
    <row r="630" spans="18:18" x14ac:dyDescent="0.25">
      <c r="R630">
        <v>5.8304344517337263</v>
      </c>
    </row>
    <row r="631" spans="18:18" x14ac:dyDescent="0.25">
      <c r="R631">
        <v>18.907155020476488</v>
      </c>
    </row>
    <row r="632" spans="18:18" x14ac:dyDescent="0.25">
      <c r="R632">
        <v>10.472850160316005</v>
      </c>
    </row>
    <row r="633" spans="18:18" x14ac:dyDescent="0.25">
      <c r="R633">
        <v>8.5889799768524089</v>
      </c>
    </row>
    <row r="634" spans="18:18" x14ac:dyDescent="0.25">
      <c r="R634">
        <v>26.910437214005501</v>
      </c>
    </row>
    <row r="635" spans="18:18" x14ac:dyDescent="0.25">
      <c r="R635">
        <v>2.2701260418964404</v>
      </c>
    </row>
    <row r="636" spans="18:18" x14ac:dyDescent="0.25">
      <c r="R636">
        <v>75.814423893303371</v>
      </c>
    </row>
    <row r="637" spans="18:18" x14ac:dyDescent="0.25">
      <c r="R637">
        <v>12.305886443044333</v>
      </c>
    </row>
    <row r="638" spans="18:18" x14ac:dyDescent="0.25">
      <c r="R638">
        <v>5.098655520362982</v>
      </c>
    </row>
    <row r="639" spans="18:18" x14ac:dyDescent="0.25">
      <c r="R639">
        <v>51.337083333774828</v>
      </c>
    </row>
    <row r="640" spans="18:18" x14ac:dyDescent="0.25">
      <c r="R640">
        <v>11.503344652332862</v>
      </c>
    </row>
    <row r="641" spans="18:18" x14ac:dyDescent="0.25">
      <c r="R641">
        <v>55.559407160162472</v>
      </c>
    </row>
    <row r="642" spans="18:18" x14ac:dyDescent="0.25">
      <c r="R642">
        <v>4.1699956494395467</v>
      </c>
    </row>
    <row r="643" spans="18:18" x14ac:dyDescent="0.25">
      <c r="R643">
        <v>10.42093730732863</v>
      </c>
    </row>
    <row r="644" spans="18:18" x14ac:dyDescent="0.25">
      <c r="R644">
        <v>15.74683501756585</v>
      </c>
    </row>
    <row r="645" spans="18:18" x14ac:dyDescent="0.25">
      <c r="R645">
        <v>68.404400892686752</v>
      </c>
    </row>
    <row r="646" spans="18:18" x14ac:dyDescent="0.25">
      <c r="R646">
        <v>10.135305333011349</v>
      </c>
    </row>
    <row r="647" spans="18:18" x14ac:dyDescent="0.25">
      <c r="R647">
        <v>5.4676148971851832</v>
      </c>
    </row>
    <row r="648" spans="18:18" x14ac:dyDescent="0.25">
      <c r="R648">
        <v>25.144416734324846</v>
      </c>
    </row>
    <row r="649" spans="18:18" x14ac:dyDescent="0.25">
      <c r="R649">
        <v>43.65956937174127</v>
      </c>
    </row>
    <row r="650" spans="18:18" x14ac:dyDescent="0.25">
      <c r="R650">
        <v>112.03774750866307</v>
      </c>
    </row>
    <row r="651" spans="18:18" x14ac:dyDescent="0.25">
      <c r="R651">
        <v>77.803050484049621</v>
      </c>
    </row>
    <row r="652" spans="18:18" x14ac:dyDescent="0.25">
      <c r="R652">
        <v>0.63547658383343641</v>
      </c>
    </row>
    <row r="653" spans="18:18" x14ac:dyDescent="0.25">
      <c r="R653">
        <v>30.652106863430184</v>
      </c>
    </row>
    <row r="654" spans="18:18" x14ac:dyDescent="0.25">
      <c r="R654">
        <v>47.998785775590662</v>
      </c>
    </row>
    <row r="655" spans="18:18" x14ac:dyDescent="0.25">
      <c r="R655">
        <v>2.6243668400164086</v>
      </c>
    </row>
    <row r="656" spans="18:18" x14ac:dyDescent="0.25">
      <c r="R656">
        <v>9.3766618938902351</v>
      </c>
    </row>
    <row r="657" spans="18:18" x14ac:dyDescent="0.25">
      <c r="R657">
        <v>34.371698196519084</v>
      </c>
    </row>
    <row r="658" spans="18:18" x14ac:dyDescent="0.25">
      <c r="R658">
        <v>3.1181064702225241</v>
      </c>
    </row>
    <row r="659" spans="18:18" x14ac:dyDescent="0.25">
      <c r="R659">
        <v>5.1203904256899202</v>
      </c>
    </row>
    <row r="660" spans="18:18" x14ac:dyDescent="0.25">
      <c r="R660">
        <v>2.4630523959020709</v>
      </c>
    </row>
    <row r="661" spans="18:18" x14ac:dyDescent="0.25">
      <c r="R661">
        <v>20.157399373678732</v>
      </c>
    </row>
    <row r="662" spans="18:18" x14ac:dyDescent="0.25">
      <c r="R662">
        <v>12.133030122137528</v>
      </c>
    </row>
    <row r="663" spans="18:18" x14ac:dyDescent="0.25">
      <c r="R663">
        <v>25.224794351668368</v>
      </c>
    </row>
    <row r="664" spans="18:18" x14ac:dyDescent="0.25">
      <c r="R664">
        <v>19.411103355336966</v>
      </c>
    </row>
    <row r="665" spans="18:18" x14ac:dyDescent="0.25">
      <c r="R665">
        <v>12.566223541692143</v>
      </c>
    </row>
    <row r="666" spans="18:18" x14ac:dyDescent="0.25">
      <c r="R666">
        <v>2.6645911857778608</v>
      </c>
    </row>
    <row r="667" spans="18:18" x14ac:dyDescent="0.25">
      <c r="R667">
        <v>6.5088844077354526</v>
      </c>
    </row>
    <row r="668" spans="18:18" x14ac:dyDescent="0.25">
      <c r="R668">
        <v>50.072960017845446</v>
      </c>
    </row>
    <row r="669" spans="18:18" x14ac:dyDescent="0.25">
      <c r="R669">
        <v>34.790652996351128</v>
      </c>
    </row>
    <row r="670" spans="18:18" x14ac:dyDescent="0.25">
      <c r="R670">
        <v>93.843044209551181</v>
      </c>
    </row>
    <row r="671" spans="18:18" x14ac:dyDescent="0.25">
      <c r="R671">
        <v>3.5999665862823957</v>
      </c>
    </row>
    <row r="672" spans="18:18" x14ac:dyDescent="0.25">
      <c r="R672">
        <v>11.23377541757883</v>
      </c>
    </row>
    <row r="673" spans="18:18" x14ac:dyDescent="0.25">
      <c r="R673">
        <v>17.460083477925735</v>
      </c>
    </row>
    <row r="674" spans="18:18" x14ac:dyDescent="0.25">
      <c r="R674">
        <v>18.814663568944226</v>
      </c>
    </row>
    <row r="675" spans="18:18" x14ac:dyDescent="0.25">
      <c r="R675">
        <v>73.524602618911345</v>
      </c>
    </row>
    <row r="676" spans="18:18" x14ac:dyDescent="0.25">
      <c r="R676">
        <v>2.8555568430658194</v>
      </c>
    </row>
    <row r="677" spans="18:18" x14ac:dyDescent="0.25">
      <c r="R677">
        <v>22.276481988134378</v>
      </c>
    </row>
    <row r="678" spans="18:18" x14ac:dyDescent="0.25">
      <c r="R678">
        <v>3.3823755848794295</v>
      </c>
    </row>
    <row r="679" spans="18:18" x14ac:dyDescent="0.25">
      <c r="R679">
        <v>1.3058424637927835</v>
      </c>
    </row>
    <row r="680" spans="18:18" x14ac:dyDescent="0.25">
      <c r="R680">
        <v>38.479144212415271</v>
      </c>
    </row>
    <row r="681" spans="18:18" x14ac:dyDescent="0.25">
      <c r="R681">
        <v>12.540863928160773</v>
      </c>
    </row>
    <row r="682" spans="18:18" x14ac:dyDescent="0.25">
      <c r="R682">
        <v>20.46385194556759</v>
      </c>
    </row>
    <row r="683" spans="18:18" x14ac:dyDescent="0.25">
      <c r="R683">
        <v>6.1640514895648897</v>
      </c>
    </row>
    <row r="684" spans="18:18" x14ac:dyDescent="0.25">
      <c r="R684">
        <v>28.039502621378166</v>
      </c>
    </row>
    <row r="685" spans="18:18" x14ac:dyDescent="0.25">
      <c r="R685">
        <v>10.705491160202149</v>
      </c>
    </row>
    <row r="686" spans="18:18" x14ac:dyDescent="0.25">
      <c r="R686">
        <v>154.00833444605956</v>
      </c>
    </row>
    <row r="687" spans="18:18" x14ac:dyDescent="0.25">
      <c r="R687">
        <v>6.0638314743465536</v>
      </c>
    </row>
    <row r="688" spans="18:18" x14ac:dyDescent="0.25">
      <c r="R688">
        <v>21.471807939363373</v>
      </c>
    </row>
    <row r="689" spans="18:18" x14ac:dyDescent="0.25">
      <c r="R689">
        <v>71.733146764881937</v>
      </c>
    </row>
    <row r="690" spans="18:18" x14ac:dyDescent="0.25">
      <c r="R690">
        <v>38.95597852395445</v>
      </c>
    </row>
    <row r="691" spans="18:18" x14ac:dyDescent="0.25">
      <c r="R691">
        <v>30.101727220974791</v>
      </c>
    </row>
    <row r="692" spans="18:18" x14ac:dyDescent="0.25">
      <c r="R692">
        <v>31.102294050168833</v>
      </c>
    </row>
    <row r="693" spans="18:18" x14ac:dyDescent="0.25">
      <c r="R693">
        <v>7.7734038856682721</v>
      </c>
    </row>
    <row r="694" spans="18:18" x14ac:dyDescent="0.25">
      <c r="R694">
        <v>7.4056151050368948</v>
      </c>
    </row>
    <row r="695" spans="18:18" x14ac:dyDescent="0.25">
      <c r="R695">
        <v>20.220094440531103</v>
      </c>
    </row>
    <row r="696" spans="18:18" x14ac:dyDescent="0.25">
      <c r="R696">
        <v>12.366692176658473</v>
      </c>
    </row>
    <row r="697" spans="18:18" x14ac:dyDescent="0.25">
      <c r="R697">
        <v>20.914973017558005</v>
      </c>
    </row>
    <row r="698" spans="18:18" x14ac:dyDescent="0.25">
      <c r="R698">
        <v>20.771930892640022</v>
      </c>
    </row>
    <row r="699" spans="18:18" x14ac:dyDescent="0.25">
      <c r="R699">
        <v>67.888870183392001</v>
      </c>
    </row>
    <row r="700" spans="18:18" x14ac:dyDescent="0.25">
      <c r="R700">
        <v>63.429131684217715</v>
      </c>
    </row>
    <row r="701" spans="18:18" x14ac:dyDescent="0.25">
      <c r="R701">
        <v>14.592718586522491</v>
      </c>
    </row>
    <row r="702" spans="18:18" x14ac:dyDescent="0.25">
      <c r="R702">
        <v>6.6321334103168486</v>
      </c>
    </row>
    <row r="703" spans="18:18" x14ac:dyDescent="0.25">
      <c r="R703">
        <v>19.818140662114509</v>
      </c>
    </row>
    <row r="704" spans="18:18" x14ac:dyDescent="0.25">
      <c r="R704">
        <v>24.072728916932526</v>
      </c>
    </row>
    <row r="705" spans="18:18" x14ac:dyDescent="0.25">
      <c r="R705">
        <v>16.398574214953872</v>
      </c>
    </row>
    <row r="706" spans="18:18" x14ac:dyDescent="0.25">
      <c r="R706">
        <v>2.6750117614630247</v>
      </c>
    </row>
    <row r="707" spans="18:18" x14ac:dyDescent="0.25">
      <c r="R707">
        <v>19.855676952065146</v>
      </c>
    </row>
    <row r="708" spans="18:18" x14ac:dyDescent="0.25">
      <c r="R708">
        <v>9.5842131033091942</v>
      </c>
    </row>
    <row r="709" spans="18:18" x14ac:dyDescent="0.25">
      <c r="R709">
        <v>22.924229765348798</v>
      </c>
    </row>
    <row r="710" spans="18:18" x14ac:dyDescent="0.25">
      <c r="R710">
        <v>2.2413986713823291</v>
      </c>
    </row>
    <row r="711" spans="18:18" x14ac:dyDescent="0.25">
      <c r="R711">
        <v>17.055489463335672</v>
      </c>
    </row>
    <row r="712" spans="18:18" x14ac:dyDescent="0.25">
      <c r="R712">
        <v>44.346405852622837</v>
      </c>
    </row>
    <row r="713" spans="18:18" x14ac:dyDescent="0.25">
      <c r="R713">
        <v>39.281800417986993</v>
      </c>
    </row>
    <row r="714" spans="18:18" x14ac:dyDescent="0.25">
      <c r="R714">
        <v>12.131972605602735</v>
      </c>
    </row>
    <row r="715" spans="18:18" x14ac:dyDescent="0.25">
      <c r="R715">
        <v>0.18560653007792499</v>
      </c>
    </row>
    <row r="716" spans="18:18" x14ac:dyDescent="0.25">
      <c r="R716">
        <v>5.55041255416777</v>
      </c>
    </row>
    <row r="717" spans="18:18" x14ac:dyDescent="0.25">
      <c r="R717">
        <v>28.916677292406121</v>
      </c>
    </row>
    <row r="718" spans="18:18" x14ac:dyDescent="0.25">
      <c r="R718">
        <v>1.9452395719245361</v>
      </c>
    </row>
    <row r="719" spans="18:18" x14ac:dyDescent="0.25">
      <c r="R719">
        <v>44.546863479453521</v>
      </c>
    </row>
    <row r="720" spans="18:18" x14ac:dyDescent="0.25">
      <c r="R720">
        <v>23.703792295687975</v>
      </c>
    </row>
    <row r="721" spans="18:18" x14ac:dyDescent="0.25">
      <c r="R721">
        <v>48.575480581496031</v>
      </c>
    </row>
    <row r="722" spans="18:18" x14ac:dyDescent="0.25">
      <c r="R722">
        <v>2.7308080396641912</v>
      </c>
    </row>
    <row r="723" spans="18:18" x14ac:dyDescent="0.25">
      <c r="R723">
        <v>20.439180314566588</v>
      </c>
    </row>
    <row r="724" spans="18:18" x14ac:dyDescent="0.25">
      <c r="R724">
        <v>15.216830895952388</v>
      </c>
    </row>
    <row r="725" spans="18:18" x14ac:dyDescent="0.25">
      <c r="R725">
        <v>21.537204530743747</v>
      </c>
    </row>
    <row r="726" spans="18:18" x14ac:dyDescent="0.25">
      <c r="R726">
        <v>5.1396465691621245</v>
      </c>
    </row>
    <row r="727" spans="18:18" x14ac:dyDescent="0.25">
      <c r="R727">
        <v>8.1085938511288376</v>
      </c>
    </row>
    <row r="728" spans="18:18" x14ac:dyDescent="0.25">
      <c r="R728">
        <v>23.64216901706903</v>
      </c>
    </row>
    <row r="729" spans="18:18" x14ac:dyDescent="0.25">
      <c r="R729">
        <v>0.63699125513996491</v>
      </c>
    </row>
    <row r="730" spans="18:18" x14ac:dyDescent="0.25">
      <c r="R730">
        <v>24.191640647364824</v>
      </c>
    </row>
    <row r="731" spans="18:18" x14ac:dyDescent="0.25">
      <c r="R731">
        <v>34.887178389486031</v>
      </c>
    </row>
    <row r="732" spans="18:18" x14ac:dyDescent="0.25">
      <c r="R732">
        <v>54.421174294093419</v>
      </c>
    </row>
    <row r="733" spans="18:18" x14ac:dyDescent="0.25">
      <c r="R733">
        <v>47.138548876813026</v>
      </c>
    </row>
    <row r="734" spans="18:18" x14ac:dyDescent="0.25">
      <c r="R734">
        <v>1.5547647138408862</v>
      </c>
    </row>
    <row r="735" spans="18:18" x14ac:dyDescent="0.25">
      <c r="R735">
        <v>24.859985257486457</v>
      </c>
    </row>
    <row r="736" spans="18:18" x14ac:dyDescent="0.25">
      <c r="R736">
        <v>5.7846857858739442</v>
      </c>
    </row>
    <row r="737" spans="18:18" x14ac:dyDescent="0.25">
      <c r="R737">
        <v>12.257293446051234</v>
      </c>
    </row>
    <row r="738" spans="18:18" x14ac:dyDescent="0.25">
      <c r="R738">
        <v>14.202772624805341</v>
      </c>
    </row>
    <row r="739" spans="18:18" x14ac:dyDescent="0.25">
      <c r="R739">
        <v>4.8604874298052119</v>
      </c>
    </row>
    <row r="740" spans="18:18" x14ac:dyDescent="0.25">
      <c r="R740">
        <v>11.378820328931441</v>
      </c>
    </row>
    <row r="741" spans="18:18" x14ac:dyDescent="0.25">
      <c r="R741">
        <v>41.983270391815239</v>
      </c>
    </row>
    <row r="742" spans="18:18" x14ac:dyDescent="0.25">
      <c r="R742">
        <v>18.800863333767712</v>
      </c>
    </row>
    <row r="743" spans="18:18" x14ac:dyDescent="0.25">
      <c r="R743">
        <v>31.563370501105766</v>
      </c>
    </row>
    <row r="744" spans="18:18" x14ac:dyDescent="0.25">
      <c r="R744">
        <v>5.0653875338946923</v>
      </c>
    </row>
    <row r="745" spans="18:18" x14ac:dyDescent="0.25">
      <c r="R745">
        <v>96.97889511563767</v>
      </c>
    </row>
    <row r="746" spans="18:18" x14ac:dyDescent="0.25">
      <c r="R746">
        <v>11.288716810589541</v>
      </c>
    </row>
    <row r="747" spans="18:18" x14ac:dyDescent="0.25">
      <c r="R747">
        <v>1.5016896758118357</v>
      </c>
    </row>
    <row r="748" spans="18:18" x14ac:dyDescent="0.25">
      <c r="R748">
        <v>23.488907128329728</v>
      </c>
    </row>
    <row r="749" spans="18:18" x14ac:dyDescent="0.25">
      <c r="R749">
        <v>10.165581215692287</v>
      </c>
    </row>
    <row r="750" spans="18:18" x14ac:dyDescent="0.25">
      <c r="R750">
        <v>11.108656519618396</v>
      </c>
    </row>
    <row r="751" spans="18:18" x14ac:dyDescent="0.25">
      <c r="R751">
        <v>19.958978548050062</v>
      </c>
    </row>
    <row r="752" spans="18:18" x14ac:dyDescent="0.25">
      <c r="R752">
        <v>39.497553606116007</v>
      </c>
    </row>
    <row r="753" spans="18:18" x14ac:dyDescent="0.25">
      <c r="R753">
        <v>4.5922060045783324</v>
      </c>
    </row>
    <row r="754" spans="18:18" x14ac:dyDescent="0.25">
      <c r="R754">
        <v>22.399109692062627</v>
      </c>
    </row>
    <row r="755" spans="18:18" x14ac:dyDescent="0.25">
      <c r="R755">
        <v>21.228506013203511</v>
      </c>
    </row>
    <row r="756" spans="18:18" x14ac:dyDescent="0.25">
      <c r="R756">
        <v>40.460847236088313</v>
      </c>
    </row>
    <row r="757" spans="18:18" x14ac:dyDescent="0.25">
      <c r="R757">
        <v>5.0065563442238368</v>
      </c>
    </row>
    <row r="758" spans="18:18" x14ac:dyDescent="0.25">
      <c r="R758">
        <v>18.668916290977329</v>
      </c>
    </row>
    <row r="759" spans="18:18" x14ac:dyDescent="0.25">
      <c r="R759">
        <v>2.4709722884150569</v>
      </c>
    </row>
    <row r="760" spans="18:18" x14ac:dyDescent="0.25">
      <c r="R760">
        <v>56.240412050551136</v>
      </c>
    </row>
    <row r="761" spans="18:18" x14ac:dyDescent="0.25">
      <c r="R761">
        <v>41.682228727608546</v>
      </c>
    </row>
    <row r="762" spans="18:18" x14ac:dyDescent="0.25">
      <c r="R762">
        <v>27.572261268964287</v>
      </c>
    </row>
    <row r="763" spans="18:18" x14ac:dyDescent="0.25">
      <c r="R763">
        <v>79.34341713646306</v>
      </c>
    </row>
    <row r="764" spans="18:18" x14ac:dyDescent="0.25">
      <c r="R764">
        <v>103.91084606128358</v>
      </c>
    </row>
    <row r="765" spans="18:18" x14ac:dyDescent="0.25">
      <c r="R765">
        <v>36.951126365623779</v>
      </c>
    </row>
    <row r="766" spans="18:18" x14ac:dyDescent="0.25">
      <c r="R766">
        <v>2.0101679632632137</v>
      </c>
    </row>
    <row r="767" spans="18:18" x14ac:dyDescent="0.25">
      <c r="R767">
        <v>8.5081109075622976</v>
      </c>
    </row>
    <row r="768" spans="18:18" x14ac:dyDescent="0.25">
      <c r="R768">
        <v>32.311340145133485</v>
      </c>
    </row>
    <row r="769" spans="18:18" x14ac:dyDescent="0.25">
      <c r="R769">
        <v>5.348607691946178</v>
      </c>
    </row>
    <row r="770" spans="18:18" x14ac:dyDescent="0.25">
      <c r="R770">
        <v>49.02295753403439</v>
      </c>
    </row>
    <row r="771" spans="18:18" x14ac:dyDescent="0.25">
      <c r="R771">
        <v>2.8338908501080593</v>
      </c>
    </row>
    <row r="772" spans="18:18" x14ac:dyDescent="0.25">
      <c r="R772">
        <v>8.0680073587560468</v>
      </c>
    </row>
    <row r="773" spans="18:18" x14ac:dyDescent="0.25">
      <c r="R773">
        <v>11.084671211909791</v>
      </c>
    </row>
    <row r="774" spans="18:18" x14ac:dyDescent="0.25">
      <c r="R774">
        <v>4.5755212599156367</v>
      </c>
    </row>
    <row r="775" spans="18:18" x14ac:dyDescent="0.25">
      <c r="R775">
        <v>20.029676930265005</v>
      </c>
    </row>
    <row r="776" spans="18:18" x14ac:dyDescent="0.25">
      <c r="R776">
        <v>28.21044172576055</v>
      </c>
    </row>
    <row r="777" spans="18:18" x14ac:dyDescent="0.25">
      <c r="R777">
        <v>1.2317715187916383</v>
      </c>
    </row>
    <row r="778" spans="18:18" x14ac:dyDescent="0.25">
      <c r="R778">
        <v>65.996162140834485</v>
      </c>
    </row>
    <row r="779" spans="18:18" x14ac:dyDescent="0.25">
      <c r="R779">
        <v>14.017754450560496</v>
      </c>
    </row>
    <row r="780" spans="18:18" x14ac:dyDescent="0.25">
      <c r="R780">
        <v>34.628949205072914</v>
      </c>
    </row>
    <row r="781" spans="18:18" x14ac:dyDescent="0.25">
      <c r="R781">
        <v>15.846698191180424</v>
      </c>
    </row>
    <row r="782" spans="18:18" x14ac:dyDescent="0.25">
      <c r="R782">
        <v>8.4126695912137119</v>
      </c>
    </row>
    <row r="783" spans="18:18" x14ac:dyDescent="0.25">
      <c r="R783">
        <v>0.27408034311705309</v>
      </c>
    </row>
    <row r="784" spans="18:18" x14ac:dyDescent="0.25">
      <c r="R784">
        <v>89.893650612545116</v>
      </c>
    </row>
    <row r="785" spans="18:18" x14ac:dyDescent="0.25">
      <c r="R785">
        <v>92.648785769921034</v>
      </c>
    </row>
    <row r="786" spans="18:18" x14ac:dyDescent="0.25">
      <c r="R786">
        <v>17.843351825430254</v>
      </c>
    </row>
    <row r="787" spans="18:18" x14ac:dyDescent="0.25">
      <c r="R787">
        <v>27.261710295461729</v>
      </c>
    </row>
    <row r="788" spans="18:18" x14ac:dyDescent="0.25">
      <c r="R788">
        <v>0.16157433105920785</v>
      </c>
    </row>
    <row r="789" spans="18:18" x14ac:dyDescent="0.25">
      <c r="R789">
        <v>3.8037766904592583</v>
      </c>
    </row>
    <row r="790" spans="18:18" x14ac:dyDescent="0.25">
      <c r="R790">
        <v>3.9578945980937261</v>
      </c>
    </row>
    <row r="791" spans="18:18" x14ac:dyDescent="0.25">
      <c r="R791">
        <v>20.502906403730627</v>
      </c>
    </row>
    <row r="792" spans="18:18" x14ac:dyDescent="0.25">
      <c r="R792">
        <v>27.038725959421427</v>
      </c>
    </row>
    <row r="793" spans="18:18" x14ac:dyDescent="0.25">
      <c r="R793">
        <v>4.2431781848610672</v>
      </c>
    </row>
    <row r="794" spans="18:18" x14ac:dyDescent="0.25">
      <c r="R794">
        <v>51.392950013670685</v>
      </c>
    </row>
    <row r="795" spans="18:18" x14ac:dyDescent="0.25">
      <c r="R795">
        <v>22.06662565961355</v>
      </c>
    </row>
    <row r="796" spans="18:18" x14ac:dyDescent="0.25">
      <c r="R796">
        <v>2.5036801403126842E-2</v>
      </c>
    </row>
    <row r="797" spans="18:18" x14ac:dyDescent="0.25">
      <c r="R797">
        <v>3.5302427245426777</v>
      </c>
    </row>
    <row r="798" spans="18:18" x14ac:dyDescent="0.25">
      <c r="R798">
        <v>7.9889378163125961</v>
      </c>
    </row>
    <row r="799" spans="18:18" x14ac:dyDescent="0.25">
      <c r="R799">
        <v>87.186597323583797</v>
      </c>
    </row>
    <row r="800" spans="18:18" x14ac:dyDescent="0.25">
      <c r="R800">
        <v>38.450773352330785</v>
      </c>
    </row>
    <row r="801" spans="18:18" x14ac:dyDescent="0.25">
      <c r="R801">
        <v>14.365474507211394</v>
      </c>
    </row>
    <row r="802" spans="18:18" x14ac:dyDescent="0.25">
      <c r="R802">
        <v>57.945656168897017</v>
      </c>
    </row>
    <row r="803" spans="18:18" x14ac:dyDescent="0.25">
      <c r="R803">
        <v>7.8431119924681036</v>
      </c>
    </row>
    <row r="804" spans="18:18" x14ac:dyDescent="0.25">
      <c r="R804">
        <v>31.841340051026418</v>
      </c>
    </row>
    <row r="805" spans="18:18" x14ac:dyDescent="0.25">
      <c r="R805">
        <v>32.678645895080344</v>
      </c>
    </row>
    <row r="806" spans="18:18" x14ac:dyDescent="0.25">
      <c r="R806">
        <v>59.121150418686938</v>
      </c>
    </row>
    <row r="807" spans="18:18" x14ac:dyDescent="0.25">
      <c r="R807">
        <v>2.7829928597644096</v>
      </c>
    </row>
    <row r="808" spans="18:18" x14ac:dyDescent="0.25">
      <c r="R808">
        <v>24.492073292104479</v>
      </c>
    </row>
    <row r="809" spans="18:18" x14ac:dyDescent="0.25">
      <c r="R809">
        <v>21.226478459568824</v>
      </c>
    </row>
    <row r="810" spans="18:18" x14ac:dyDescent="0.25">
      <c r="R810">
        <v>13.216870330765518</v>
      </c>
    </row>
    <row r="811" spans="18:18" x14ac:dyDescent="0.25">
      <c r="R811">
        <v>20.517926971125362</v>
      </c>
    </row>
    <row r="812" spans="18:18" x14ac:dyDescent="0.25">
      <c r="R812">
        <v>41.351410805197816</v>
      </c>
    </row>
    <row r="813" spans="18:18" x14ac:dyDescent="0.25">
      <c r="R813">
        <v>9.2653211774504971</v>
      </c>
    </row>
    <row r="814" spans="18:18" x14ac:dyDescent="0.25">
      <c r="R814">
        <v>69.719991134477155</v>
      </c>
    </row>
    <row r="815" spans="18:18" x14ac:dyDescent="0.25">
      <c r="R815">
        <v>15.92575893328123</v>
      </c>
    </row>
    <row r="816" spans="18:18" x14ac:dyDescent="0.25">
      <c r="R816">
        <v>11.141406623428994</v>
      </c>
    </row>
    <row r="817" spans="18:18" x14ac:dyDescent="0.25">
      <c r="R817">
        <v>2.5749318358593389</v>
      </c>
    </row>
    <row r="818" spans="18:18" x14ac:dyDescent="0.25">
      <c r="R818">
        <v>28.814600487657518</v>
      </c>
    </row>
    <row r="819" spans="18:18" x14ac:dyDescent="0.25">
      <c r="R819">
        <v>32.282465760421253</v>
      </c>
    </row>
    <row r="820" spans="18:18" x14ac:dyDescent="0.25">
      <c r="R820">
        <v>31.479235715544693</v>
      </c>
    </row>
    <row r="821" spans="18:18" x14ac:dyDescent="0.25">
      <c r="R821">
        <v>20.792059164053232</v>
      </c>
    </row>
    <row r="822" spans="18:18" x14ac:dyDescent="0.25">
      <c r="R822">
        <v>8.7932904715929983</v>
      </c>
    </row>
    <row r="823" spans="18:18" x14ac:dyDescent="0.25">
      <c r="R823">
        <v>13.127029251053306</v>
      </c>
    </row>
    <row r="824" spans="18:18" x14ac:dyDescent="0.25">
      <c r="R824">
        <v>57.727301980562544</v>
      </c>
    </row>
    <row r="825" spans="18:18" x14ac:dyDescent="0.25">
      <c r="R825">
        <v>24.753323281513783</v>
      </c>
    </row>
    <row r="826" spans="18:18" x14ac:dyDescent="0.25">
      <c r="R826">
        <v>44.421629084610458</v>
      </c>
    </row>
    <row r="827" spans="18:18" x14ac:dyDescent="0.25">
      <c r="R827">
        <v>14.989261647837999</v>
      </c>
    </row>
    <row r="828" spans="18:18" x14ac:dyDescent="0.25">
      <c r="R828">
        <v>15.001440225021001</v>
      </c>
    </row>
    <row r="829" spans="18:18" x14ac:dyDescent="0.25">
      <c r="R829">
        <v>28.238894313991324</v>
      </c>
    </row>
    <row r="830" spans="18:18" x14ac:dyDescent="0.25">
      <c r="R830">
        <v>2.0676778416423187</v>
      </c>
    </row>
    <row r="831" spans="18:18" x14ac:dyDescent="0.25">
      <c r="R831">
        <v>34.077359219505915</v>
      </c>
    </row>
    <row r="832" spans="18:18" x14ac:dyDescent="0.25">
      <c r="R832">
        <v>12.623209160682228</v>
      </c>
    </row>
    <row r="833" spans="18:18" x14ac:dyDescent="0.25">
      <c r="R833">
        <v>16.126338824939292</v>
      </c>
    </row>
    <row r="834" spans="18:18" x14ac:dyDescent="0.25">
      <c r="R834">
        <v>30.681615912823485</v>
      </c>
    </row>
    <row r="835" spans="18:18" x14ac:dyDescent="0.25">
      <c r="R835">
        <v>9.2982009024287322</v>
      </c>
    </row>
    <row r="836" spans="18:18" x14ac:dyDescent="0.25">
      <c r="R836">
        <v>17.8834374027671</v>
      </c>
    </row>
    <row r="837" spans="18:18" x14ac:dyDescent="0.25">
      <c r="R837">
        <v>86.601754383003353</v>
      </c>
    </row>
    <row r="838" spans="18:18" x14ac:dyDescent="0.25">
      <c r="R838">
        <v>30.577138763435766</v>
      </c>
    </row>
    <row r="839" spans="18:18" x14ac:dyDescent="0.25">
      <c r="R839">
        <v>2.4284458347270657</v>
      </c>
    </row>
    <row r="840" spans="18:18" x14ac:dyDescent="0.25">
      <c r="R840">
        <v>20.432847881170417</v>
      </c>
    </row>
    <row r="841" spans="18:18" x14ac:dyDescent="0.25">
      <c r="R841">
        <v>0.87934687005413936</v>
      </c>
    </row>
    <row r="842" spans="18:18" x14ac:dyDescent="0.25">
      <c r="R842">
        <v>22.330470946771928</v>
      </c>
    </row>
    <row r="843" spans="18:18" x14ac:dyDescent="0.25">
      <c r="R843">
        <v>38.122553972380089</v>
      </c>
    </row>
    <row r="844" spans="18:18" x14ac:dyDescent="0.25">
      <c r="R844">
        <v>22.678921973080829</v>
      </c>
    </row>
    <row r="845" spans="18:18" x14ac:dyDescent="0.25">
      <c r="R845">
        <v>2.797763636784123</v>
      </c>
    </row>
    <row r="846" spans="18:18" x14ac:dyDescent="0.25">
      <c r="R846">
        <v>44.592447880102597</v>
      </c>
    </row>
    <row r="847" spans="18:18" x14ac:dyDescent="0.25">
      <c r="R847">
        <v>24.723448488162788</v>
      </c>
    </row>
    <row r="848" spans="18:18" x14ac:dyDescent="0.25">
      <c r="R848">
        <v>32.489971745092916</v>
      </c>
    </row>
    <row r="849" spans="18:18" x14ac:dyDescent="0.25">
      <c r="R849">
        <v>11.848738230038155</v>
      </c>
    </row>
    <row r="850" spans="18:18" x14ac:dyDescent="0.25">
      <c r="R850">
        <v>4.2815845939793098</v>
      </c>
    </row>
    <row r="851" spans="18:18" x14ac:dyDescent="0.25">
      <c r="R851">
        <v>36.834668581395924</v>
      </c>
    </row>
    <row r="852" spans="18:18" x14ac:dyDescent="0.25">
      <c r="R852">
        <v>47.729064530179052</v>
      </c>
    </row>
    <row r="853" spans="18:18" x14ac:dyDescent="0.25">
      <c r="R853">
        <v>2.8790414408303708</v>
      </c>
    </row>
    <row r="854" spans="18:18" x14ac:dyDescent="0.25">
      <c r="R854">
        <v>7.0066592025641148</v>
      </c>
    </row>
    <row r="855" spans="18:18" x14ac:dyDescent="0.25">
      <c r="R855">
        <v>3.2379848137807516</v>
      </c>
    </row>
    <row r="856" spans="18:18" x14ac:dyDescent="0.25">
      <c r="R856">
        <v>2.8771710939185313</v>
      </c>
    </row>
    <row r="857" spans="18:18" x14ac:dyDescent="0.25">
      <c r="R857">
        <v>24.745125959569581</v>
      </c>
    </row>
    <row r="858" spans="18:18" x14ac:dyDescent="0.25">
      <c r="R858">
        <v>65.635415214596847</v>
      </c>
    </row>
    <row r="859" spans="18:18" x14ac:dyDescent="0.25">
      <c r="R859">
        <v>111.0895274110328</v>
      </c>
    </row>
    <row r="860" spans="18:18" x14ac:dyDescent="0.25">
      <c r="R860">
        <v>4.5550982334116297</v>
      </c>
    </row>
    <row r="861" spans="18:18" x14ac:dyDescent="0.25">
      <c r="R861">
        <v>3.0580200679165634</v>
      </c>
    </row>
    <row r="862" spans="18:18" x14ac:dyDescent="0.25">
      <c r="R862">
        <v>23.861362656167728</v>
      </c>
    </row>
    <row r="863" spans="18:18" x14ac:dyDescent="0.25">
      <c r="R863">
        <v>22.686057100991974</v>
      </c>
    </row>
    <row r="864" spans="18:18" x14ac:dyDescent="0.25">
      <c r="R864">
        <v>18.845137090413509</v>
      </c>
    </row>
    <row r="865" spans="18:18" x14ac:dyDescent="0.25">
      <c r="R865">
        <v>50.426598532076135</v>
      </c>
    </row>
    <row r="866" spans="18:18" x14ac:dyDescent="0.25">
      <c r="R866">
        <v>28.531316330300239</v>
      </c>
    </row>
    <row r="867" spans="18:18" x14ac:dyDescent="0.25">
      <c r="R867">
        <v>18.232418655954316</v>
      </c>
    </row>
    <row r="868" spans="18:18" x14ac:dyDescent="0.25">
      <c r="R868">
        <v>8.234213837741958</v>
      </c>
    </row>
    <row r="869" spans="18:18" x14ac:dyDescent="0.25">
      <c r="R869">
        <v>7.1158676187659298</v>
      </c>
    </row>
    <row r="870" spans="18:18" x14ac:dyDescent="0.25">
      <c r="R870">
        <v>6.7624531662821044</v>
      </c>
    </row>
    <row r="871" spans="18:18" x14ac:dyDescent="0.25">
      <c r="R871">
        <v>73.21427807209173</v>
      </c>
    </row>
    <row r="872" spans="18:18" x14ac:dyDescent="0.25">
      <c r="R872">
        <v>16.873288410259484</v>
      </c>
    </row>
    <row r="873" spans="18:18" x14ac:dyDescent="0.25">
      <c r="R873">
        <v>9.8414059450982698</v>
      </c>
    </row>
    <row r="874" spans="18:18" x14ac:dyDescent="0.25">
      <c r="R874">
        <v>27.470864479368533</v>
      </c>
    </row>
    <row r="875" spans="18:18" x14ac:dyDescent="0.25">
      <c r="R875">
        <v>17.218473260567237</v>
      </c>
    </row>
    <row r="876" spans="18:18" x14ac:dyDescent="0.25">
      <c r="R876">
        <v>116.01031250862516</v>
      </c>
    </row>
    <row r="877" spans="18:18" x14ac:dyDescent="0.25">
      <c r="R877">
        <v>54.488055973652614</v>
      </c>
    </row>
    <row r="878" spans="18:18" x14ac:dyDescent="0.25">
      <c r="R878">
        <v>30.538727728529103</v>
      </c>
    </row>
    <row r="879" spans="18:18" x14ac:dyDescent="0.25">
      <c r="R879">
        <v>5.7761522160239291</v>
      </c>
    </row>
    <row r="880" spans="18:18" x14ac:dyDescent="0.25">
      <c r="R880">
        <v>6.2783735185924128</v>
      </c>
    </row>
    <row r="881" spans="18:18" x14ac:dyDescent="0.25">
      <c r="R881">
        <v>6.9488581025714202E-2</v>
      </c>
    </row>
    <row r="882" spans="18:18" x14ac:dyDescent="0.25">
      <c r="R882">
        <v>10.307614309908995</v>
      </c>
    </row>
    <row r="883" spans="18:18" x14ac:dyDescent="0.25">
      <c r="R883">
        <v>14.091347654335785</v>
      </c>
    </row>
    <row r="884" spans="18:18" x14ac:dyDescent="0.25">
      <c r="R884">
        <v>11.587823479872004</v>
      </c>
    </row>
    <row r="885" spans="18:18" x14ac:dyDescent="0.25">
      <c r="R885">
        <v>18.621991139723463</v>
      </c>
    </row>
    <row r="886" spans="18:18" x14ac:dyDescent="0.25">
      <c r="R886">
        <v>48.514479786612661</v>
      </c>
    </row>
    <row r="887" spans="18:18" x14ac:dyDescent="0.25">
      <c r="R887">
        <v>13.008059183966093</v>
      </c>
    </row>
    <row r="888" spans="18:18" x14ac:dyDescent="0.25">
      <c r="R888">
        <v>8.6319502281767519</v>
      </c>
    </row>
    <row r="889" spans="18:18" x14ac:dyDescent="0.25">
      <c r="R889">
        <v>26.016791816659246</v>
      </c>
    </row>
    <row r="890" spans="18:18" x14ac:dyDescent="0.25">
      <c r="R890">
        <v>14.114641890279895</v>
      </c>
    </row>
    <row r="891" spans="18:18" x14ac:dyDescent="0.25">
      <c r="R891">
        <v>32.274563690781605</v>
      </c>
    </row>
    <row r="892" spans="18:18" x14ac:dyDescent="0.25">
      <c r="R892">
        <v>0.55743576062927203</v>
      </c>
    </row>
    <row r="893" spans="18:18" x14ac:dyDescent="0.25">
      <c r="R893">
        <v>41.966834326791393</v>
      </c>
    </row>
    <row r="894" spans="18:18" x14ac:dyDescent="0.25">
      <c r="R894">
        <v>9.0428312385972376</v>
      </c>
    </row>
    <row r="895" spans="18:18" x14ac:dyDescent="0.25">
      <c r="R895">
        <v>41.787723329754904</v>
      </c>
    </row>
    <row r="896" spans="18:18" x14ac:dyDescent="0.25">
      <c r="R896">
        <v>5.8620485129560223</v>
      </c>
    </row>
    <row r="897" spans="18:18" x14ac:dyDescent="0.25">
      <c r="R897">
        <v>19.145417035773352</v>
      </c>
    </row>
    <row r="898" spans="18:18" x14ac:dyDescent="0.25">
      <c r="R898">
        <v>6.0434214810729774</v>
      </c>
    </row>
    <row r="899" spans="18:18" x14ac:dyDescent="0.25">
      <c r="R899">
        <v>31.072637720972978</v>
      </c>
    </row>
    <row r="900" spans="18:18" x14ac:dyDescent="0.25">
      <c r="R900">
        <v>33.315223991588717</v>
      </c>
    </row>
    <row r="901" spans="18:18" x14ac:dyDescent="0.25">
      <c r="R901">
        <v>3.6055163139208903</v>
      </c>
    </row>
    <row r="902" spans="18:18" x14ac:dyDescent="0.25">
      <c r="R902">
        <v>22.17822664153687</v>
      </c>
    </row>
    <row r="903" spans="18:18" x14ac:dyDescent="0.25">
      <c r="R903">
        <v>20.027759817366309</v>
      </c>
    </row>
    <row r="904" spans="18:18" x14ac:dyDescent="0.25">
      <c r="R904">
        <v>14.762479390494656</v>
      </c>
    </row>
    <row r="905" spans="18:18" x14ac:dyDescent="0.25">
      <c r="R905">
        <v>3.2369046719457288</v>
      </c>
    </row>
    <row r="906" spans="18:18" x14ac:dyDescent="0.25">
      <c r="R906">
        <v>31.71945917909871</v>
      </c>
    </row>
    <row r="907" spans="18:18" x14ac:dyDescent="0.25">
      <c r="R907">
        <v>20.999150178718203</v>
      </c>
    </row>
    <row r="908" spans="18:18" x14ac:dyDescent="0.25">
      <c r="R908">
        <v>24.67372392001468</v>
      </c>
    </row>
    <row r="909" spans="18:18" x14ac:dyDescent="0.25">
      <c r="R909">
        <v>68.504257477571585</v>
      </c>
    </row>
    <row r="910" spans="18:18" x14ac:dyDescent="0.25">
      <c r="R910">
        <v>27.954260594899999</v>
      </c>
    </row>
    <row r="911" spans="18:18" x14ac:dyDescent="0.25">
      <c r="R911">
        <v>23.383879200567304</v>
      </c>
    </row>
    <row r="912" spans="18:18" x14ac:dyDescent="0.25">
      <c r="R912">
        <v>37.37140443912353</v>
      </c>
    </row>
    <row r="913" spans="18:18" x14ac:dyDescent="0.25">
      <c r="R913">
        <v>4.5031716779168551</v>
      </c>
    </row>
    <row r="914" spans="18:18" x14ac:dyDescent="0.25">
      <c r="R914">
        <v>4.5525197546919651</v>
      </c>
    </row>
    <row r="915" spans="18:18" x14ac:dyDescent="0.25">
      <c r="R915">
        <v>55.309205746232244</v>
      </c>
    </row>
    <row r="916" spans="18:18" x14ac:dyDescent="0.25">
      <c r="R916">
        <v>1.1369310474819816</v>
      </c>
    </row>
    <row r="917" spans="18:18" x14ac:dyDescent="0.25">
      <c r="R917">
        <v>50.881375123199604</v>
      </c>
    </row>
    <row r="918" spans="18:18" x14ac:dyDescent="0.25">
      <c r="R918">
        <v>61.104875575689547</v>
      </c>
    </row>
    <row r="919" spans="18:18" x14ac:dyDescent="0.25">
      <c r="R919">
        <v>36.800863911217455</v>
      </c>
    </row>
    <row r="920" spans="18:18" x14ac:dyDescent="0.25">
      <c r="R920">
        <v>19.514984944516954</v>
      </c>
    </row>
    <row r="921" spans="18:18" x14ac:dyDescent="0.25">
      <c r="R921">
        <v>3.5188105598087147</v>
      </c>
    </row>
    <row r="922" spans="18:18" x14ac:dyDescent="0.25">
      <c r="R922">
        <v>21.267681831082488</v>
      </c>
    </row>
    <row r="923" spans="18:18" x14ac:dyDescent="0.25">
      <c r="R923">
        <v>35.983957920034491</v>
      </c>
    </row>
    <row r="924" spans="18:18" x14ac:dyDescent="0.25">
      <c r="R924">
        <v>31.506611951231431</v>
      </c>
    </row>
    <row r="925" spans="18:18" x14ac:dyDescent="0.25">
      <c r="R925">
        <v>16.130646800219054</v>
      </c>
    </row>
    <row r="926" spans="18:18" x14ac:dyDescent="0.25">
      <c r="R926">
        <v>3.5970670498744459</v>
      </c>
    </row>
    <row r="927" spans="18:18" x14ac:dyDescent="0.25">
      <c r="R927">
        <v>15.49130096489686</v>
      </c>
    </row>
    <row r="928" spans="18:18" x14ac:dyDescent="0.25">
      <c r="R928">
        <v>88.645578639971873</v>
      </c>
    </row>
    <row r="929" spans="18:18" x14ac:dyDescent="0.25">
      <c r="R929">
        <v>18.039126066311301</v>
      </c>
    </row>
    <row r="930" spans="18:18" x14ac:dyDescent="0.25">
      <c r="R930">
        <v>3.0959933082571958</v>
      </c>
    </row>
    <row r="931" spans="18:18" x14ac:dyDescent="0.25">
      <c r="R931">
        <v>14.393201785076576</v>
      </c>
    </row>
    <row r="932" spans="18:18" x14ac:dyDescent="0.25">
      <c r="R932">
        <v>3.3327126991415477</v>
      </c>
    </row>
    <row r="933" spans="18:18" x14ac:dyDescent="0.25">
      <c r="R933">
        <v>3.0252881398126434</v>
      </c>
    </row>
    <row r="934" spans="18:18" x14ac:dyDescent="0.25">
      <c r="R934">
        <v>25.552203714091092</v>
      </c>
    </row>
    <row r="935" spans="18:18" x14ac:dyDescent="0.25">
      <c r="R935">
        <v>23.028014569106279</v>
      </c>
    </row>
    <row r="936" spans="18:18" x14ac:dyDescent="0.25">
      <c r="R936">
        <v>14.380533907426985</v>
      </c>
    </row>
    <row r="937" spans="18:18" x14ac:dyDescent="0.25">
      <c r="R937">
        <v>12.784467835248291</v>
      </c>
    </row>
    <row r="938" spans="18:18" x14ac:dyDescent="0.25">
      <c r="R938">
        <v>23.743851741441144</v>
      </c>
    </row>
    <row r="939" spans="18:18" x14ac:dyDescent="0.25">
      <c r="R939">
        <v>64.757291257536707</v>
      </c>
    </row>
    <row r="940" spans="18:18" x14ac:dyDescent="0.25">
      <c r="R940">
        <v>3.1557998895430885</v>
      </c>
    </row>
    <row r="941" spans="18:18" x14ac:dyDescent="0.25">
      <c r="R941">
        <v>39.568846902663985</v>
      </c>
    </row>
    <row r="942" spans="18:18" x14ac:dyDescent="0.25">
      <c r="R942">
        <v>70.3755719035113</v>
      </c>
    </row>
    <row r="943" spans="18:18" x14ac:dyDescent="0.25">
      <c r="R943">
        <v>30.763822432143975</v>
      </c>
    </row>
    <row r="944" spans="18:18" x14ac:dyDescent="0.25">
      <c r="R944">
        <v>7.534099845818413</v>
      </c>
    </row>
    <row r="945" spans="18:18" x14ac:dyDescent="0.25">
      <c r="R945">
        <v>17.259888644733991</v>
      </c>
    </row>
    <row r="946" spans="18:18" x14ac:dyDescent="0.25">
      <c r="R946">
        <v>23.750890975838246</v>
      </c>
    </row>
    <row r="947" spans="18:18" x14ac:dyDescent="0.25">
      <c r="R947">
        <v>25.847717910688694</v>
      </c>
    </row>
    <row r="948" spans="18:18" x14ac:dyDescent="0.25">
      <c r="R948">
        <v>1.5638966401487928</v>
      </c>
    </row>
    <row r="949" spans="18:18" x14ac:dyDescent="0.25">
      <c r="R949">
        <v>100.62753667767882</v>
      </c>
    </row>
    <row r="950" spans="18:18" x14ac:dyDescent="0.25">
      <c r="R950">
        <v>29.747387395741605</v>
      </c>
    </row>
    <row r="951" spans="18:18" x14ac:dyDescent="0.25">
      <c r="R951">
        <v>99.699503966480293</v>
      </c>
    </row>
    <row r="952" spans="18:18" x14ac:dyDescent="0.25">
      <c r="R952">
        <v>32.131093333067902</v>
      </c>
    </row>
    <row r="953" spans="18:18" x14ac:dyDescent="0.25">
      <c r="R953">
        <v>5.4283554253581148</v>
      </c>
    </row>
    <row r="954" spans="18:18" x14ac:dyDescent="0.25">
      <c r="R954">
        <v>30.694606291668553</v>
      </c>
    </row>
    <row r="955" spans="18:18" x14ac:dyDescent="0.25">
      <c r="R955">
        <v>46.532408656884044</v>
      </c>
    </row>
    <row r="956" spans="18:18" x14ac:dyDescent="0.25">
      <c r="R956">
        <v>10.388074132437723</v>
      </c>
    </row>
    <row r="957" spans="18:18" x14ac:dyDescent="0.25">
      <c r="R957">
        <v>34.347041276591604</v>
      </c>
    </row>
    <row r="958" spans="18:18" x14ac:dyDescent="0.25">
      <c r="R958">
        <v>49.244288600024611</v>
      </c>
    </row>
    <row r="959" spans="18:18" x14ac:dyDescent="0.25">
      <c r="R959">
        <v>26.849837673463075</v>
      </c>
    </row>
    <row r="960" spans="18:18" x14ac:dyDescent="0.25">
      <c r="R960">
        <v>30.678492524218321</v>
      </c>
    </row>
    <row r="961" spans="18:18" x14ac:dyDescent="0.25">
      <c r="R961">
        <v>19.182896278799166</v>
      </c>
    </row>
    <row r="962" spans="18:18" x14ac:dyDescent="0.25">
      <c r="R962">
        <v>74.583230265358765</v>
      </c>
    </row>
    <row r="963" spans="18:18" x14ac:dyDescent="0.25">
      <c r="R963">
        <v>1.2317246523987266</v>
      </c>
    </row>
    <row r="964" spans="18:18" x14ac:dyDescent="0.25">
      <c r="R964">
        <v>30.201939366148078</v>
      </c>
    </row>
    <row r="965" spans="18:18" x14ac:dyDescent="0.25">
      <c r="R965">
        <v>7.3374254513352799</v>
      </c>
    </row>
    <row r="966" spans="18:18" x14ac:dyDescent="0.25">
      <c r="R966">
        <v>17.925326684349425</v>
      </c>
    </row>
    <row r="967" spans="18:18" x14ac:dyDescent="0.25">
      <c r="R967">
        <v>15.640764793454602</v>
      </c>
    </row>
    <row r="968" spans="18:18" x14ac:dyDescent="0.25">
      <c r="R968">
        <v>8.6781857960481705</v>
      </c>
    </row>
    <row r="969" spans="18:18" x14ac:dyDescent="0.25">
      <c r="R969">
        <v>108.92936578377865</v>
      </c>
    </row>
    <row r="970" spans="18:18" x14ac:dyDescent="0.25">
      <c r="R970">
        <v>13.865469778474804</v>
      </c>
    </row>
    <row r="971" spans="18:18" x14ac:dyDescent="0.25">
      <c r="R971">
        <v>80.910965511078828</v>
      </c>
    </row>
    <row r="972" spans="18:18" x14ac:dyDescent="0.25">
      <c r="R972">
        <v>40.993198884735072</v>
      </c>
    </row>
    <row r="973" spans="18:18" x14ac:dyDescent="0.25">
      <c r="R973">
        <v>67.513989530543512</v>
      </c>
    </row>
    <row r="974" spans="18:18" x14ac:dyDescent="0.25">
      <c r="R974">
        <v>0.16479357165808808</v>
      </c>
    </row>
    <row r="975" spans="18:18" x14ac:dyDescent="0.25">
      <c r="R975">
        <v>63.577699284120584</v>
      </c>
    </row>
    <row r="976" spans="18:18" x14ac:dyDescent="0.25">
      <c r="R976">
        <v>6.9224236533550734</v>
      </c>
    </row>
    <row r="977" spans="18:18" x14ac:dyDescent="0.25">
      <c r="R977">
        <v>8.2940060827815429</v>
      </c>
    </row>
    <row r="978" spans="18:18" x14ac:dyDescent="0.25">
      <c r="R978">
        <v>18.478013110928025</v>
      </c>
    </row>
    <row r="979" spans="18:18" x14ac:dyDescent="0.25">
      <c r="R979">
        <v>9.9740839886017341</v>
      </c>
    </row>
    <row r="980" spans="18:18" x14ac:dyDescent="0.25">
      <c r="R980">
        <v>28.02646839472796</v>
      </c>
    </row>
    <row r="981" spans="18:18" x14ac:dyDescent="0.25">
      <c r="R981">
        <v>53.319476220148786</v>
      </c>
    </row>
    <row r="982" spans="18:18" x14ac:dyDescent="0.25">
      <c r="R982">
        <v>16.605942420024146</v>
      </c>
    </row>
    <row r="983" spans="18:18" x14ac:dyDescent="0.25">
      <c r="R983">
        <v>9.2674458202644825</v>
      </c>
    </row>
    <row r="984" spans="18:18" x14ac:dyDescent="0.25">
      <c r="R984">
        <v>28.121189440548363</v>
      </c>
    </row>
    <row r="985" spans="18:18" x14ac:dyDescent="0.25">
      <c r="R985">
        <v>2.4002322788409831</v>
      </c>
    </row>
    <row r="986" spans="18:18" x14ac:dyDescent="0.25">
      <c r="R986">
        <v>8.3321066523038798</v>
      </c>
    </row>
    <row r="987" spans="18:18" x14ac:dyDescent="0.25">
      <c r="R987">
        <v>39.499716257680404</v>
      </c>
    </row>
    <row r="988" spans="18:18" x14ac:dyDescent="0.25">
      <c r="R988">
        <v>0.98096486112917647</v>
      </c>
    </row>
    <row r="989" spans="18:18" x14ac:dyDescent="0.25">
      <c r="R989">
        <v>21.238087223667236</v>
      </c>
    </row>
    <row r="990" spans="18:18" x14ac:dyDescent="0.25">
      <c r="R990">
        <v>14.084469256441546</v>
      </c>
    </row>
    <row r="991" spans="18:18" x14ac:dyDescent="0.25">
      <c r="R991">
        <v>11.65208138248399</v>
      </c>
    </row>
    <row r="992" spans="18:18" x14ac:dyDescent="0.25">
      <c r="R992">
        <v>75.195414901387096</v>
      </c>
    </row>
    <row r="993" spans="18:18" x14ac:dyDescent="0.25">
      <c r="R993">
        <v>11.887945916899113</v>
      </c>
    </row>
    <row r="994" spans="18:18" x14ac:dyDescent="0.25">
      <c r="R994">
        <v>20.714224162552579</v>
      </c>
    </row>
    <row r="995" spans="18:18" x14ac:dyDescent="0.25">
      <c r="R995">
        <v>8.1973628993174277</v>
      </c>
    </row>
    <row r="996" spans="18:18" x14ac:dyDescent="0.25">
      <c r="R996">
        <v>10.809849858736502</v>
      </c>
    </row>
    <row r="997" spans="18:18" x14ac:dyDescent="0.25">
      <c r="R997">
        <v>69.087811416580337</v>
      </c>
    </row>
    <row r="998" spans="18:18" x14ac:dyDescent="0.25">
      <c r="R998">
        <v>3.3953572582641001</v>
      </c>
    </row>
    <row r="999" spans="18:18" x14ac:dyDescent="0.25">
      <c r="R999">
        <v>13.069262071253466</v>
      </c>
    </row>
    <row r="1000" spans="18:18" x14ac:dyDescent="0.25">
      <c r="R1000">
        <v>4.2780429904267123</v>
      </c>
    </row>
    <row r="1001" spans="18:18" x14ac:dyDescent="0.25">
      <c r="R1001">
        <v>16.463656373388886</v>
      </c>
    </row>
    <row r="1002" spans="18:18" x14ac:dyDescent="0.25">
      <c r="R1002">
        <v>16.870884393444182</v>
      </c>
    </row>
    <row r="1003" spans="18:18" x14ac:dyDescent="0.25">
      <c r="R1003">
        <v>14.713920044404869</v>
      </c>
    </row>
    <row r="1004" spans="18:18" x14ac:dyDescent="0.25">
      <c r="R1004">
        <v>3.2442385879231974</v>
      </c>
    </row>
    <row r="1005" spans="18:18" x14ac:dyDescent="0.25">
      <c r="R1005">
        <v>26.554971423893292</v>
      </c>
    </row>
  </sheetData>
  <mergeCells count="1">
    <mergeCell ref="J2:N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V1005"/>
  <sheetViews>
    <sheetView topLeftCell="O1" workbookViewId="0">
      <selection activeCell="Z9" sqref="Z9"/>
    </sheetView>
  </sheetViews>
  <sheetFormatPr baseColWidth="10" defaultRowHeight="15" x14ac:dyDescent="0.25"/>
  <cols>
    <col min="7" max="7" width="22" bestFit="1" customWidth="1"/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22" x14ac:dyDescent="0.25">
      <c r="E2" t="s">
        <v>48</v>
      </c>
      <c r="J2" s="17" t="s">
        <v>36</v>
      </c>
      <c r="K2" s="17"/>
      <c r="L2" s="17"/>
      <c r="M2" s="17"/>
      <c r="N2" s="17"/>
    </row>
    <row r="3" spans="2:22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22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59</v>
      </c>
      <c r="R4" s="15" t="s">
        <v>62</v>
      </c>
    </row>
    <row r="5" spans="2:22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(J5-$H$7)^2/(($H$8-$H$7)*($H$9-$H$7))</f>
        <v>0</v>
      </c>
      <c r="O5">
        <f>ABS(M5-N5)</f>
        <v>2E-3</v>
      </c>
      <c r="P5">
        <f ca="1">IF(H10&gt;((H9-H7)/(H8-H7)),H8-SQRT((H8-H7)*(H8-H9)*(1-H10)),H7+SQRT((H10*(H8-H7)*(H9-H7))))</f>
        <v>23.810488220666116</v>
      </c>
      <c r="R5">
        <v>21.022877074817494</v>
      </c>
    </row>
    <row r="6" spans="2:22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(J6-$H$7)^2/(($H$8-$H$7)*($H$9-$H$7))</f>
        <v>3.0557952257693395E-3</v>
      </c>
      <c r="O6">
        <f t="shared" ref="O6:O69" si="2">ABS(M6-N6)</f>
        <v>9.4420477423066062E-4</v>
      </c>
      <c r="R6">
        <v>22.544393381157484</v>
      </c>
      <c r="U6" s="10" t="s">
        <v>33</v>
      </c>
      <c r="V6" s="10" t="s">
        <v>35</v>
      </c>
    </row>
    <row r="7" spans="2:22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1.9008949567747711E-2</v>
      </c>
      <c r="O7">
        <f t="shared" si="2"/>
        <v>1.3008949567747711E-2</v>
      </c>
      <c r="R7">
        <v>26.580020223887832</v>
      </c>
      <c r="U7" s="8">
        <v>14.726334631218755</v>
      </c>
      <c r="V7" s="8">
        <v>1</v>
      </c>
    </row>
    <row r="8" spans="2:22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3.0604899423099696E-2</v>
      </c>
      <c r="O8">
        <f t="shared" si="2"/>
        <v>2.2604899423099695E-2</v>
      </c>
      <c r="R8">
        <v>25.199091307044295</v>
      </c>
      <c r="U8" s="8">
        <v>15.282705577046434</v>
      </c>
      <c r="V8" s="8">
        <v>5</v>
      </c>
    </row>
    <row r="9" spans="2:22" x14ac:dyDescent="0.25">
      <c r="B9" s="7">
        <v>29.16</v>
      </c>
      <c r="D9" s="8" t="s">
        <v>21</v>
      </c>
      <c r="E9" s="8">
        <v>0.13643978616846866</v>
      </c>
      <c r="F9" s="13" t="s">
        <v>57</v>
      </c>
      <c r="G9" t="s">
        <v>11</v>
      </c>
      <c r="H9">
        <f>E11</f>
        <v>27.23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 t="shared" si="1"/>
        <v>4.3580926762421951E-2</v>
      </c>
      <c r="O9">
        <f t="shared" si="2"/>
        <v>3.3580926762421949E-2</v>
      </c>
      <c r="R9">
        <v>20.23013851265657</v>
      </c>
      <c r="U9" s="8">
        <v>15.839076522874112</v>
      </c>
      <c r="V9" s="8">
        <v>6</v>
      </c>
    </row>
    <row r="10" spans="2:22" ht="13.5" customHeight="1" x14ac:dyDescent="0.25">
      <c r="B10" s="7">
        <v>26.01</v>
      </c>
      <c r="D10" s="8" t="s">
        <v>22</v>
      </c>
      <c r="E10" s="8">
        <v>24.84</v>
      </c>
      <c r="F10" s="13" t="s">
        <v>64</v>
      </c>
      <c r="G10" s="18" t="s">
        <v>61</v>
      </c>
      <c r="H10">
        <f ca="1">RAND()</f>
        <v>0.38174929550075143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4.975934290886324E-2</v>
      </c>
      <c r="O10">
        <f t="shared" si="2"/>
        <v>3.7759342908863236E-2</v>
      </c>
      <c r="R10">
        <v>19.83450423174736</v>
      </c>
      <c r="U10" s="8">
        <v>16.395447468701789</v>
      </c>
      <c r="V10" s="8">
        <v>10</v>
      </c>
    </row>
    <row r="11" spans="2:22" ht="15.75" thickBot="1" x14ac:dyDescent="0.3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5.542472381532422E-2</v>
      </c>
      <c r="O11">
        <f t="shared" si="2"/>
        <v>4.1424723815324221E-2</v>
      </c>
      <c r="R11">
        <v>21.332774805894893</v>
      </c>
      <c r="U11" s="8">
        <v>16.95181841452947</v>
      </c>
      <c r="V11" s="8">
        <v>6</v>
      </c>
    </row>
    <row r="12" spans="2:22" x14ac:dyDescent="0.25">
      <c r="B12" s="7">
        <v>21.3</v>
      </c>
      <c r="D12" s="8" t="s">
        <v>24</v>
      </c>
      <c r="E12" s="8">
        <v>3.0508863670823154</v>
      </c>
      <c r="G12" s="21" t="s">
        <v>65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6.6324925138303792E-2</v>
      </c>
      <c r="O12">
        <f t="shared" si="2"/>
        <v>5.0324925138303792E-2</v>
      </c>
      <c r="R12">
        <v>27.998102960176066</v>
      </c>
      <c r="U12" s="8">
        <v>17.508189360357147</v>
      </c>
      <c r="V12" s="8">
        <v>18</v>
      </c>
    </row>
    <row r="13" spans="2:22" ht="15.75" thickBot="1" x14ac:dyDescent="0.3">
      <c r="B13" s="7">
        <v>26.46</v>
      </c>
      <c r="D13" s="8" t="s">
        <v>25</v>
      </c>
      <c r="E13" s="8">
        <v>9.3079076248487294</v>
      </c>
      <c r="G13" s="22" t="s">
        <v>66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6.6660322455125307E-2</v>
      </c>
      <c r="O13">
        <f t="shared" si="2"/>
        <v>4.8660322455125304E-2</v>
      </c>
      <c r="R13">
        <v>22.874200709921492</v>
      </c>
      <c r="U13" s="8">
        <v>18.064560306184823</v>
      </c>
      <c r="V13" s="8">
        <v>17</v>
      </c>
    </row>
    <row r="14" spans="2:22" ht="15.75" thickBot="1" x14ac:dyDescent="0.3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6.6660322455125307E-2</v>
      </c>
      <c r="O14">
        <f t="shared" si="2"/>
        <v>4.6660322455125303E-2</v>
      </c>
      <c r="R14">
        <v>25.904174598913428</v>
      </c>
      <c r="U14" s="8">
        <v>18.620931252012504</v>
      </c>
      <c r="V14" s="8">
        <v>17</v>
      </c>
    </row>
    <row r="15" spans="2:22" x14ac:dyDescent="0.25">
      <c r="B15" s="7">
        <v>22.49</v>
      </c>
      <c r="D15" s="8" t="s">
        <v>27</v>
      </c>
      <c r="E15" s="8">
        <v>-0.12956245557651511</v>
      </c>
      <c r="G15" s="21" t="s">
        <v>67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7.0060819841310087E-2</v>
      </c>
      <c r="O15">
        <f t="shared" si="2"/>
        <v>4.8060819841310082E-2</v>
      </c>
      <c r="R15">
        <v>17.110029800663522</v>
      </c>
      <c r="U15" s="8">
        <v>19.177302197840181</v>
      </c>
      <c r="V15" s="8">
        <v>20</v>
      </c>
    </row>
    <row r="16" spans="2:22" x14ac:dyDescent="0.25">
      <c r="B16" s="7">
        <v>25.54</v>
      </c>
      <c r="D16" s="8" t="s">
        <v>28</v>
      </c>
      <c r="E16" s="8">
        <v>18.299999999999997</v>
      </c>
      <c r="G16" s="23" t="s">
        <v>68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7.6035798270990912E-2</v>
      </c>
      <c r="O16">
        <f t="shared" si="2"/>
        <v>5.2035798270990904E-2</v>
      </c>
      <c r="R16">
        <v>21.935833577635524</v>
      </c>
      <c r="U16" s="8">
        <v>19.733673143667858</v>
      </c>
      <c r="V16" s="8">
        <v>21</v>
      </c>
    </row>
    <row r="17" spans="2:22" ht="15.75" thickBot="1" x14ac:dyDescent="0.3">
      <c r="B17" s="7">
        <v>28.01</v>
      </c>
      <c r="D17" s="8" t="s">
        <v>29</v>
      </c>
      <c r="E17" s="8">
        <v>14.31</v>
      </c>
      <c r="G17" s="22"/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8.988521206584453E-2</v>
      </c>
      <c r="O17">
        <f t="shared" si="2"/>
        <v>6.3885212065844521E-2</v>
      </c>
      <c r="R17">
        <v>24.59821490185012</v>
      </c>
      <c r="U17" s="8">
        <v>20.290044089495538</v>
      </c>
      <c r="V17" s="8">
        <v>23</v>
      </c>
    </row>
    <row r="18" spans="2:22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9.027559254935795E-2</v>
      </c>
      <c r="O18">
        <f t="shared" si="2"/>
        <v>6.2275592549357939E-2</v>
      </c>
      <c r="R18">
        <v>27.475590021797988</v>
      </c>
      <c r="U18" s="8">
        <v>20.846415035323215</v>
      </c>
      <c r="V18" s="8">
        <v>31</v>
      </c>
    </row>
    <row r="19" spans="2:22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0.10447182324180757</v>
      </c>
      <c r="O19">
        <f t="shared" si="2"/>
        <v>7.4471823241807553E-2</v>
      </c>
      <c r="R19">
        <v>30.750020200935438</v>
      </c>
      <c r="U19" s="8">
        <v>21.402785981150892</v>
      </c>
      <c r="V19" s="8">
        <v>28</v>
      </c>
    </row>
    <row r="20" spans="2:22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0.10743541592650871</v>
      </c>
      <c r="O20">
        <f t="shared" si="2"/>
        <v>7.5435415926508695E-2</v>
      </c>
      <c r="R20">
        <v>26.068966812564078</v>
      </c>
      <c r="U20" s="8">
        <v>21.959156926978572</v>
      </c>
      <c r="V20" s="8">
        <v>35</v>
      </c>
    </row>
    <row r="21" spans="2:22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0.11174102082593172</v>
      </c>
      <c r="O21">
        <f t="shared" si="2"/>
        <v>7.7741020825931706E-2</v>
      </c>
      <c r="R21">
        <v>24.929369611124557</v>
      </c>
      <c r="U21" s="8">
        <v>22.515527872806249</v>
      </c>
      <c r="V21" s="8">
        <v>40</v>
      </c>
    </row>
    <row r="22" spans="2:22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0.11348694784212211</v>
      </c>
      <c r="O22">
        <f t="shared" si="2"/>
        <v>7.7486947842122095E-2</v>
      </c>
      <c r="R22">
        <v>22.205196324529929</v>
      </c>
      <c r="U22" s="8">
        <v>23.071898818633926</v>
      </c>
      <c r="V22" s="8">
        <v>37</v>
      </c>
    </row>
    <row r="23" spans="2:22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0.11392554433335025</v>
      </c>
      <c r="O23">
        <f t="shared" si="2"/>
        <v>7.5925544333350234E-2</v>
      </c>
      <c r="R23">
        <v>25.918796097121096</v>
      </c>
      <c r="U23" s="8">
        <v>23.628269764461606</v>
      </c>
      <c r="V23" s="8">
        <v>37</v>
      </c>
    </row>
    <row r="24" spans="2:22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0.11880593479842323</v>
      </c>
      <c r="O24">
        <f t="shared" si="2"/>
        <v>7.8805934798423211E-2</v>
      </c>
      <c r="R24">
        <v>28.788172198366929</v>
      </c>
      <c r="U24" s="8">
        <v>24.184640710289287</v>
      </c>
      <c r="V24" s="8">
        <v>43</v>
      </c>
    </row>
    <row r="25" spans="2:22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0.13121901910030617</v>
      </c>
      <c r="O25">
        <f t="shared" si="2"/>
        <v>8.9219019100306149E-2</v>
      </c>
      <c r="R25">
        <v>26.22842236892496</v>
      </c>
      <c r="U25" s="8">
        <v>24.741011656116964</v>
      </c>
      <c r="V25" s="8">
        <v>41</v>
      </c>
    </row>
    <row r="26" spans="2:22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0.13358541000524454</v>
      </c>
      <c r="O26">
        <f t="shared" si="2"/>
        <v>8.9585410005244517E-2</v>
      </c>
      <c r="R26">
        <v>24.151244645451893</v>
      </c>
      <c r="U26" s="8">
        <v>25.297382601944641</v>
      </c>
      <c r="V26" s="8">
        <v>49</v>
      </c>
    </row>
    <row r="27" spans="2:22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0.1364529936219526</v>
      </c>
      <c r="O27">
        <f t="shared" si="2"/>
        <v>9.0452993621952568E-2</v>
      </c>
      <c r="R27">
        <v>29.950287903567023</v>
      </c>
      <c r="U27" s="8">
        <v>25.853753547772321</v>
      </c>
      <c r="V27" s="8">
        <v>62</v>
      </c>
    </row>
    <row r="28" spans="2:22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0.13693388485679001</v>
      </c>
      <c r="O28">
        <f t="shared" si="2"/>
        <v>8.8933884856789977E-2</v>
      </c>
      <c r="R28">
        <v>30.926717617543321</v>
      </c>
      <c r="U28" s="8">
        <v>26.410124493599998</v>
      </c>
      <c r="V28" s="8">
        <v>59</v>
      </c>
    </row>
    <row r="29" spans="2:22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0.15023769645908405</v>
      </c>
      <c r="O29">
        <f t="shared" si="2"/>
        <v>0.10023769645908402</v>
      </c>
      <c r="R29">
        <v>27.001383103282485</v>
      </c>
      <c r="U29" s="8">
        <v>26.966495439427675</v>
      </c>
      <c r="V29" s="8">
        <v>66</v>
      </c>
    </row>
    <row r="30" spans="2:22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0.1522610769933512</v>
      </c>
      <c r="O30">
        <f t="shared" si="2"/>
        <v>0.10026107699335117</v>
      </c>
      <c r="R30">
        <v>26.50110245615285</v>
      </c>
      <c r="U30" s="8">
        <v>27.522866385255355</v>
      </c>
      <c r="V30" s="8">
        <v>63</v>
      </c>
    </row>
    <row r="31" spans="2:22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0.15378749429020963</v>
      </c>
      <c r="O31">
        <f t="shared" si="2"/>
        <v>9.9787494290209597E-2</v>
      </c>
      <c r="R31">
        <v>16.375171226283086</v>
      </c>
      <c r="U31" s="8">
        <v>28.079237331083032</v>
      </c>
      <c r="V31" s="8">
        <v>58</v>
      </c>
    </row>
    <row r="32" spans="2:22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0.15378749429020963</v>
      </c>
      <c r="O32">
        <f t="shared" si="2"/>
        <v>9.7787494290209595E-2</v>
      </c>
      <c r="R32">
        <v>17.189919207235135</v>
      </c>
      <c r="U32" s="8">
        <v>28.635608276910709</v>
      </c>
      <c r="V32" s="8">
        <v>53</v>
      </c>
    </row>
    <row r="33" spans="2:22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0.15737874097007223</v>
      </c>
      <c r="O33">
        <f t="shared" si="2"/>
        <v>9.9378740970072196E-2</v>
      </c>
      <c r="R33">
        <v>26.215768024006032</v>
      </c>
      <c r="U33" s="8">
        <v>29.191979222738389</v>
      </c>
      <c r="V33" s="8">
        <v>34</v>
      </c>
    </row>
    <row r="34" spans="2:22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0.15841242450388265</v>
      </c>
      <c r="O34">
        <f t="shared" si="2"/>
        <v>9.8412424503882615E-2</v>
      </c>
      <c r="R34">
        <v>26.818204641825908</v>
      </c>
      <c r="U34" s="8">
        <v>29.748350168566066</v>
      </c>
      <c r="V34" s="8">
        <v>44</v>
      </c>
    </row>
    <row r="35" spans="2:22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0.15841242450388265</v>
      </c>
      <c r="O35">
        <f t="shared" si="2"/>
        <v>9.6412424503882613E-2</v>
      </c>
      <c r="R35">
        <v>30.904636416546193</v>
      </c>
      <c r="U35" s="8">
        <v>30.304721114393743</v>
      </c>
      <c r="V35" s="8">
        <v>33</v>
      </c>
    </row>
    <row r="36" spans="2:22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0.1615337765822463</v>
      </c>
      <c r="O36">
        <f t="shared" si="2"/>
        <v>9.7533776582246254E-2</v>
      </c>
      <c r="R36">
        <v>22.209043494139028</v>
      </c>
      <c r="U36" s="8">
        <v>30.861092060221424</v>
      </c>
      <c r="V36" s="8">
        <v>21</v>
      </c>
    </row>
    <row r="37" spans="2:22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0.16363159586526593</v>
      </c>
      <c r="O37">
        <f t="shared" si="2"/>
        <v>9.7631595865265888E-2</v>
      </c>
      <c r="R37">
        <v>29.99993275522467</v>
      </c>
      <c r="U37" s="8">
        <v>31.4174630060491</v>
      </c>
      <c r="V37" s="8">
        <v>15</v>
      </c>
    </row>
    <row r="38" spans="2:22" ht="15.75" thickBot="1" x14ac:dyDescent="0.3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0.16363159586526593</v>
      </c>
      <c r="O38">
        <f t="shared" si="2"/>
        <v>9.5631595865265887E-2</v>
      </c>
      <c r="R38">
        <v>27.649165551255798</v>
      </c>
      <c r="U38" s="9" t="s">
        <v>34</v>
      </c>
      <c r="V38" s="9">
        <v>8</v>
      </c>
    </row>
    <row r="39" spans="2:22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0.16415816542320116</v>
      </c>
      <c r="O39">
        <f t="shared" si="2"/>
        <v>9.4158165423201115E-2</v>
      </c>
      <c r="R39">
        <v>28.546090404651963</v>
      </c>
    </row>
    <row r="40" spans="2:22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0.16627290260366434</v>
      </c>
      <c r="O40">
        <f t="shared" si="2"/>
        <v>9.4272902603664291E-2</v>
      </c>
      <c r="R40">
        <v>26.566580942859098</v>
      </c>
    </row>
    <row r="41" spans="2:22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0.16947038522052482</v>
      </c>
      <c r="O41">
        <f t="shared" si="2"/>
        <v>9.547038522052477E-2</v>
      </c>
      <c r="R41">
        <v>26.23704289164489</v>
      </c>
    </row>
    <row r="42" spans="2:22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0.17269832005278379</v>
      </c>
      <c r="O42">
        <f t="shared" si="2"/>
        <v>9.669832005278374E-2</v>
      </c>
      <c r="R42">
        <v>19.044695138822913</v>
      </c>
    </row>
    <row r="43" spans="2:22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0.17432370704968791</v>
      </c>
      <c r="O43">
        <f t="shared" si="2"/>
        <v>9.6323707049687859E-2</v>
      </c>
      <c r="R43">
        <v>22.694217075738131</v>
      </c>
    </row>
    <row r="44" spans="2:22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0.17650273224043714</v>
      </c>
      <c r="O44">
        <f t="shared" si="2"/>
        <v>9.6502732240437081E-2</v>
      </c>
      <c r="R44">
        <v>27.736678428515418</v>
      </c>
    </row>
    <row r="45" spans="2:22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0.17650273224043714</v>
      </c>
      <c r="O45">
        <f t="shared" si="2"/>
        <v>9.4502732240437079E-2</v>
      </c>
      <c r="R45">
        <v>25.667788441563594</v>
      </c>
    </row>
    <row r="46" spans="2:22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0.18090138557580074</v>
      </c>
      <c r="O46">
        <f t="shared" si="2"/>
        <v>9.6901385575800678E-2</v>
      </c>
      <c r="R46">
        <v>31.024025643155017</v>
      </c>
    </row>
    <row r="47" spans="2:22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0.18200950785836342</v>
      </c>
      <c r="O47">
        <f t="shared" si="2"/>
        <v>9.600950785836336E-2</v>
      </c>
      <c r="R47">
        <v>23.121126909259907</v>
      </c>
    </row>
    <row r="48" spans="2:22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0.18256483784195296</v>
      </c>
      <c r="O48">
        <f t="shared" si="2"/>
        <v>9.4564837841952895E-2</v>
      </c>
      <c r="R48">
        <v>26.42712798560207</v>
      </c>
    </row>
    <row r="49" spans="2:18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0.18479461672503353</v>
      </c>
      <c r="O49">
        <f t="shared" si="2"/>
        <v>9.4794616725033462E-2</v>
      </c>
      <c r="R49">
        <v>15.483748611605559</v>
      </c>
    </row>
    <row r="50" spans="2:18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0.19042827657378741</v>
      </c>
      <c r="O50">
        <f t="shared" si="2"/>
        <v>9.8428276573787346E-2</v>
      </c>
      <c r="R50">
        <v>29.331003429277544</v>
      </c>
    </row>
    <row r="51" spans="2:18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0.1915651592820044</v>
      </c>
      <c r="O51">
        <f t="shared" si="2"/>
        <v>9.7565159282004335E-2</v>
      </c>
      <c r="R51">
        <v>25.206235233209881</v>
      </c>
    </row>
    <row r="52" spans="2:18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0.1973003265154207</v>
      </c>
      <c r="O52">
        <f t="shared" si="2"/>
        <v>0.10130032651542063</v>
      </c>
      <c r="R52">
        <v>27.063347443609906</v>
      </c>
    </row>
    <row r="53" spans="2:18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0.19845751070057013</v>
      </c>
      <c r="O53">
        <f t="shared" si="2"/>
        <v>0.10045751070057006</v>
      </c>
      <c r="R53">
        <v>26.400337777667314</v>
      </c>
    </row>
    <row r="54" spans="2:18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0.19961807846520835</v>
      </c>
      <c r="O54">
        <f t="shared" si="2"/>
        <v>9.9618078465208273E-2</v>
      </c>
      <c r="R54">
        <v>26.625032468352824</v>
      </c>
    </row>
    <row r="55" spans="2:18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0.20194936473295094</v>
      </c>
      <c r="O55">
        <f t="shared" si="2"/>
        <v>9.9949364732950866E-2</v>
      </c>
      <c r="R55">
        <v>24.806243492751758</v>
      </c>
    </row>
    <row r="56" spans="2:18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0.20312008323605535</v>
      </c>
      <c r="O56">
        <f t="shared" si="2"/>
        <v>9.912008323605527E-2</v>
      </c>
      <c r="R56">
        <v>27.484611959405171</v>
      </c>
    </row>
    <row r="57" spans="2:18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0.20312008323605535</v>
      </c>
      <c r="O57">
        <f t="shared" si="2"/>
        <v>9.7120083236055268E-2</v>
      </c>
      <c r="R57">
        <v>29.533457432369389</v>
      </c>
    </row>
    <row r="58" spans="2:18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0.20665254022230123</v>
      </c>
      <c r="O58">
        <f t="shared" si="2"/>
        <v>9.8652540222301147E-2</v>
      </c>
      <c r="R58">
        <v>27.776349137052115</v>
      </c>
    </row>
    <row r="59" spans="2:18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0.2090244294439087</v>
      </c>
      <c r="O59">
        <f t="shared" si="2"/>
        <v>9.9024429443908615E-2</v>
      </c>
      <c r="R59">
        <v>30.244832195221939</v>
      </c>
    </row>
    <row r="60" spans="2:18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0.21140985298347117</v>
      </c>
      <c r="O60">
        <f t="shared" si="2"/>
        <v>9.9409852983471089E-2</v>
      </c>
      <c r="R60">
        <v>25.806353863970912</v>
      </c>
    </row>
    <row r="61" spans="2:18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0.21140985298347117</v>
      </c>
      <c r="O61">
        <f t="shared" si="2"/>
        <v>9.7409852983471087E-2</v>
      </c>
      <c r="R61">
        <v>28.245519824197558</v>
      </c>
    </row>
    <row r="62" spans="2:18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0.21260764012248551</v>
      </c>
      <c r="O62">
        <f t="shared" si="2"/>
        <v>9.6607640122485419E-2</v>
      </c>
      <c r="R62">
        <v>17.321845324179158</v>
      </c>
    </row>
    <row r="63" spans="2:18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0.21260764012248551</v>
      </c>
      <c r="O63">
        <f t="shared" si="2"/>
        <v>9.4607640122485417E-2</v>
      </c>
      <c r="R63">
        <v>27.099431129648565</v>
      </c>
    </row>
    <row r="64" spans="2:18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0.21380881084098879</v>
      </c>
      <c r="O64">
        <f t="shared" si="2"/>
        <v>9.3808810840988702E-2</v>
      </c>
      <c r="R64">
        <v>20.26589971659709</v>
      </c>
    </row>
    <row r="65" spans="2:18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0.21441066504254849</v>
      </c>
      <c r="O65">
        <f t="shared" si="2"/>
        <v>9.2410665042548398E-2</v>
      </c>
      <c r="R65">
        <v>19.889400005799743</v>
      </c>
    </row>
    <row r="66" spans="2:18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0.21561691113028469</v>
      </c>
      <c r="O66">
        <f t="shared" si="2"/>
        <v>9.1616911130284598E-2</v>
      </c>
      <c r="R66">
        <v>26.980459590967818</v>
      </c>
    </row>
    <row r="67" spans="2:18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0.21622130301646117</v>
      </c>
      <c r="O67">
        <f t="shared" si="2"/>
        <v>9.0221303016461085E-2</v>
      </c>
      <c r="R67">
        <v>25.891714130761347</v>
      </c>
    </row>
    <row r="68" spans="2:18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0.21864732950988852</v>
      </c>
      <c r="O68">
        <f t="shared" si="2"/>
        <v>9.0647329509888436E-2</v>
      </c>
      <c r="R68">
        <v>19.985110374713841</v>
      </c>
    </row>
    <row r="69" spans="2:18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0.21925595087042593</v>
      </c>
      <c r="O69">
        <f t="shared" si="2"/>
        <v>8.9255950870425843E-2</v>
      </c>
      <c r="R69">
        <v>28.040484576220059</v>
      </c>
    </row>
    <row r="70" spans="2:18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(J70-$H$7)^2/(($H$8-$H$7)*($H$9-$H$7))</f>
        <v>0.22108689032127082</v>
      </c>
      <c r="O70">
        <f t="shared" ref="O70:O133" si="6">ABS(M70-N70)</f>
        <v>8.9086890321270734E-2</v>
      </c>
      <c r="R70">
        <v>28.505293002153124</v>
      </c>
    </row>
    <row r="71" spans="2:18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0.22231174609619508</v>
      </c>
      <c r="O71">
        <f t="shared" si="6"/>
        <v>8.8311746096194993E-2</v>
      </c>
      <c r="R71">
        <v>20.725483063252685</v>
      </c>
    </row>
    <row r="72" spans="2:18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0.22231174609619508</v>
      </c>
      <c r="O72">
        <f t="shared" si="6"/>
        <v>8.6311746096194991E-2</v>
      </c>
      <c r="R72">
        <v>29.257008839729018</v>
      </c>
    </row>
    <row r="73" spans="2:18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0.22292544282596563</v>
      </c>
      <c r="O73">
        <f t="shared" si="6"/>
        <v>8.4925442825965536E-2</v>
      </c>
      <c r="R73">
        <v>30.284582810649312</v>
      </c>
    </row>
    <row r="74" spans="2:18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0.224155373970123</v>
      </c>
      <c r="O74">
        <f t="shared" si="6"/>
        <v>8.4155373970122904E-2</v>
      </c>
      <c r="R74">
        <v>30.27658008239225</v>
      </c>
    </row>
    <row r="75" spans="2:18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0.22538868869376913</v>
      </c>
      <c r="O75">
        <f t="shared" si="6"/>
        <v>8.3388688693769031E-2</v>
      </c>
      <c r="R75">
        <v>30.903493057061745</v>
      </c>
    </row>
    <row r="76" spans="2:18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0.22600661489790058</v>
      </c>
      <c r="O76">
        <f t="shared" si="6"/>
        <v>8.2006614897900482E-2</v>
      </c>
      <c r="R76">
        <v>30.014168794004782</v>
      </c>
    </row>
    <row r="77" spans="2:18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0.22600661489790058</v>
      </c>
      <c r="O77">
        <f t="shared" si="6"/>
        <v>8.000661489790048E-2</v>
      </c>
      <c r="R77">
        <v>20.734146758932877</v>
      </c>
    </row>
    <row r="78" spans="2:18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0.22848677866314776</v>
      </c>
      <c r="O78">
        <f t="shared" si="6"/>
        <v>8.0486778663147657E-2</v>
      </c>
      <c r="R78">
        <v>25.594037056047412</v>
      </c>
    </row>
    <row r="79" spans="2:18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0.23348770914750705</v>
      </c>
      <c r="O79">
        <f t="shared" si="6"/>
        <v>8.3487709147506944E-2</v>
      </c>
      <c r="R79">
        <v>30.713036914211422</v>
      </c>
    </row>
    <row r="80" spans="2:18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0.23411663198497693</v>
      </c>
      <c r="O80">
        <f t="shared" si="6"/>
        <v>8.2116631984976818E-2</v>
      </c>
      <c r="R80">
        <v>19.000194767915193</v>
      </c>
    </row>
    <row r="81" spans="2:18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0.23600847586661941</v>
      </c>
      <c r="O81">
        <f t="shared" si="6"/>
        <v>8.2008475866619301E-2</v>
      </c>
      <c r="R81">
        <v>27.887217394613192</v>
      </c>
    </row>
    <row r="82" spans="2:18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0.23664078228357777</v>
      </c>
      <c r="O82">
        <f t="shared" si="6"/>
        <v>8.0640782283577656E-2</v>
      </c>
      <c r="R82">
        <v>20.569245783578019</v>
      </c>
    </row>
    <row r="83" spans="2:18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0.23790793280211128</v>
      </c>
      <c r="O83">
        <f t="shared" si="6"/>
        <v>7.990793280211117E-2</v>
      </c>
      <c r="R83">
        <v>27.008313891295813</v>
      </c>
    </row>
    <row r="84" spans="2:18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0.2423696053054526</v>
      </c>
      <c r="O84">
        <f t="shared" si="6"/>
        <v>8.2369605305452481E-2</v>
      </c>
      <c r="R84">
        <v>26.439246036740414</v>
      </c>
    </row>
    <row r="85" spans="2:18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0.24301037067113304</v>
      </c>
      <c r="O85">
        <f t="shared" si="6"/>
        <v>8.1010370671132925E-2</v>
      </c>
      <c r="R85">
        <v>29.051502790042882</v>
      </c>
    </row>
    <row r="86" spans="2:18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0.24301037067113304</v>
      </c>
      <c r="O86">
        <f t="shared" si="6"/>
        <v>7.9010370671132923E-2</v>
      </c>
      <c r="R86">
        <v>21.493552927035449</v>
      </c>
    </row>
    <row r="87" spans="2:18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0.24365198193168547</v>
      </c>
      <c r="O87">
        <f t="shared" si="6"/>
        <v>7.7651981931685349E-2</v>
      </c>
      <c r="R87">
        <v>23.429876045197297</v>
      </c>
    </row>
    <row r="88" spans="2:18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0.24493774213740729</v>
      </c>
      <c r="O88">
        <f t="shared" si="6"/>
        <v>7.6937742137407172E-2</v>
      </c>
      <c r="R88">
        <v>24.474290771612036</v>
      </c>
    </row>
    <row r="89" spans="2:18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0.24558189108257625</v>
      </c>
      <c r="O89">
        <f t="shared" si="6"/>
        <v>7.5581891082576125E-2</v>
      </c>
      <c r="R89">
        <v>24.904603726332205</v>
      </c>
    </row>
    <row r="90" spans="2:18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0.24622688592261763</v>
      </c>
      <c r="O90">
        <f t="shared" si="6"/>
        <v>7.4226885922617503E-2</v>
      </c>
      <c r="R90">
        <v>29.006431473521996</v>
      </c>
    </row>
    <row r="91" spans="2:18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0.24946454854590663</v>
      </c>
      <c r="O91">
        <f t="shared" si="6"/>
        <v>7.5464548545906507E-2</v>
      </c>
      <c r="R91">
        <v>26.280886633082083</v>
      </c>
    </row>
    <row r="92" spans="2:18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0.25206990475223751</v>
      </c>
      <c r="O92">
        <f t="shared" si="6"/>
        <v>7.6069904752237377E-2</v>
      </c>
      <c r="R92">
        <v>28.101539728182019</v>
      </c>
    </row>
    <row r="93" spans="2:18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0.2540328038031433</v>
      </c>
      <c r="O93">
        <f t="shared" si="6"/>
        <v>7.6032803803143173E-2</v>
      </c>
      <c r="R93">
        <v>21.346695073785121</v>
      </c>
    </row>
    <row r="94" spans="2:18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0.2540328038031433</v>
      </c>
      <c r="O94">
        <f t="shared" si="6"/>
        <v>7.4032803803143171E-2</v>
      </c>
      <c r="R94">
        <v>26.977231737664361</v>
      </c>
    </row>
    <row r="95" spans="2:18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0.25996717927895913</v>
      </c>
      <c r="O95">
        <f t="shared" si="6"/>
        <v>7.7967179278958992E-2</v>
      </c>
      <c r="R95">
        <v>18.226884046691971</v>
      </c>
    </row>
    <row r="96" spans="2:18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0.26063078380618859</v>
      </c>
      <c r="O96">
        <f t="shared" si="6"/>
        <v>7.6630783806188457E-2</v>
      </c>
      <c r="R96">
        <v>23.819594191879922</v>
      </c>
    </row>
    <row r="97" spans="2:18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0.26329366086382783</v>
      </c>
      <c r="O97">
        <f t="shared" si="6"/>
        <v>7.729366086382769E-2</v>
      </c>
      <c r="R97">
        <v>28.481682721900654</v>
      </c>
    </row>
    <row r="98" spans="2:18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0.2639614948654182</v>
      </c>
      <c r="O98">
        <f t="shared" si="6"/>
        <v>7.5961494865418061E-2</v>
      </c>
      <c r="R98">
        <v>25.787737194655257</v>
      </c>
    </row>
    <row r="99" spans="2:18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0.26529970055321528</v>
      </c>
      <c r="O99">
        <f t="shared" si="6"/>
        <v>7.5299700553215138E-2</v>
      </c>
      <c r="R99">
        <v>26.398825594993177</v>
      </c>
    </row>
    <row r="100" spans="2:18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0.26664128982050112</v>
      </c>
      <c r="O100">
        <f t="shared" si="6"/>
        <v>7.4641289820500972E-2</v>
      </c>
      <c r="R100">
        <v>30.063821983156256</v>
      </c>
    </row>
    <row r="101" spans="2:18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0.26731335329645245</v>
      </c>
      <c r="O101">
        <f t="shared" si="6"/>
        <v>7.3313353296452305E-2</v>
      </c>
      <c r="R101">
        <v>17.730769746334605</v>
      </c>
    </row>
    <row r="102" spans="2:18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0.26798626266727571</v>
      </c>
      <c r="O102">
        <f t="shared" si="6"/>
        <v>7.1986262667275563E-2</v>
      </c>
      <c r="R102">
        <v>26.22226380081792</v>
      </c>
    </row>
    <row r="103" spans="2:18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0.2686600179329714</v>
      </c>
      <c r="O103">
        <f t="shared" si="6"/>
        <v>7.0660017932971247E-2</v>
      </c>
      <c r="R103">
        <v>27.229337035790529</v>
      </c>
    </row>
    <row r="104" spans="2:18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0.2686600179329714</v>
      </c>
      <c r="O104">
        <f t="shared" si="6"/>
        <v>6.8660017932971246E-2</v>
      </c>
      <c r="R104">
        <v>24.888748639890707</v>
      </c>
    </row>
    <row r="105" spans="2:18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0.27068635909929106</v>
      </c>
      <c r="O105">
        <f t="shared" si="6"/>
        <v>6.8686359099290911E-2</v>
      </c>
      <c r="R105">
        <v>22.527659924970081</v>
      </c>
    </row>
    <row r="106" spans="2:18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0.27068635909929106</v>
      </c>
      <c r="O106">
        <f t="shared" si="6"/>
        <v>6.6686359099290909E-2</v>
      </c>
      <c r="R106">
        <v>22.76581962010637</v>
      </c>
    </row>
    <row r="107" spans="2:18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0.27681106092134861</v>
      </c>
      <c r="O107">
        <f t="shared" si="6"/>
        <v>7.0811060921348451E-2</v>
      </c>
      <c r="R107">
        <v>26.002212882968493</v>
      </c>
    </row>
    <row r="108" spans="2:18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0.28024327936524046</v>
      </c>
      <c r="O108">
        <f t="shared" si="6"/>
        <v>7.2243279365240304E-2</v>
      </c>
      <c r="R108">
        <v>26.999079442922842</v>
      </c>
    </row>
    <row r="109" spans="2:18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0.28024327936524046</v>
      </c>
      <c r="O109">
        <f t="shared" si="6"/>
        <v>7.0243279365240302E-2</v>
      </c>
      <c r="R109">
        <v>26.019251228889306</v>
      </c>
    </row>
    <row r="110" spans="2:18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0.28093226073863548</v>
      </c>
      <c r="O110">
        <f t="shared" si="6"/>
        <v>6.8932260738635315E-2</v>
      </c>
      <c r="R110">
        <v>24.937902968337227</v>
      </c>
    </row>
    <row r="111" spans="2:18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0.28093226073863548</v>
      </c>
      <c r="O111">
        <f t="shared" si="6"/>
        <v>6.6932260738635313E-2</v>
      </c>
      <c r="R111">
        <v>21.030364179477726</v>
      </c>
    </row>
    <row r="112" spans="2:18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0.28162208800690242</v>
      </c>
      <c r="O112">
        <f t="shared" si="6"/>
        <v>6.5622088006902252E-2</v>
      </c>
      <c r="R112">
        <v>15.717855306170136</v>
      </c>
    </row>
    <row r="113" spans="2:18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0.28231276117004184</v>
      </c>
      <c r="O113">
        <f t="shared" si="6"/>
        <v>6.4312761170041671E-2</v>
      </c>
      <c r="R113">
        <v>24.554023438306764</v>
      </c>
    </row>
    <row r="114" spans="2:18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0.28300428022805318</v>
      </c>
      <c r="O114">
        <f t="shared" si="6"/>
        <v>6.3004280228053017E-2</v>
      </c>
      <c r="R114">
        <v>23.323373730024343</v>
      </c>
    </row>
    <row r="115" spans="2:18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0.28300428022805318</v>
      </c>
      <c r="O115">
        <f t="shared" si="6"/>
        <v>6.1004280228053015E-2</v>
      </c>
      <c r="R115">
        <v>21.694655023331421</v>
      </c>
    </row>
    <row r="116" spans="2:18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0.28438985602869293</v>
      </c>
      <c r="O116">
        <f t="shared" si="6"/>
        <v>6.0389856028692762E-2</v>
      </c>
      <c r="R116">
        <v>28.879331502028023</v>
      </c>
    </row>
    <row r="117" spans="2:18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0.28856688490754373</v>
      </c>
      <c r="O117">
        <f t="shared" si="6"/>
        <v>6.2566884907543557E-2</v>
      </c>
      <c r="R117">
        <v>24.127721663870993</v>
      </c>
    </row>
    <row r="118" spans="2:18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0.28996599502613818</v>
      </c>
      <c r="O118">
        <f t="shared" si="6"/>
        <v>6.1965995026138004E-2</v>
      </c>
      <c r="R118">
        <v>29.279878452922798</v>
      </c>
    </row>
    <row r="119" spans="2:18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0.29066681892774382</v>
      </c>
      <c r="O119">
        <f t="shared" si="6"/>
        <v>6.0666818927743643E-2</v>
      </c>
      <c r="R119">
        <v>27.6852907677887</v>
      </c>
    </row>
    <row r="120" spans="2:18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0.29136848872422133</v>
      </c>
      <c r="O120">
        <f t="shared" si="6"/>
        <v>5.9368488724221152E-2</v>
      </c>
      <c r="R120">
        <v>29.049059186598569</v>
      </c>
    </row>
    <row r="121" spans="2:18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0.29630386235598638</v>
      </c>
      <c r="O121">
        <f t="shared" si="6"/>
        <v>6.23038623559862E-2</v>
      </c>
      <c r="R121">
        <v>25.941201079591476</v>
      </c>
    </row>
    <row r="122" spans="2:18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0.29701229931144169</v>
      </c>
      <c r="O122">
        <f t="shared" si="6"/>
        <v>6.1012299311441504E-2</v>
      </c>
      <c r="R122">
        <v>25.029963709307161</v>
      </c>
    </row>
    <row r="123" spans="2:18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0.29701229931144169</v>
      </c>
      <c r="O123">
        <f t="shared" si="6"/>
        <v>5.9012299311441502E-2</v>
      </c>
      <c r="R123">
        <v>26.098664244019247</v>
      </c>
    </row>
    <row r="124" spans="2:18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0.29843171090696857</v>
      </c>
      <c r="O124">
        <f t="shared" si="6"/>
        <v>5.8431710906968387E-2</v>
      </c>
      <c r="R124">
        <v>17.876552642571749</v>
      </c>
    </row>
    <row r="125" spans="2:18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0.29843171090696857</v>
      </c>
      <c r="O125">
        <f t="shared" si="6"/>
        <v>5.6431710906968385E-2</v>
      </c>
      <c r="R125">
        <v>27.934946605714636</v>
      </c>
    </row>
    <row r="126" spans="2:18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0.29985450608198422</v>
      </c>
      <c r="O126">
        <f t="shared" si="6"/>
        <v>5.5854506081984029E-2</v>
      </c>
      <c r="R126">
        <v>24.635865486861398</v>
      </c>
    </row>
    <row r="127" spans="2:18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0.29985450608198422</v>
      </c>
      <c r="O127">
        <f t="shared" si="6"/>
        <v>5.3854506081984027E-2</v>
      </c>
      <c r="R127">
        <v>27.358227155520503</v>
      </c>
    </row>
    <row r="128" spans="2:18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0.30271024717048167</v>
      </c>
      <c r="O128">
        <f t="shared" si="6"/>
        <v>5.471024717048148E-2</v>
      </c>
      <c r="R128">
        <v>22.783684789479985</v>
      </c>
    </row>
    <row r="129" spans="2:18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0.30701923564939337</v>
      </c>
      <c r="O129">
        <f t="shared" si="6"/>
        <v>5.7019235649393207E-2</v>
      </c>
      <c r="R129">
        <v>17.91179594414675</v>
      </c>
    </row>
    <row r="130" spans="2:18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0.30774036102793151</v>
      </c>
      <c r="O130">
        <f t="shared" si="6"/>
        <v>5.574036102793134E-2</v>
      </c>
      <c r="R130">
        <v>27.451805064888987</v>
      </c>
    </row>
    <row r="131" spans="2:18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0.30990881253277852</v>
      </c>
      <c r="O131">
        <f t="shared" si="6"/>
        <v>5.5908812532778351E-2</v>
      </c>
      <c r="R131">
        <v>16.887487168202973</v>
      </c>
    </row>
    <row r="132" spans="2:18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0.31063332149080508</v>
      </c>
      <c r="O132">
        <f t="shared" si="6"/>
        <v>5.4633321490804909E-2</v>
      </c>
      <c r="R132">
        <v>28.427528592790487</v>
      </c>
    </row>
    <row r="133" spans="2:18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0.31426855470402137</v>
      </c>
      <c r="O133">
        <f t="shared" si="6"/>
        <v>5.6268554704021201E-2</v>
      </c>
      <c r="R133">
        <v>27.748617575271496</v>
      </c>
    </row>
    <row r="134" spans="2:18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(J134-$H$7)^2/(($H$8-$H$7)*($H$9-$H$7))</f>
        <v>0.31499813903128132</v>
      </c>
      <c r="O134">
        <f t="shared" ref="O134:O197" si="10">ABS(M134-N134)</f>
        <v>5.4998139031281146E-2</v>
      </c>
      <c r="R134">
        <v>22.454847871120538</v>
      </c>
    </row>
    <row r="135" spans="2:18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0.31572856925341314</v>
      </c>
      <c r="O135">
        <f t="shared" si="10"/>
        <v>5.3728569253412961E-2</v>
      </c>
      <c r="R135">
        <v>22.022122699831616</v>
      </c>
    </row>
    <row r="136" spans="2:18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0.31792493528904231</v>
      </c>
      <c r="O136">
        <f t="shared" si="10"/>
        <v>5.3924935289042131E-2</v>
      </c>
      <c r="R136">
        <v>29.133501361241223</v>
      </c>
    </row>
    <row r="137" spans="2:18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0.32012891437852115</v>
      </c>
      <c r="O137">
        <f t="shared" si="10"/>
        <v>5.4128914378520965E-2</v>
      </c>
      <c r="R137">
        <v>25.031556110762047</v>
      </c>
    </row>
    <row r="138" spans="2:18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0.32234050652184942</v>
      </c>
      <c r="O138">
        <f t="shared" si="10"/>
        <v>5.4340506521849241E-2</v>
      </c>
      <c r="R138">
        <v>28.288723424372829</v>
      </c>
    </row>
    <row r="139" spans="2:18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0.32455971171902764</v>
      </c>
      <c r="O139">
        <f t="shared" si="10"/>
        <v>5.4559711719027459E-2</v>
      </c>
      <c r="R139">
        <v>26.226045439709686</v>
      </c>
    </row>
    <row r="140" spans="2:18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0.32530113857449788</v>
      </c>
      <c r="O140">
        <f t="shared" si="10"/>
        <v>5.3301138574497697E-2</v>
      </c>
      <c r="R140">
        <v>23.776071613475256</v>
      </c>
    </row>
    <row r="141" spans="2:18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0.32530113857449788</v>
      </c>
      <c r="O141">
        <f t="shared" si="10"/>
        <v>5.1301138574497696E-2</v>
      </c>
      <c r="R141">
        <v>17.275842592477616</v>
      </c>
    </row>
    <row r="142" spans="2:18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0.32678652997005547</v>
      </c>
      <c r="O142">
        <f t="shared" si="10"/>
        <v>5.0786529970055283E-2</v>
      </c>
      <c r="R142">
        <v>29.205523537197237</v>
      </c>
    </row>
    <row r="143" spans="2:18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0.32753049451014227</v>
      </c>
      <c r="O143">
        <f t="shared" si="10"/>
        <v>4.9530494510142076E-2</v>
      </c>
      <c r="R143">
        <v>22.113353085957716</v>
      </c>
    </row>
    <row r="144" spans="2:18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0.32827530494510149</v>
      </c>
      <c r="O144">
        <f t="shared" si="10"/>
        <v>4.8275304945101294E-2</v>
      </c>
      <c r="R144">
        <v>29.195827799202792</v>
      </c>
    </row>
    <row r="145" spans="2:18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0.32976746349963637</v>
      </c>
      <c r="O145">
        <f t="shared" si="10"/>
        <v>4.7767463499636176E-2</v>
      </c>
      <c r="R145">
        <v>25.429829755140965</v>
      </c>
    </row>
    <row r="146" spans="2:18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0.33201204554298003</v>
      </c>
      <c r="O146">
        <f t="shared" si="10"/>
        <v>4.8012045542979831E-2</v>
      </c>
      <c r="R146">
        <v>29.434434617053213</v>
      </c>
    </row>
    <row r="147" spans="2:18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0.33276193134717219</v>
      </c>
      <c r="O147">
        <f t="shared" si="10"/>
        <v>4.6761931347171992E-2</v>
      </c>
      <c r="R147">
        <v>28.688091394285326</v>
      </c>
    </row>
    <row r="148" spans="2:18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0.33351266304623672</v>
      </c>
      <c r="O148">
        <f t="shared" si="10"/>
        <v>4.5512663046236523E-2</v>
      </c>
      <c r="R148">
        <v>25.427995395389146</v>
      </c>
    </row>
    <row r="149" spans="2:18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0.33426424064017324</v>
      </c>
      <c r="O149">
        <f t="shared" si="10"/>
        <v>4.4264240640173036E-2</v>
      </c>
      <c r="R149">
        <v>28.769539728713632</v>
      </c>
    </row>
    <row r="150" spans="2:18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0.33576993351266299</v>
      </c>
      <c r="O150">
        <f t="shared" si="10"/>
        <v>4.3769933512662784E-2</v>
      </c>
      <c r="R150">
        <v>27.581522276311389</v>
      </c>
    </row>
    <row r="151" spans="2:18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0.33576993351266299</v>
      </c>
      <c r="O151">
        <f t="shared" si="10"/>
        <v>4.1769933512662782E-2</v>
      </c>
      <c r="R151">
        <v>29.125691961448229</v>
      </c>
    </row>
    <row r="152" spans="2:18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0.33576993351266299</v>
      </c>
      <c r="O152">
        <f t="shared" si="10"/>
        <v>3.9769933512662781E-2</v>
      </c>
      <c r="R152">
        <v>19.519830176652235</v>
      </c>
    </row>
    <row r="153" spans="2:18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0.33652404879121628</v>
      </c>
      <c r="O153">
        <f t="shared" si="10"/>
        <v>3.852404879121607E-2</v>
      </c>
      <c r="R153">
        <v>24.991860952714994</v>
      </c>
    </row>
    <row r="154" spans="2:18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0.3372790099646415</v>
      </c>
      <c r="O154">
        <f t="shared" si="10"/>
        <v>3.7279009964641285E-2</v>
      </c>
      <c r="R154">
        <v>27.231129149140479</v>
      </c>
    </row>
    <row r="155" spans="2:18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0.33879146999610904</v>
      </c>
      <c r="O155">
        <f t="shared" si="10"/>
        <v>3.6791469996108828E-2</v>
      </c>
      <c r="R155">
        <v>21.703242268005489</v>
      </c>
    </row>
    <row r="156" spans="2:18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0.34106650425485113</v>
      </c>
      <c r="O156">
        <f t="shared" si="10"/>
        <v>3.7066504254850918E-2</v>
      </c>
      <c r="R156">
        <v>24.33698450438628</v>
      </c>
    </row>
    <row r="157" spans="2:18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0.34106650425485113</v>
      </c>
      <c r="O157">
        <f t="shared" si="10"/>
        <v>3.5066504254850916E-2</v>
      </c>
      <c r="R157">
        <v>23.879718154722852</v>
      </c>
    </row>
    <row r="158" spans="2:18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0.34258742323504032</v>
      </c>
      <c r="O158">
        <f t="shared" si="10"/>
        <v>3.4587423235040105E-2</v>
      </c>
      <c r="R158">
        <v>27.171439398478554</v>
      </c>
    </row>
    <row r="159" spans="2:18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0.34563941193388503</v>
      </c>
      <c r="O159">
        <f t="shared" si="10"/>
        <v>3.5639411933884813E-2</v>
      </c>
      <c r="R159">
        <v>29.739045301785804</v>
      </c>
    </row>
    <row r="160" spans="2:18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0.34640452384577641</v>
      </c>
      <c r="O160">
        <f t="shared" si="10"/>
        <v>3.4404523845776191E-2</v>
      </c>
      <c r="R160">
        <v>15.530363458441967</v>
      </c>
    </row>
    <row r="161" spans="2:18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0.34717048165254033</v>
      </c>
      <c r="O161">
        <f t="shared" si="10"/>
        <v>3.3170481652540107E-2</v>
      </c>
      <c r="R161">
        <v>30.742782283339903</v>
      </c>
    </row>
    <row r="162" spans="2:18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0.34793728535417612</v>
      </c>
      <c r="O162">
        <f t="shared" si="10"/>
        <v>3.1937285354175893E-2</v>
      </c>
      <c r="R162">
        <v>22.608915271506412</v>
      </c>
    </row>
    <row r="163" spans="2:18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0.34793728535417612</v>
      </c>
      <c r="O163">
        <f t="shared" si="10"/>
        <v>2.9937285354175891E-2</v>
      </c>
      <c r="R163">
        <v>30.558981917276448</v>
      </c>
    </row>
    <row r="164" spans="2:18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0.34870493495068439</v>
      </c>
      <c r="O164">
        <f t="shared" si="10"/>
        <v>2.8704934950684158E-2</v>
      </c>
      <c r="R164">
        <v>30.316739023036742</v>
      </c>
    </row>
    <row r="165" spans="2:18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0.34870493495068439</v>
      </c>
      <c r="O165">
        <f t="shared" si="10"/>
        <v>2.6704934950684156E-2</v>
      </c>
      <c r="R165">
        <v>23.363969027309793</v>
      </c>
    </row>
    <row r="166" spans="2:18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0.34870493495068439</v>
      </c>
      <c r="O166">
        <f t="shared" si="10"/>
        <v>2.4704934950684154E-2</v>
      </c>
      <c r="R166">
        <v>22.119759230849688</v>
      </c>
    </row>
    <row r="167" spans="2:18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0.34947343044206458</v>
      </c>
      <c r="O167">
        <f t="shared" si="10"/>
        <v>2.3473430442064347E-2</v>
      </c>
      <c r="R167">
        <v>18.129646202498602</v>
      </c>
    </row>
    <row r="168" spans="2:18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0.35178399228543883</v>
      </c>
      <c r="O168">
        <f t="shared" si="10"/>
        <v>2.3783992285438593E-2</v>
      </c>
      <c r="R168">
        <v>28.095546443048995</v>
      </c>
    </row>
    <row r="169" spans="2:18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0.35178399228543883</v>
      </c>
      <c r="O169">
        <f t="shared" si="10"/>
        <v>2.1783992285438591E-2</v>
      </c>
      <c r="R169">
        <v>22.321666171295814</v>
      </c>
    </row>
    <row r="170" spans="2:18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0.35178399228543883</v>
      </c>
      <c r="O170">
        <f t="shared" si="10"/>
        <v>1.978399228543859E-2</v>
      </c>
      <c r="R170">
        <v>23.149283719363069</v>
      </c>
    </row>
    <row r="171" spans="2:18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0.35255587135630795</v>
      </c>
      <c r="O171">
        <f t="shared" si="10"/>
        <v>1.8555871356307707E-2</v>
      </c>
      <c r="R171">
        <v>19.858098176317178</v>
      </c>
    </row>
    <row r="172" spans="2:18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0.3533285963220491</v>
      </c>
      <c r="O172">
        <f t="shared" si="10"/>
        <v>1.7328596322048861E-2</v>
      </c>
      <c r="R172">
        <v>28.382356093125544</v>
      </c>
    </row>
    <row r="173" spans="2:18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0.35410216718266269</v>
      </c>
      <c r="O173">
        <f t="shared" si="10"/>
        <v>1.6102167182662441E-2</v>
      </c>
      <c r="R173">
        <v>24.546711470161164</v>
      </c>
    </row>
    <row r="174" spans="2:18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0.35487658393814808</v>
      </c>
      <c r="O174">
        <f t="shared" si="10"/>
        <v>1.4876583938147836E-2</v>
      </c>
      <c r="R174">
        <v>24.394018945350588</v>
      </c>
    </row>
    <row r="175" spans="2:18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0.35642795513373587</v>
      </c>
      <c r="O175">
        <f t="shared" si="10"/>
        <v>1.4427955133735626E-2</v>
      </c>
      <c r="R175">
        <v>23.091009813292203</v>
      </c>
    </row>
    <row r="176" spans="2:18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0.35876135613865912</v>
      </c>
      <c r="O176">
        <f t="shared" si="10"/>
        <v>1.4761356138658865E-2</v>
      </c>
      <c r="R176">
        <v>23.012506300096547</v>
      </c>
    </row>
    <row r="177" spans="2:18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0.35954084826337795</v>
      </c>
      <c r="O177">
        <f t="shared" si="10"/>
        <v>1.3540848263377703E-2</v>
      </c>
      <c r="R177">
        <v>26.456643436976417</v>
      </c>
    </row>
    <row r="178" spans="2:18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0.36110237019743197</v>
      </c>
      <c r="O178">
        <f t="shared" si="10"/>
        <v>1.3102370197431712E-2</v>
      </c>
      <c r="R178">
        <v>24.241752448129894</v>
      </c>
    </row>
    <row r="179" spans="2:18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0.36188440000676714</v>
      </c>
      <c r="O179">
        <f t="shared" si="10"/>
        <v>1.1884400006766882E-2</v>
      </c>
      <c r="R179">
        <v>23.843541400311814</v>
      </c>
    </row>
    <row r="180" spans="2:18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0.36266727571097468</v>
      </c>
      <c r="O180">
        <f t="shared" si="10"/>
        <v>1.0667275710974422E-2</v>
      </c>
      <c r="R180">
        <v>27.57955361710798</v>
      </c>
    </row>
    <row r="181" spans="2:18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0.36423556480400621</v>
      </c>
      <c r="O181">
        <f t="shared" si="10"/>
        <v>1.0235564804005948E-2</v>
      </c>
      <c r="R181">
        <v>29.808172862940914</v>
      </c>
    </row>
    <row r="182" spans="2:18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0.36423556480400621</v>
      </c>
      <c r="O182">
        <f t="shared" si="10"/>
        <v>8.2355648040059459E-3</v>
      </c>
      <c r="R182">
        <v>28.252767674728336</v>
      </c>
    </row>
    <row r="183" spans="2:18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0.36896073356003306</v>
      </c>
      <c r="O183">
        <f t="shared" si="10"/>
        <v>1.0960733560032798E-2</v>
      </c>
      <c r="R183">
        <v>23.479864033392914</v>
      </c>
    </row>
    <row r="184" spans="2:18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0.36975122231809038</v>
      </c>
      <c r="O184">
        <f t="shared" si="10"/>
        <v>9.7512223180901136E-3</v>
      </c>
      <c r="R184">
        <v>25.358429731773811</v>
      </c>
    </row>
    <row r="185" spans="2:18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0.37292163629904074</v>
      </c>
      <c r="O185">
        <f t="shared" si="10"/>
        <v>1.0921636299040471E-2</v>
      </c>
      <c r="R185">
        <v>23.789743958554727</v>
      </c>
    </row>
    <row r="186" spans="2:18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0.37292163629904074</v>
      </c>
      <c r="O186">
        <f t="shared" si="10"/>
        <v>8.9216362990404696E-3</v>
      </c>
      <c r="R186">
        <v>26.258729322345499</v>
      </c>
    </row>
    <row r="187" spans="2:18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0.37530832868091163</v>
      </c>
      <c r="O187">
        <f t="shared" si="10"/>
        <v>9.3083286809113597E-3</v>
      </c>
      <c r="R187">
        <v>22.141109641411816</v>
      </c>
    </row>
    <row r="188" spans="2:18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0.37610558459794607</v>
      </c>
      <c r="O188">
        <f t="shared" si="10"/>
        <v>8.105584597945803E-3</v>
      </c>
      <c r="R188">
        <v>25.875447529015851</v>
      </c>
    </row>
    <row r="189" spans="2:18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0.37610558459794607</v>
      </c>
      <c r="O189">
        <f t="shared" si="10"/>
        <v>6.1055845979458012E-3</v>
      </c>
      <c r="R189">
        <v>30.809021120122402</v>
      </c>
    </row>
    <row r="190" spans="2:18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0.37850242771828313</v>
      </c>
      <c r="O190">
        <f t="shared" si="10"/>
        <v>6.5024277182828549E-3</v>
      </c>
      <c r="R190">
        <v>19.068842820582709</v>
      </c>
    </row>
    <row r="191" spans="2:18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0.38090688389246996</v>
      </c>
      <c r="O191">
        <f t="shared" si="10"/>
        <v>6.906883892469684E-3</v>
      </c>
      <c r="R191">
        <v>18.7753674620879</v>
      </c>
    </row>
    <row r="192" spans="2:18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0.38171006107360972</v>
      </c>
      <c r="O192">
        <f t="shared" si="10"/>
        <v>5.7100610736094404E-3</v>
      </c>
      <c r="R192">
        <v>27.976100811904839</v>
      </c>
    </row>
    <row r="193" spans="2:18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0.38251408414962196</v>
      </c>
      <c r="O193">
        <f t="shared" si="10"/>
        <v>4.5140841496216777E-3</v>
      </c>
      <c r="R193">
        <v>26.928483649427449</v>
      </c>
    </row>
    <row r="194" spans="2:18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0.38412466798626271</v>
      </c>
      <c r="O194">
        <f t="shared" si="10"/>
        <v>4.1246679862624314E-3</v>
      </c>
      <c r="R194">
        <v>29.396062901581189</v>
      </c>
    </row>
    <row r="195" spans="2:18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0.38654688795276532</v>
      </c>
      <c r="O195">
        <f t="shared" si="10"/>
        <v>4.546887952765033E-3</v>
      </c>
      <c r="R195">
        <v>25.169391747957832</v>
      </c>
    </row>
    <row r="196" spans="2:18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0.38816593073812794</v>
      </c>
      <c r="O196">
        <f t="shared" si="10"/>
        <v>4.1659307381276545E-3</v>
      </c>
      <c r="R196">
        <v>15.155699607433752</v>
      </c>
    </row>
    <row r="197" spans="2:18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0.38978835710297932</v>
      </c>
      <c r="O197">
        <f t="shared" si="10"/>
        <v>3.7883571029790342E-3</v>
      </c>
      <c r="R197">
        <v>28.903458098177506</v>
      </c>
    </row>
    <row r="198" spans="2:18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(J198-$H$7)^2/(($H$8-$H$7)*($H$9-$H$7))</f>
        <v>0.39549349506843295</v>
      </c>
      <c r="O198">
        <f t="shared" ref="O198:O261" si="14">ABS(M198-N198)</f>
        <v>7.4934950684326651E-3</v>
      </c>
      <c r="R198">
        <v>26.301261007392192</v>
      </c>
    </row>
    <row r="199" spans="2:18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0.39549349506843295</v>
      </c>
      <c r="O199">
        <f t="shared" si="14"/>
        <v>5.4934950684326633E-3</v>
      </c>
      <c r="R199">
        <v>21.615471425905035</v>
      </c>
    </row>
    <row r="200" spans="2:18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0.39713114754098366</v>
      </c>
      <c r="O200">
        <f t="shared" si="14"/>
        <v>5.1311475409833718E-3</v>
      </c>
      <c r="R200">
        <v>29.441075340834118</v>
      </c>
    </row>
    <row r="201" spans="2:18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0.39877218359302308</v>
      </c>
      <c r="O201">
        <f t="shared" si="14"/>
        <v>4.7721835930227829E-3</v>
      </c>
      <c r="R201">
        <v>30.047367524818174</v>
      </c>
    </row>
    <row r="202" spans="2:18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0.3995939704613512</v>
      </c>
      <c r="O202">
        <f t="shared" si="14"/>
        <v>3.5939704613509038E-3</v>
      </c>
      <c r="R202">
        <v>25.671570828242466</v>
      </c>
    </row>
    <row r="203" spans="2:18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0.40206440643556818</v>
      </c>
      <c r="O203">
        <f t="shared" si="14"/>
        <v>4.0644064355678799E-3</v>
      </c>
      <c r="R203">
        <v>16.771459661590065</v>
      </c>
    </row>
    <row r="204" spans="2:18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0.40206440643556818</v>
      </c>
      <c r="O204">
        <f t="shared" si="14"/>
        <v>2.0644064355678782E-3</v>
      </c>
      <c r="R204">
        <v>17.660966922050957</v>
      </c>
    </row>
    <row r="205" spans="2:18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0.40454245546363499</v>
      </c>
      <c r="O205">
        <f t="shared" si="14"/>
        <v>2.5424554636346852E-3</v>
      </c>
      <c r="R205">
        <v>16.600406492055697</v>
      </c>
    </row>
    <row r="206" spans="2:18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0.40952139268131749</v>
      </c>
      <c r="O206">
        <f t="shared" si="14"/>
        <v>5.5213926813171832E-3</v>
      </c>
      <c r="R206">
        <v>19.105237316360032</v>
      </c>
    </row>
    <row r="207" spans="2:18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0.41035417618298403</v>
      </c>
      <c r="O207">
        <f t="shared" si="14"/>
        <v>4.3541761829837267E-3</v>
      </c>
      <c r="R207">
        <v>26.401536179990426</v>
      </c>
    </row>
    <row r="208" spans="2:18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0.4120222808709334</v>
      </c>
      <c r="O208">
        <f t="shared" si="14"/>
        <v>4.0222808709330926E-3</v>
      </c>
      <c r="R208">
        <v>25.741110626191926</v>
      </c>
    </row>
    <row r="209" spans="2:18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0.41369376913837147</v>
      </c>
      <c r="O209">
        <f t="shared" si="14"/>
        <v>3.6937691383711613E-3</v>
      </c>
      <c r="R209">
        <v>28.612299208450654</v>
      </c>
    </row>
    <row r="210" spans="2:18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0.41453078211439892</v>
      </c>
      <c r="O210">
        <f t="shared" si="14"/>
        <v>2.5307821143986109E-3</v>
      </c>
      <c r="R210">
        <v>27.75141849900551</v>
      </c>
    </row>
    <row r="211" spans="2:18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0.41620734575107016</v>
      </c>
      <c r="O211">
        <f t="shared" si="14"/>
        <v>2.2073457510698447E-3</v>
      </c>
      <c r="R211">
        <v>22.718982904327099</v>
      </c>
    </row>
    <row r="212" spans="2:18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0.4178872929672301</v>
      </c>
      <c r="O212">
        <f t="shared" si="14"/>
        <v>1.8872929672297811E-3</v>
      </c>
      <c r="R212">
        <v>29.175382020001951</v>
      </c>
    </row>
    <row r="213" spans="2:18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0.41872853541761851</v>
      </c>
      <c r="O213">
        <f t="shared" si="14"/>
        <v>7.285354176181924E-4</v>
      </c>
      <c r="R213">
        <v>27.935445553253786</v>
      </c>
    </row>
    <row r="214" spans="2:18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0.41957062376287879</v>
      </c>
      <c r="O214">
        <f t="shared" si="14"/>
        <v>4.2937623712152595E-4</v>
      </c>
      <c r="R214">
        <v>19.862699382047257</v>
      </c>
    </row>
    <row r="215" spans="2:18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0.41957062376287879</v>
      </c>
      <c r="O215">
        <f t="shared" si="14"/>
        <v>2.4293762371215277E-3</v>
      </c>
      <c r="R215">
        <v>23.415686750889403</v>
      </c>
    </row>
    <row r="216" spans="2:18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0.42294743609264235</v>
      </c>
      <c r="O216">
        <f t="shared" si="14"/>
        <v>1.0525639073579729E-3</v>
      </c>
      <c r="R216">
        <v>28.245260905459503</v>
      </c>
    </row>
    <row r="217" spans="2:18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0.42379375391226382</v>
      </c>
      <c r="O217">
        <f t="shared" si="14"/>
        <v>2.2062460877365075E-3</v>
      </c>
      <c r="R217">
        <v>25.929189763146447</v>
      </c>
    </row>
    <row r="218" spans="2:18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0.42464091762675726</v>
      </c>
      <c r="O218">
        <f t="shared" si="14"/>
        <v>3.3590823732430608E-3</v>
      </c>
      <c r="R218">
        <v>25.508976869052901</v>
      </c>
    </row>
    <row r="219" spans="2:18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0.42464091762675726</v>
      </c>
      <c r="O219">
        <f t="shared" si="14"/>
        <v>5.3590823732430626E-3</v>
      </c>
      <c r="R219">
        <v>29.613409153317036</v>
      </c>
    </row>
    <row r="220" spans="2:18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0.42633778274036122</v>
      </c>
      <c r="O220">
        <f t="shared" si="14"/>
        <v>5.6622172596391129E-3</v>
      </c>
      <c r="R220">
        <v>31.722252624177987</v>
      </c>
    </row>
    <row r="221" spans="2:18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0.42803803143345359</v>
      </c>
      <c r="O221">
        <f t="shared" si="14"/>
        <v>5.9619685665467381E-3</v>
      </c>
      <c r="R221">
        <v>26.63218332864605</v>
      </c>
    </row>
    <row r="222" spans="2:18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0.42803803143345359</v>
      </c>
      <c r="O222">
        <f t="shared" si="14"/>
        <v>7.9619685665467399E-3</v>
      </c>
      <c r="R222">
        <v>28.920753785041725</v>
      </c>
    </row>
    <row r="223" spans="2:18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0.43144867955810456</v>
      </c>
      <c r="O223">
        <f t="shared" si="14"/>
        <v>6.5513204418957693E-3</v>
      </c>
      <c r="R223">
        <v>20.593260273530635</v>
      </c>
    </row>
    <row r="224" spans="2:18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0.43487286200071057</v>
      </c>
      <c r="O224">
        <f t="shared" si="14"/>
        <v>5.1271379992897659E-3</v>
      </c>
      <c r="R224">
        <v>25.29729767653431</v>
      </c>
    </row>
    <row r="225" spans="2:18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0.43487286200071057</v>
      </c>
      <c r="O225">
        <f t="shared" si="14"/>
        <v>7.1271379992897677E-3</v>
      </c>
      <c r="R225">
        <v>20.982885158870758</v>
      </c>
    </row>
    <row r="226" spans="2:18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0.43659002859124663</v>
      </c>
      <c r="O226">
        <f t="shared" si="14"/>
        <v>7.4099714087537127E-3</v>
      </c>
      <c r="R226">
        <v>31.23623511126123</v>
      </c>
    </row>
    <row r="227" spans="2:18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0.44003451251078535</v>
      </c>
      <c r="O227">
        <f t="shared" si="14"/>
        <v>5.9654874892149934E-3</v>
      </c>
      <c r="R227">
        <v>21.888218653608735</v>
      </c>
    </row>
    <row r="228" spans="2:18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0.44003451251078535</v>
      </c>
      <c r="O228">
        <f t="shared" si="14"/>
        <v>7.9654874892149952E-3</v>
      </c>
      <c r="R228">
        <v>25.532809431795691</v>
      </c>
    </row>
    <row r="229" spans="2:18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0.44089774822785022</v>
      </c>
      <c r="O229">
        <f t="shared" si="14"/>
        <v>9.1022517721501273E-3</v>
      </c>
      <c r="R229">
        <v>25.47755755186931</v>
      </c>
    </row>
    <row r="230" spans="2:18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0.44262675734659696</v>
      </c>
      <c r="O230">
        <f t="shared" si="14"/>
        <v>9.3732426534033908E-3</v>
      </c>
      <c r="R230">
        <v>17.214463329118725</v>
      </c>
    </row>
    <row r="231" spans="2:18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0.44349253074827871</v>
      </c>
      <c r="O231">
        <f t="shared" si="14"/>
        <v>1.0507469251721635E-2</v>
      </c>
      <c r="R231">
        <v>27.071610989806782</v>
      </c>
    </row>
    <row r="232" spans="2:18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0.44522661523625856</v>
      </c>
      <c r="O232">
        <f t="shared" si="14"/>
        <v>1.0773384763741789E-2</v>
      </c>
      <c r="R232">
        <v>22.894708411740346</v>
      </c>
    </row>
    <row r="233" spans="2:18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0.44783408617976977</v>
      </c>
      <c r="O233">
        <f t="shared" si="14"/>
        <v>1.0165913820230577E-2</v>
      </c>
      <c r="R233">
        <v>28.661354413554267</v>
      </c>
    </row>
    <row r="234" spans="2:18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0.44783408617976977</v>
      </c>
      <c r="O234">
        <f t="shared" si="14"/>
        <v>1.2165913820230578E-2</v>
      </c>
      <c r="R234">
        <v>27.799450485590569</v>
      </c>
    </row>
    <row r="235" spans="2:18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0.45044917017713032</v>
      </c>
      <c r="O235">
        <f t="shared" si="14"/>
        <v>1.1550829822870035E-2</v>
      </c>
      <c r="R235">
        <v>30.189666523317996</v>
      </c>
    </row>
    <row r="236" spans="2:18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0.4513225566326618</v>
      </c>
      <c r="O236">
        <f t="shared" si="14"/>
        <v>1.2677443367338559E-2</v>
      </c>
      <c r="R236">
        <v>29.299889998420195</v>
      </c>
    </row>
    <row r="237" spans="2:18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0.4513225566326618</v>
      </c>
      <c r="O237">
        <f t="shared" si="14"/>
        <v>1.4677443367338561E-2</v>
      </c>
      <c r="R237">
        <v>25.111680081063191</v>
      </c>
    </row>
    <row r="238" spans="2:18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0.45307186722834092</v>
      </c>
      <c r="O238">
        <f t="shared" si="14"/>
        <v>1.4928132771659441E-2</v>
      </c>
      <c r="R238">
        <v>22.187011467389315</v>
      </c>
    </row>
    <row r="239" spans="2:18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0.4548245614035088</v>
      </c>
      <c r="O239">
        <f t="shared" si="14"/>
        <v>1.5175438596491564E-2</v>
      </c>
      <c r="R239">
        <v>26.564707768096788</v>
      </c>
    </row>
    <row r="240" spans="2:18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0.45570217733340118</v>
      </c>
      <c r="O240">
        <f t="shared" si="14"/>
        <v>1.6297822666599182E-2</v>
      </c>
      <c r="R240">
        <v>20.543498446631713</v>
      </c>
    </row>
    <row r="241" spans="2:18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0.45658063915816538</v>
      </c>
      <c r="O241">
        <f t="shared" si="14"/>
        <v>1.7419360841834985E-2</v>
      </c>
      <c r="R241">
        <v>30.097332676225353</v>
      </c>
    </row>
    <row r="242" spans="2:18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0.45922110000169186</v>
      </c>
      <c r="O242">
        <f t="shared" si="14"/>
        <v>1.6778899998308505E-2</v>
      </c>
      <c r="R242">
        <v>17.321720165328593</v>
      </c>
    </row>
    <row r="243" spans="2:18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0.46010294540594482</v>
      </c>
      <c r="O243">
        <f t="shared" si="14"/>
        <v>1.789705459405555E-2</v>
      </c>
      <c r="R243">
        <v>31.184811821813575</v>
      </c>
    </row>
    <row r="244" spans="2:18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0.46010294540594482</v>
      </c>
      <c r="O244">
        <f t="shared" si="14"/>
        <v>1.9897054594055552E-2</v>
      </c>
      <c r="R244">
        <v>28.448344042086426</v>
      </c>
    </row>
    <row r="245" spans="2:18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0.46098563670507031</v>
      </c>
      <c r="O245">
        <f t="shared" si="14"/>
        <v>2.1014363294930061E-2</v>
      </c>
      <c r="R245">
        <v>26.786749728805084</v>
      </c>
    </row>
    <row r="246" spans="2:18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0.46098563670507031</v>
      </c>
      <c r="O246">
        <f t="shared" si="14"/>
        <v>2.3014363294930062E-2</v>
      </c>
      <c r="R246">
        <v>26.906274376405328</v>
      </c>
    </row>
    <row r="247" spans="2:18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0.46186917389906806</v>
      </c>
      <c r="O247">
        <f t="shared" si="14"/>
        <v>2.4130826100932312E-2</v>
      </c>
      <c r="R247">
        <v>21.508858604274394</v>
      </c>
    </row>
    <row r="248" spans="2:18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0.46275355698793752</v>
      </c>
      <c r="O248">
        <f t="shared" si="14"/>
        <v>2.5246443012062858E-2</v>
      </c>
      <c r="R248">
        <v>26.787528402463174</v>
      </c>
    </row>
    <row r="249" spans="2:18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0.46541178162377994</v>
      </c>
      <c r="O249">
        <f t="shared" si="14"/>
        <v>2.4588218376220439E-2</v>
      </c>
      <c r="R249">
        <v>23.876791212666625</v>
      </c>
    </row>
    <row r="250" spans="2:18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0.46541178162377994</v>
      </c>
      <c r="O250">
        <f t="shared" si="14"/>
        <v>2.658821837622044E-2</v>
      </c>
      <c r="R250">
        <v>27.296473805499335</v>
      </c>
    </row>
    <row r="251" spans="2:18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0.46629954829213816</v>
      </c>
      <c r="O251">
        <f t="shared" si="14"/>
        <v>2.7700451707862228E-2</v>
      </c>
      <c r="R251">
        <v>27.012212036876889</v>
      </c>
    </row>
    <row r="252" spans="2:18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0.46629954829213816</v>
      </c>
      <c r="O252">
        <f t="shared" si="14"/>
        <v>2.970045170786223E-2</v>
      </c>
      <c r="R252">
        <v>26.836534080337124</v>
      </c>
    </row>
    <row r="253" spans="2:18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0.46807761931347164</v>
      </c>
      <c r="O253">
        <f t="shared" si="14"/>
        <v>2.9922380686528749E-2</v>
      </c>
      <c r="R253">
        <v>19.688335694507369</v>
      </c>
    </row>
    <row r="254" spans="2:18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0.46896792366644674</v>
      </c>
      <c r="O254">
        <f t="shared" si="14"/>
        <v>3.1032076333553593E-2</v>
      </c>
      <c r="R254">
        <v>29.478034968368743</v>
      </c>
    </row>
    <row r="255" spans="2:18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0.46896792366644674</v>
      </c>
      <c r="O255">
        <f t="shared" si="14"/>
        <v>3.3032076333553595E-2</v>
      </c>
      <c r="R255">
        <v>24.149697856061223</v>
      </c>
    </row>
    <row r="256" spans="2:18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0.46896792366644674</v>
      </c>
      <c r="O256">
        <f t="shared" si="14"/>
        <v>3.5032076333553597E-2</v>
      </c>
      <c r="R256">
        <v>27.199866780089692</v>
      </c>
    </row>
    <row r="257" spans="2:18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0.47343213385440469</v>
      </c>
      <c r="O257">
        <f t="shared" si="14"/>
        <v>3.2567866145595648E-2</v>
      </c>
      <c r="R257">
        <v>26.769475701560996</v>
      </c>
    </row>
    <row r="258" spans="2:18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0.4752237391936931</v>
      </c>
      <c r="O258">
        <f t="shared" si="14"/>
        <v>3.2776260806307245E-2</v>
      </c>
      <c r="R258">
        <v>26.423217913858487</v>
      </c>
    </row>
    <row r="259" spans="2:18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0.47791749141416717</v>
      </c>
      <c r="O259">
        <f t="shared" si="14"/>
        <v>3.2082508585833169E-2</v>
      </c>
      <c r="R259">
        <v>28.509026268809091</v>
      </c>
    </row>
    <row r="260" spans="2:18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0.47881710061073612</v>
      </c>
      <c r="O260">
        <f t="shared" si="14"/>
        <v>3.318289938926422E-2</v>
      </c>
      <c r="R260">
        <v>19.614081299698888</v>
      </c>
    </row>
    <row r="261" spans="2:18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0.4797175557021775</v>
      </c>
      <c r="O261">
        <f t="shared" si="14"/>
        <v>3.4282444297822845E-2</v>
      </c>
      <c r="R261">
        <v>30.350789510101091</v>
      </c>
    </row>
    <row r="262" spans="2:18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(J262-$H$7)^2/(($H$8-$H$7)*($H$9-$H$7))</f>
        <v>0.48061885668849075</v>
      </c>
      <c r="O262">
        <f t="shared" ref="O262:O325" si="18">ABS(M262-N262)</f>
        <v>3.53811433115096E-2</v>
      </c>
      <c r="R262">
        <v>20.170474143584343</v>
      </c>
    </row>
    <row r="263" spans="2:18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0.48332783501666415</v>
      </c>
      <c r="O263">
        <f t="shared" si="18"/>
        <v>3.4672164983336196E-2</v>
      </c>
      <c r="R263">
        <v>17.392851519832291</v>
      </c>
    </row>
    <row r="264" spans="2:18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0.48332783501666415</v>
      </c>
      <c r="O264">
        <f t="shared" si="18"/>
        <v>3.6672164983336197E-2</v>
      </c>
      <c r="R264">
        <v>28.765409869575226</v>
      </c>
    </row>
    <row r="265" spans="2:18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0.48604442639868733</v>
      </c>
      <c r="O265">
        <f t="shared" si="18"/>
        <v>3.5955573601313018E-2</v>
      </c>
      <c r="R265">
        <v>27.24206004576876</v>
      </c>
    </row>
    <row r="266" spans="2:18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0.4915004483242823</v>
      </c>
      <c r="O266">
        <f t="shared" si="18"/>
        <v>3.2499551675718052E-2</v>
      </c>
      <c r="R266">
        <v>24.681980584717309</v>
      </c>
    </row>
    <row r="267" spans="2:18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0.49332588945845807</v>
      </c>
      <c r="O267">
        <f t="shared" si="18"/>
        <v>3.2674110541542289E-2</v>
      </c>
      <c r="R267">
        <v>25.31773422690895</v>
      </c>
    </row>
    <row r="268" spans="2:18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0.49332588945845807</v>
      </c>
      <c r="O268">
        <f t="shared" si="18"/>
        <v>3.4674110541542291E-2</v>
      </c>
      <c r="R268">
        <v>24.081031153173491</v>
      </c>
    </row>
    <row r="269" spans="2:18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0.4951547141721227</v>
      </c>
      <c r="O269">
        <f t="shared" si="18"/>
        <v>3.4845285827877659E-2</v>
      </c>
      <c r="R269">
        <v>21.954056509805994</v>
      </c>
    </row>
    <row r="270" spans="2:18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0.4951547141721227</v>
      </c>
      <c r="O270">
        <f t="shared" si="18"/>
        <v>3.6845285827877661E-2</v>
      </c>
      <c r="R270">
        <v>24.333567326929344</v>
      </c>
    </row>
    <row r="271" spans="2:18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0.5006614897900491</v>
      </c>
      <c r="O271">
        <f t="shared" si="18"/>
        <v>3.3338510209951266E-2</v>
      </c>
      <c r="R271">
        <v>28.481811864308202</v>
      </c>
    </row>
    <row r="272" spans="2:18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0.50158224635842252</v>
      </c>
      <c r="O272">
        <f t="shared" si="18"/>
        <v>3.4417753641577842E-2</v>
      </c>
      <c r="R272">
        <v>30.382636487732125</v>
      </c>
    </row>
    <row r="273" spans="2:18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0.50250384882166854</v>
      </c>
      <c r="O273">
        <f t="shared" si="18"/>
        <v>3.5496151178331825E-2</v>
      </c>
      <c r="R273">
        <v>25.930474138543552</v>
      </c>
    </row>
    <row r="274" spans="2:18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0.50250384882166854</v>
      </c>
      <c r="O274">
        <f t="shared" si="18"/>
        <v>3.7496151178331827E-2</v>
      </c>
      <c r="R274">
        <v>25.00794977638364</v>
      </c>
    </row>
    <row r="275" spans="2:18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0.50342629717978649</v>
      </c>
      <c r="O275">
        <f t="shared" si="18"/>
        <v>3.8573702820213884E-2</v>
      </c>
      <c r="R275">
        <v>26.127788104245198</v>
      </c>
    </row>
    <row r="276" spans="2:18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0.50712454956098074</v>
      </c>
      <c r="O276">
        <f t="shared" si="18"/>
        <v>3.687545043901963E-2</v>
      </c>
      <c r="R276">
        <v>27.463818831464287</v>
      </c>
    </row>
    <row r="277" spans="2:18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0.50805122739345954</v>
      </c>
      <c r="O277">
        <f t="shared" si="18"/>
        <v>3.7948772606540837E-2</v>
      </c>
      <c r="R277">
        <v>23.117599035001319</v>
      </c>
    </row>
    <row r="278" spans="2:18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0.50897875112081092</v>
      </c>
      <c r="O278">
        <f t="shared" si="18"/>
        <v>3.9021248879189452E-2</v>
      </c>
      <c r="R278">
        <v>24.385521466937718</v>
      </c>
    </row>
    <row r="279" spans="2:18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0.50897875112081092</v>
      </c>
      <c r="O279">
        <f t="shared" si="18"/>
        <v>4.1021248879189454E-2</v>
      </c>
      <c r="R279">
        <v>22.12071702425915</v>
      </c>
    </row>
    <row r="280" spans="2:18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0.50897875112081092</v>
      </c>
      <c r="O280">
        <f t="shared" si="18"/>
        <v>4.3021248879189455E-2</v>
      </c>
      <c r="R280">
        <v>25.160912427771219</v>
      </c>
    </row>
    <row r="281" spans="2:18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0.50990712074303401</v>
      </c>
      <c r="O281">
        <f t="shared" si="18"/>
        <v>4.4092879256966366E-2</v>
      </c>
      <c r="R281">
        <v>25.231222419643252</v>
      </c>
    </row>
    <row r="282" spans="2:18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0.51456165727723358</v>
      </c>
      <c r="O282">
        <f t="shared" si="18"/>
        <v>4.1438342722766808E-2</v>
      </c>
      <c r="R282">
        <v>25.420375802224008</v>
      </c>
    </row>
    <row r="283" spans="2:18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0.51642939315501868</v>
      </c>
      <c r="O283">
        <f t="shared" si="18"/>
        <v>4.1570606844981706E-2</v>
      </c>
      <c r="R283">
        <v>23.832061590852732</v>
      </c>
    </row>
    <row r="284" spans="2:18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0.51830051261229249</v>
      </c>
      <c r="O284">
        <f t="shared" si="18"/>
        <v>4.1699487387707901E-2</v>
      </c>
      <c r="R284">
        <v>28.455454537643085</v>
      </c>
    </row>
    <row r="285" spans="2:18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0.52299311441574048</v>
      </c>
      <c r="O285">
        <f t="shared" si="18"/>
        <v>3.9006885584259909E-2</v>
      </c>
      <c r="R285">
        <v>27.015936508833072</v>
      </c>
    </row>
    <row r="286" spans="2:18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0.52393417246104679</v>
      </c>
      <c r="O286">
        <f t="shared" si="18"/>
        <v>4.0065827538953602E-2</v>
      </c>
      <c r="R286">
        <v>29.092614599354569</v>
      </c>
    </row>
    <row r="287" spans="2:18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0.52770686359099306</v>
      </c>
      <c r="O287">
        <f t="shared" si="18"/>
        <v>3.8293136409007333E-2</v>
      </c>
      <c r="R287">
        <v>25.372288917635721</v>
      </c>
    </row>
    <row r="288" spans="2:18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0.5295982845251993</v>
      </c>
      <c r="O288">
        <f t="shared" si="18"/>
        <v>3.840171547480109E-2</v>
      </c>
      <c r="R288">
        <v>25.322452892465357</v>
      </c>
    </row>
    <row r="289" spans="2:18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0.5295982845251993</v>
      </c>
      <c r="O289">
        <f t="shared" si="18"/>
        <v>4.0401715474801092E-2</v>
      </c>
      <c r="R289">
        <v>27.43020381255964</v>
      </c>
    </row>
    <row r="290" spans="2:18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0.53149308903889425</v>
      </c>
      <c r="O290">
        <f t="shared" si="18"/>
        <v>4.0506910961106146E-2</v>
      </c>
      <c r="R290">
        <v>25.335287790098498</v>
      </c>
    </row>
    <row r="291" spans="2:18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0.53149308903889425</v>
      </c>
      <c r="O291">
        <f t="shared" si="18"/>
        <v>4.2506910961106148E-2</v>
      </c>
      <c r="R291">
        <v>27.836471595643374</v>
      </c>
    </row>
    <row r="292" spans="2:18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0.53339127713207801</v>
      </c>
      <c r="O292">
        <f t="shared" si="18"/>
        <v>4.2608722867922388E-2</v>
      </c>
      <c r="R292">
        <v>22.960791255058929</v>
      </c>
    </row>
    <row r="293" spans="2:18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0.53624490348339515</v>
      </c>
      <c r="O293">
        <f t="shared" si="18"/>
        <v>4.175509651660525E-2</v>
      </c>
      <c r="R293">
        <v>21.303517257773443</v>
      </c>
    </row>
    <row r="294" spans="2:18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0.53719780405691164</v>
      </c>
      <c r="O294">
        <f t="shared" si="18"/>
        <v>4.2802195943088761E-2</v>
      </c>
      <c r="R294">
        <v>22.468016861702537</v>
      </c>
    </row>
    <row r="295" spans="2:18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0.53910614288856196</v>
      </c>
      <c r="O295">
        <f t="shared" si="18"/>
        <v>4.2893857111438449E-2</v>
      </c>
      <c r="R295">
        <v>26.509914641223766</v>
      </c>
    </row>
    <row r="296" spans="2:18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0.53910614288856196</v>
      </c>
      <c r="O296">
        <f t="shared" si="18"/>
        <v>4.4893857111438451E-2</v>
      </c>
      <c r="R296">
        <v>24.631963139691063</v>
      </c>
    </row>
    <row r="297" spans="2:18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0.54101786529970075</v>
      </c>
      <c r="O297">
        <f t="shared" si="18"/>
        <v>4.4982134700299659E-2</v>
      </c>
      <c r="R297">
        <v>19.11936117104289</v>
      </c>
    </row>
    <row r="298" spans="2:18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0.54101786529970075</v>
      </c>
      <c r="O298">
        <f t="shared" si="18"/>
        <v>4.698213470029966E-2</v>
      </c>
      <c r="R298">
        <v>26.605427408332655</v>
      </c>
    </row>
    <row r="299" spans="2:18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0.54677333401004924</v>
      </c>
      <c r="O299">
        <f t="shared" si="18"/>
        <v>4.3226665989951174E-2</v>
      </c>
      <c r="R299">
        <v>25.93287221579034</v>
      </c>
    </row>
    <row r="300" spans="2:18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0.54773553942716013</v>
      </c>
      <c r="O300">
        <f t="shared" si="18"/>
        <v>4.4264460572840281E-2</v>
      </c>
      <c r="R300">
        <v>19.689955371145047</v>
      </c>
    </row>
    <row r="301" spans="2:18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0.54869859073914296</v>
      </c>
      <c r="O301">
        <f t="shared" si="18"/>
        <v>4.5301409260857461E-2</v>
      </c>
      <c r="R301">
        <v>29.785155905117303</v>
      </c>
    </row>
    <row r="302" spans="2:18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0.54869859073914296</v>
      </c>
      <c r="O302">
        <f t="shared" si="18"/>
        <v>4.7301409260857463E-2</v>
      </c>
      <c r="R302">
        <v>26.1883971078054</v>
      </c>
    </row>
    <row r="303" spans="2:18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0.54966248794599826</v>
      </c>
      <c r="O303">
        <f t="shared" si="18"/>
        <v>4.8337512054002163E-2</v>
      </c>
      <c r="R303">
        <v>17.815858309598291</v>
      </c>
    </row>
    <row r="304" spans="2:18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0.55159282004432508</v>
      </c>
      <c r="O304">
        <f t="shared" si="18"/>
        <v>4.8407179955675339E-2</v>
      </c>
      <c r="R304">
        <v>28.287035493756559</v>
      </c>
    </row>
    <row r="305" spans="2:18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0.55159282004432508</v>
      </c>
      <c r="O305">
        <f t="shared" si="18"/>
        <v>5.0407179955675341E-2</v>
      </c>
      <c r="R305">
        <v>23.659496720018769</v>
      </c>
    </row>
    <row r="306" spans="2:18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0.5535265357221405</v>
      </c>
      <c r="O306">
        <f t="shared" si="18"/>
        <v>5.0473464277859925E-2</v>
      </c>
      <c r="R306">
        <v>26.382781799987036</v>
      </c>
    </row>
    <row r="307" spans="2:18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0.55449466240335676</v>
      </c>
      <c r="O307">
        <f t="shared" si="18"/>
        <v>5.1505337596643663E-2</v>
      </c>
      <c r="R307">
        <v>25.096833454828488</v>
      </c>
    </row>
    <row r="308" spans="2:18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0.55643345345040529</v>
      </c>
      <c r="O308">
        <f t="shared" si="18"/>
        <v>5.1566546549595138E-2</v>
      </c>
      <c r="R308">
        <v>24.494411566036753</v>
      </c>
    </row>
    <row r="309" spans="2:18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0.55837562807694274</v>
      </c>
      <c r="O309">
        <f t="shared" si="18"/>
        <v>5.1624371923057688E-2</v>
      </c>
      <c r="R309">
        <v>24.130801707306862</v>
      </c>
    </row>
    <row r="310" spans="2:18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0.56129523422828997</v>
      </c>
      <c r="O310">
        <f t="shared" si="18"/>
        <v>5.0704765771710458E-2</v>
      </c>
      <c r="R310">
        <v>24.281092289268159</v>
      </c>
    </row>
    <row r="311" spans="2:18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0.56129523422828997</v>
      </c>
      <c r="O311">
        <f t="shared" si="18"/>
        <v>5.270476577171046E-2</v>
      </c>
      <c r="R311">
        <v>29.613331130463269</v>
      </c>
    </row>
    <row r="312" spans="2:18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0.56227012806848375</v>
      </c>
      <c r="O312">
        <f t="shared" si="18"/>
        <v>5.3729871931516682E-2</v>
      </c>
      <c r="R312">
        <v>23.640307189855456</v>
      </c>
    </row>
    <row r="313" spans="2:18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0.56617816237797969</v>
      </c>
      <c r="O313">
        <f t="shared" si="18"/>
        <v>5.182183762202075E-2</v>
      </c>
      <c r="R313">
        <v>30.52038597378068</v>
      </c>
    </row>
    <row r="314" spans="2:18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0.56715728569253421</v>
      </c>
      <c r="O314">
        <f t="shared" si="18"/>
        <v>5.2842714307466232E-2</v>
      </c>
      <c r="R314">
        <v>28.58329852901694</v>
      </c>
    </row>
    <row r="315" spans="2:18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0.56813725490196065</v>
      </c>
      <c r="O315">
        <f t="shared" si="18"/>
        <v>5.3862745098039788E-2</v>
      </c>
      <c r="R315">
        <v>21.672165033064246</v>
      </c>
    </row>
    <row r="316" spans="2:18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0.5691180700062598</v>
      </c>
      <c r="O316">
        <f t="shared" si="18"/>
        <v>5.4881929993740641E-2</v>
      </c>
      <c r="R316">
        <v>21.701967473100609</v>
      </c>
    </row>
    <row r="317" spans="2:18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0.57009973100543088</v>
      </c>
      <c r="O317">
        <f t="shared" si="18"/>
        <v>5.5900268994569569E-2</v>
      </c>
      <c r="R317">
        <v>20.667900803439142</v>
      </c>
    </row>
    <row r="318" spans="2:18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0.57108223789947388</v>
      </c>
      <c r="O318">
        <f t="shared" si="18"/>
        <v>5.691776210052657E-2</v>
      </c>
      <c r="R318">
        <v>20.088639161832816</v>
      </c>
    </row>
    <row r="319" spans="2:18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0.57206559068838947</v>
      </c>
      <c r="O319">
        <f t="shared" si="18"/>
        <v>5.7934409311610979E-2</v>
      </c>
      <c r="R319">
        <v>22.231860534531453</v>
      </c>
    </row>
    <row r="320" spans="2:18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0.57304978937217677</v>
      </c>
      <c r="O320">
        <f t="shared" si="18"/>
        <v>5.8950210627823685E-2</v>
      </c>
      <c r="R320">
        <v>20.964656288451415</v>
      </c>
    </row>
    <row r="321" spans="2:18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0.57304978937217677</v>
      </c>
      <c r="O321">
        <f t="shared" si="18"/>
        <v>6.0950210627823687E-2</v>
      </c>
      <c r="R321">
        <v>24.036982286543978</v>
      </c>
    </row>
    <row r="322" spans="2:18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0.57403483395083665</v>
      </c>
      <c r="O322">
        <f t="shared" si="18"/>
        <v>6.19651660491638E-2</v>
      </c>
      <c r="R322">
        <v>22.354298427372846</v>
      </c>
    </row>
    <row r="323" spans="2:18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0.57403483395083665</v>
      </c>
      <c r="O323">
        <f t="shared" si="18"/>
        <v>6.3965166049163802E-2</v>
      </c>
      <c r="R323">
        <v>18.409010406283493</v>
      </c>
    </row>
    <row r="324" spans="2:18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0.57897274526721842</v>
      </c>
      <c r="O324">
        <f t="shared" si="18"/>
        <v>6.1027254732782032E-2</v>
      </c>
      <c r="R324">
        <v>19.569645575221173</v>
      </c>
    </row>
    <row r="325" spans="2:18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0.58095383105787635</v>
      </c>
      <c r="O325">
        <f t="shared" si="18"/>
        <v>6.1046168942124113E-2</v>
      </c>
      <c r="R325">
        <v>17.324179797752915</v>
      </c>
    </row>
    <row r="326" spans="2:18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8" si="21">(J326-$H$7)^2/(($H$8-$H$7)*($H$9-$H$7))</f>
        <v>0.58194564279551331</v>
      </c>
      <c r="O326">
        <f t="shared" ref="O326:O389" si="22">ABS(M326-N326)</f>
        <v>6.2054357204487154E-2</v>
      </c>
      <c r="R326">
        <v>22.37571987390448</v>
      </c>
    </row>
    <row r="327" spans="2:18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0.58393180395540445</v>
      </c>
      <c r="O327">
        <f t="shared" si="22"/>
        <v>6.2068196044596013E-2</v>
      </c>
      <c r="R327">
        <v>17.612144974352212</v>
      </c>
    </row>
    <row r="328" spans="2:18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0.58691738990678244</v>
      </c>
      <c r="O328">
        <f t="shared" si="22"/>
        <v>6.1082610093218026E-2</v>
      </c>
      <c r="R328">
        <v>25.593825348535667</v>
      </c>
    </row>
    <row r="329" spans="2:18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0.58791427701365295</v>
      </c>
      <c r="O329">
        <f t="shared" si="22"/>
        <v>6.2085722986347514E-2</v>
      </c>
      <c r="R329">
        <v>19.145952743245154</v>
      </c>
    </row>
    <row r="330" spans="2:18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0.59191028438985616</v>
      </c>
      <c r="O330">
        <f t="shared" si="22"/>
        <v>6.0089715610144312E-2</v>
      </c>
      <c r="R330">
        <v>27.063245487456854</v>
      </c>
    </row>
    <row r="331" spans="2:18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0.59591982608401439</v>
      </c>
      <c r="O331">
        <f t="shared" si="22"/>
        <v>5.8080173915986077E-2</v>
      </c>
      <c r="R331">
        <v>22.721433832667479</v>
      </c>
    </row>
    <row r="332" spans="2:18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0.59792967230032645</v>
      </c>
      <c r="O332">
        <f t="shared" si="22"/>
        <v>5.8070327699674018E-2</v>
      </c>
      <c r="R332">
        <v>29.54107252903388</v>
      </c>
    </row>
    <row r="333" spans="2:18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0.59792967230032645</v>
      </c>
      <c r="O333">
        <f t="shared" si="22"/>
        <v>6.007032769967402E-2</v>
      </c>
      <c r="R333">
        <v>28.206855844485009</v>
      </c>
    </row>
    <row r="334" spans="2:18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0.60195951547141713</v>
      </c>
      <c r="O334">
        <f t="shared" si="22"/>
        <v>5.8040484528583347E-2</v>
      </c>
      <c r="R334">
        <v>26.58322213151569</v>
      </c>
    </row>
    <row r="335" spans="2:18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0.60397951242619596</v>
      </c>
      <c r="O335">
        <f t="shared" si="22"/>
        <v>5.8020487573804513E-2</v>
      </c>
      <c r="R335">
        <v>23.036799738277288</v>
      </c>
    </row>
    <row r="336" spans="2:18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0.60600289296046306</v>
      </c>
      <c r="O336">
        <f t="shared" si="22"/>
        <v>5.7997107039537421E-2</v>
      </c>
      <c r="R336">
        <v>30.129149837666947</v>
      </c>
    </row>
    <row r="337" spans="2:18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0.60701585206990472</v>
      </c>
      <c r="O337">
        <f t="shared" si="22"/>
        <v>5.8984147930095765E-2</v>
      </c>
      <c r="R337">
        <v>26.820589430401817</v>
      </c>
    </row>
    <row r="338" spans="2:18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0.61005980476746358</v>
      </c>
      <c r="O338">
        <f t="shared" si="22"/>
        <v>5.7940195232536906E-2</v>
      </c>
      <c r="R338">
        <v>18.346070052941219</v>
      </c>
    </row>
    <row r="339" spans="2:18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0.61514997716083863</v>
      </c>
      <c r="O339">
        <f t="shared" si="22"/>
        <v>5.4850022839161849E-2</v>
      </c>
      <c r="R339">
        <v>22.095118344039996</v>
      </c>
    </row>
    <row r="340" spans="2:18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0.62026129692601828</v>
      </c>
      <c r="O340">
        <f t="shared" si="22"/>
        <v>5.1738703073982206E-2</v>
      </c>
      <c r="R340">
        <v>25.686953959222294</v>
      </c>
    </row>
    <row r="341" spans="2:18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0.62231174609619544</v>
      </c>
      <c r="O341">
        <f t="shared" si="22"/>
        <v>5.1688253903805048E-2</v>
      </c>
      <c r="R341">
        <v>25.386995715805412</v>
      </c>
    </row>
    <row r="342" spans="2:18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0.62231174609619544</v>
      </c>
      <c r="O342">
        <f t="shared" si="22"/>
        <v>5.368825390380505E-2</v>
      </c>
      <c r="R342">
        <v>24.857014229774428</v>
      </c>
    </row>
    <row r="343" spans="2:18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0.62231174609619544</v>
      </c>
      <c r="O343">
        <f t="shared" si="22"/>
        <v>5.5688253903805052E-2</v>
      </c>
      <c r="R343">
        <v>27.275059148927426</v>
      </c>
    </row>
    <row r="344" spans="2:18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0.62333823952359202</v>
      </c>
      <c r="O344">
        <f t="shared" si="22"/>
        <v>5.6661760476408474E-2</v>
      </c>
      <c r="R344">
        <v>24.134093681763389</v>
      </c>
    </row>
    <row r="345" spans="2:18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0.62436557884586119</v>
      </c>
      <c r="O345">
        <f t="shared" si="22"/>
        <v>5.7634421154139304E-2</v>
      </c>
      <c r="R345">
        <v>26.235525467524532</v>
      </c>
    </row>
    <row r="346" spans="2:18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0.62539376406300229</v>
      </c>
      <c r="O346">
        <f t="shared" si="22"/>
        <v>5.8606235936998208E-2</v>
      </c>
      <c r="R346">
        <v>18.302931066269306</v>
      </c>
    </row>
    <row r="347" spans="2:18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0.63364969801553073</v>
      </c>
      <c r="O347">
        <f t="shared" si="22"/>
        <v>5.2350301984469771E-2</v>
      </c>
      <c r="R347">
        <v>16.364660638552195</v>
      </c>
    </row>
    <row r="348" spans="2:18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0.63468549628652138</v>
      </c>
      <c r="O348">
        <f t="shared" si="22"/>
        <v>5.3314503713479122E-2</v>
      </c>
      <c r="R348">
        <v>26.325348495203734</v>
      </c>
    </row>
    <row r="349" spans="2:18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0.63779796646872733</v>
      </c>
      <c r="O349">
        <f t="shared" si="22"/>
        <v>5.2202033531273173E-2</v>
      </c>
      <c r="R349">
        <v>19.218146684218041</v>
      </c>
    </row>
    <row r="350" spans="2:18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0.64300233466984735</v>
      </c>
      <c r="O350">
        <f t="shared" si="22"/>
        <v>4.8997665330153151E-2</v>
      </c>
      <c r="R350">
        <v>28.931978290165549</v>
      </c>
    </row>
    <row r="351" spans="2:18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0.64404574599468767</v>
      </c>
      <c r="O351">
        <f t="shared" si="22"/>
        <v>4.9954254005312837E-2</v>
      </c>
      <c r="R351">
        <v>25.679427110876219</v>
      </c>
    </row>
    <row r="352" spans="2:18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0.64927549104197335</v>
      </c>
      <c r="O352">
        <f t="shared" si="22"/>
        <v>4.6724508958027156E-2</v>
      </c>
      <c r="R352">
        <v>25.151943956314774</v>
      </c>
    </row>
    <row r="353" spans="2:18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0.65242348880881096</v>
      </c>
      <c r="O353">
        <f t="shared" si="22"/>
        <v>4.557651119118955E-2</v>
      </c>
      <c r="R353">
        <v>19.666109437770373</v>
      </c>
    </row>
    <row r="354" spans="2:18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0.65347451318750094</v>
      </c>
      <c r="O354">
        <f t="shared" si="22"/>
        <v>4.6525486812499572E-2</v>
      </c>
      <c r="R354">
        <v>23.909727210237637</v>
      </c>
    </row>
    <row r="355" spans="2:18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0.65663266169280488</v>
      </c>
      <c r="O355">
        <f t="shared" si="22"/>
        <v>4.5367338307195637E-2</v>
      </c>
      <c r="R355">
        <v>30.559060573921343</v>
      </c>
    </row>
    <row r="356" spans="2:18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0.657687069650984</v>
      </c>
      <c r="O356">
        <f t="shared" si="22"/>
        <v>4.6312930349016512E-2</v>
      </c>
      <c r="R356">
        <v>26.640346582654949</v>
      </c>
    </row>
    <row r="357" spans="2:18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0.66403128119237342</v>
      </c>
      <c r="O357">
        <f t="shared" si="22"/>
        <v>4.1968718807627092E-2</v>
      </c>
      <c r="R357">
        <v>17.791791211439726</v>
      </c>
    </row>
    <row r="358" spans="2:18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0.66403128119237342</v>
      </c>
      <c r="O358">
        <f t="shared" si="22"/>
        <v>4.3968718807627094E-2</v>
      </c>
      <c r="R358">
        <v>22.621427749038865</v>
      </c>
    </row>
    <row r="359" spans="2:18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0.66509161041465792</v>
      </c>
      <c r="O359">
        <f t="shared" si="22"/>
        <v>4.4908389585342601E-2</v>
      </c>
      <c r="R359">
        <v>26.19064555613383</v>
      </c>
    </row>
    <row r="360" spans="2:18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0.66615278553181412</v>
      </c>
      <c r="O360">
        <f t="shared" si="22"/>
        <v>4.5847214468186404E-2</v>
      </c>
      <c r="R360">
        <v>23.389357829776657</v>
      </c>
    </row>
    <row r="361" spans="2:18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0.66721480654384291</v>
      </c>
      <c r="O361">
        <f t="shared" si="22"/>
        <v>4.6785193456157614E-2</v>
      </c>
      <c r="R361">
        <v>25.301957738698999</v>
      </c>
    </row>
    <row r="362" spans="2:18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0.66721480654384291</v>
      </c>
      <c r="O362">
        <f t="shared" si="22"/>
        <v>4.8785193456157616E-2</v>
      </c>
      <c r="R362">
        <v>30.401738579452982</v>
      </c>
    </row>
    <row r="363" spans="2:18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0.66827767345074351</v>
      </c>
      <c r="O363">
        <f t="shared" si="22"/>
        <v>4.9722326549257012E-2</v>
      </c>
      <c r="R363">
        <v>24.787549962308653</v>
      </c>
    </row>
    <row r="364" spans="2:18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0.67574142685547045</v>
      </c>
      <c r="O364">
        <f t="shared" si="22"/>
        <v>4.4258573144530078E-2</v>
      </c>
      <c r="R364">
        <v>14.776074997291843</v>
      </c>
    </row>
    <row r="365" spans="2:18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0.6800250384882166</v>
      </c>
      <c r="O365">
        <f t="shared" si="22"/>
        <v>4.1974961511783926E-2</v>
      </c>
      <c r="R365">
        <v>19.780860188337762</v>
      </c>
    </row>
    <row r="366" spans="2:18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0.68217191967382318</v>
      </c>
      <c r="O366">
        <f t="shared" si="22"/>
        <v>4.1828080326177353E-2</v>
      </c>
      <c r="R366">
        <v>20.386993084121379</v>
      </c>
    </row>
    <row r="367" spans="2:18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0.68217191967382318</v>
      </c>
      <c r="O367">
        <f t="shared" si="22"/>
        <v>4.3828080326177354E-2</v>
      </c>
      <c r="R367">
        <v>24.267263407819023</v>
      </c>
    </row>
    <row r="368" spans="2:18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0.68217191967382318</v>
      </c>
      <c r="O368">
        <f t="shared" si="22"/>
        <v>4.5828080326177356E-2</v>
      </c>
      <c r="R368">
        <v>23.098997401579606</v>
      </c>
    </row>
    <row r="369" spans="2:18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0.68539858566377365</v>
      </c>
      <c r="O369">
        <f t="shared" si="22"/>
        <v>4.4601414336226886E-2</v>
      </c>
      <c r="R369">
        <v>29.69473066942253</v>
      </c>
    </row>
    <row r="370" spans="2:18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0.68647583278350188</v>
      </c>
      <c r="O370">
        <f t="shared" si="22"/>
        <v>4.5524167216498657E-2</v>
      </c>
      <c r="R370">
        <v>28.582010596290289</v>
      </c>
    </row>
    <row r="371" spans="2:18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0.68755392579810171</v>
      </c>
      <c r="O371">
        <f t="shared" si="22"/>
        <v>4.6446074201898835E-2</v>
      </c>
      <c r="R371">
        <v>21.442480097681383</v>
      </c>
    </row>
    <row r="372" spans="2:18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0.68971264951191857</v>
      </c>
      <c r="O372">
        <f t="shared" si="22"/>
        <v>4.6287350488081969E-2</v>
      </c>
      <c r="R372">
        <v>17.799205733727945</v>
      </c>
    </row>
    <row r="373" spans="2:18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0.69079328021113551</v>
      </c>
      <c r="O373">
        <f t="shared" si="22"/>
        <v>4.7206719788865037E-2</v>
      </c>
      <c r="R373">
        <v>20.854157320050504</v>
      </c>
    </row>
    <row r="374" spans="2:18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0.69079328021113551</v>
      </c>
      <c r="O374">
        <f t="shared" si="22"/>
        <v>4.9206719788865039E-2</v>
      </c>
      <c r="R374">
        <v>23.168615882065666</v>
      </c>
    </row>
    <row r="375" spans="2:18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0.69079328021113551</v>
      </c>
      <c r="O375">
        <f t="shared" si="22"/>
        <v>5.120671978886504E-2</v>
      </c>
      <c r="R375">
        <v>18.848138484437218</v>
      </c>
    </row>
    <row r="376" spans="2:18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0.69404024767801875</v>
      </c>
      <c r="O376">
        <f t="shared" si="22"/>
        <v>4.9959752321981798E-2</v>
      </c>
      <c r="R376">
        <v>17.631762472956261</v>
      </c>
    </row>
    <row r="377" spans="2:18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0.69404024767801875</v>
      </c>
      <c r="O377">
        <f t="shared" si="22"/>
        <v>5.19597523219818E-2</v>
      </c>
      <c r="R377">
        <v>28.457745953658161</v>
      </c>
    </row>
    <row r="378" spans="2:18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0.69838138016207363</v>
      </c>
      <c r="O378">
        <f t="shared" si="22"/>
        <v>4.9618619837926925E-2</v>
      </c>
      <c r="R378">
        <v>23.146063238796057</v>
      </c>
    </row>
    <row r="379" spans="2:18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0.69946877802026797</v>
      </c>
      <c r="O379">
        <f t="shared" si="22"/>
        <v>5.0531221979732588E-2</v>
      </c>
      <c r="R379">
        <v>27.744259682115558</v>
      </c>
    </row>
    <row r="380" spans="2:18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0.69946877802026797</v>
      </c>
      <c r="O380">
        <f t="shared" si="22"/>
        <v>5.253122197973259E-2</v>
      </c>
      <c r="R380">
        <v>14.788455640182459</v>
      </c>
    </row>
    <row r="381" spans="2:18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0.70055702177333401</v>
      </c>
      <c r="O381">
        <f t="shared" si="22"/>
        <v>5.3442978226666549E-2</v>
      </c>
      <c r="R381">
        <v>16.260618276091126</v>
      </c>
    </row>
    <row r="382" spans="2:18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0.70382682840176636</v>
      </c>
      <c r="O382">
        <f t="shared" si="22"/>
        <v>5.2173171598234203E-2</v>
      </c>
      <c r="R382">
        <v>23.204876467214028</v>
      </c>
    </row>
    <row r="383" spans="2:18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0.70491845573432133</v>
      </c>
      <c r="O383">
        <f t="shared" si="22"/>
        <v>5.3081544265679237E-2</v>
      </c>
      <c r="R383">
        <v>17.992634104715496</v>
      </c>
    </row>
    <row r="384" spans="2:18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0.70491845573432133</v>
      </c>
      <c r="O384">
        <f t="shared" si="22"/>
        <v>5.5081544265679239E-2</v>
      </c>
      <c r="R384">
        <v>27.54037697533257</v>
      </c>
    </row>
    <row r="385" spans="2:18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0.70601092896174877</v>
      </c>
      <c r="O385">
        <f t="shared" si="22"/>
        <v>5.5989071038251792E-2</v>
      </c>
      <c r="R385">
        <v>22.719823263076727</v>
      </c>
    </row>
    <row r="386" spans="2:18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0.70601092896174877</v>
      </c>
      <c r="O386">
        <f t="shared" si="22"/>
        <v>5.7989071038251794E-2</v>
      </c>
      <c r="R386">
        <v>21.273023217063425</v>
      </c>
    </row>
    <row r="387" spans="2:18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0.70601092896174877</v>
      </c>
      <c r="O387">
        <f t="shared" si="22"/>
        <v>5.9989071038251796E-2</v>
      </c>
      <c r="R387">
        <v>28.620699208978081</v>
      </c>
    </row>
    <row r="388" spans="2:18" s="20" customFormat="1" x14ac:dyDescent="0.25">
      <c r="B388" s="19">
        <v>21.56</v>
      </c>
      <c r="J388" s="19">
        <v>27.23</v>
      </c>
      <c r="K388" s="20">
        <v>1</v>
      </c>
      <c r="L388" s="20">
        <f t="shared" si="20"/>
        <v>2E-3</v>
      </c>
      <c r="M388" s="20">
        <f t="shared" si="23"/>
        <v>0.76800000000000057</v>
      </c>
      <c r="N388">
        <f t="shared" si="21"/>
        <v>0.70601092896174877</v>
      </c>
      <c r="O388" s="20">
        <f t="shared" si="22"/>
        <v>6.1989071038251797E-2</v>
      </c>
      <c r="R388" s="20">
        <v>25.046162563973375</v>
      </c>
    </row>
    <row r="389" spans="2:18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>1-(($H$8-J389)^2/(($H$8-$H$7)*($H$8-$H$9)))</f>
        <v>0.70710280943384707</v>
      </c>
      <c r="O389">
        <f t="shared" si="22"/>
        <v>6.2897190566153505E-2</v>
      </c>
      <c r="R389">
        <v>22.419123219545259</v>
      </c>
    </row>
    <row r="390" spans="2:18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(J390-$H$7)/($H$8-$H$7)</f>
        <v>0.70710382513661207</v>
      </c>
      <c r="O390">
        <f t="shared" ref="O390:O453" si="26">ABS(M390-N390)</f>
        <v>6.48961748633885E-2</v>
      </c>
      <c r="R390">
        <v>24.51750607350964</v>
      </c>
    </row>
    <row r="391" spans="2:18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0.70765027322404384</v>
      </c>
      <c r="O391">
        <f t="shared" si="26"/>
        <v>6.6349726775956741E-2</v>
      </c>
      <c r="R391">
        <v>18.464997490546875</v>
      </c>
    </row>
    <row r="392" spans="2:18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0.70765027322404384</v>
      </c>
      <c r="O392">
        <f t="shared" si="26"/>
        <v>6.8349726775956743E-2</v>
      </c>
      <c r="R392">
        <v>23.53920081881607</v>
      </c>
    </row>
    <row r="393" spans="2:18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0.70874316939890725</v>
      </c>
      <c r="O393">
        <f t="shared" si="26"/>
        <v>6.9256830601093333E-2</v>
      </c>
      <c r="R393">
        <v>29.304530456818661</v>
      </c>
    </row>
    <row r="394" spans="2:18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0.71311475409836067</v>
      </c>
      <c r="O394">
        <f t="shared" si="26"/>
        <v>6.6885245901639911E-2</v>
      </c>
      <c r="R394">
        <v>24.538628831645745</v>
      </c>
    </row>
    <row r="395" spans="2:18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0.71530054644808749</v>
      </c>
      <c r="O395">
        <f t="shared" si="26"/>
        <v>6.669945355191309E-2</v>
      </c>
      <c r="R395">
        <v>22.588577528198133</v>
      </c>
    </row>
    <row r="396" spans="2:18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0.71693989071038255</v>
      </c>
      <c r="O396">
        <f t="shared" si="26"/>
        <v>6.7060109289618031E-2</v>
      </c>
      <c r="R396">
        <v>18.40502085057016</v>
      </c>
    </row>
    <row r="397" spans="2:18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0.72076502732240444</v>
      </c>
      <c r="O397">
        <f t="shared" si="26"/>
        <v>6.5234972677596148E-2</v>
      </c>
      <c r="R397">
        <v>28.510417393314555</v>
      </c>
    </row>
    <row r="398" spans="2:18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0.72240437158469961</v>
      </c>
      <c r="O398">
        <f t="shared" si="26"/>
        <v>6.5595628415300977E-2</v>
      </c>
      <c r="R398">
        <v>27.495536974477112</v>
      </c>
    </row>
    <row r="399" spans="2:18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0.7262295081967215</v>
      </c>
      <c r="O399">
        <f t="shared" si="26"/>
        <v>6.3770491803279095E-2</v>
      </c>
      <c r="R399">
        <v>27.63687403566103</v>
      </c>
    </row>
    <row r="400" spans="2:18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0.7262295081967215</v>
      </c>
      <c r="O400">
        <f t="shared" si="26"/>
        <v>6.5770491803279096E-2</v>
      </c>
      <c r="R400">
        <v>24.921924587496946</v>
      </c>
    </row>
    <row r="401" spans="2:18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0.7273224043715848</v>
      </c>
      <c r="O401">
        <f t="shared" si="26"/>
        <v>6.6677595628415798E-2</v>
      </c>
      <c r="R401">
        <v>26.457865147186013</v>
      </c>
    </row>
    <row r="402" spans="2:18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0.7273224043715848</v>
      </c>
      <c r="O402">
        <f t="shared" si="26"/>
        <v>6.86775956284158E-2</v>
      </c>
      <c r="R402">
        <v>23.467251637618233</v>
      </c>
    </row>
    <row r="403" spans="2:18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0.73005464480874338</v>
      </c>
      <c r="O403">
        <f t="shared" si="26"/>
        <v>6.7945355191257217E-2</v>
      </c>
      <c r="R403">
        <v>25.069622859377752</v>
      </c>
    </row>
    <row r="404" spans="2:18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0.73060109289617492</v>
      </c>
      <c r="O404">
        <f t="shared" si="26"/>
        <v>6.939890710382568E-2</v>
      </c>
      <c r="R404">
        <v>24.572832252566855</v>
      </c>
    </row>
    <row r="405" spans="2:18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0.73114754098360668</v>
      </c>
      <c r="O405">
        <f t="shared" si="26"/>
        <v>7.0852459016393921E-2</v>
      </c>
      <c r="R405">
        <v>22.560108215941792</v>
      </c>
    </row>
    <row r="406" spans="2:18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0.7344262295081968</v>
      </c>
      <c r="O406">
        <f t="shared" si="26"/>
        <v>6.9573770491803799E-2</v>
      </c>
      <c r="R406">
        <v>18.967595030653573</v>
      </c>
    </row>
    <row r="407" spans="2:18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0.73551912568306022</v>
      </c>
      <c r="O407">
        <f t="shared" si="26"/>
        <v>7.048087431694039E-2</v>
      </c>
      <c r="R407">
        <v>23.897583339125035</v>
      </c>
    </row>
    <row r="408" spans="2:18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0.73661202185792352</v>
      </c>
      <c r="O408">
        <f t="shared" si="26"/>
        <v>7.1387978142077091E-2</v>
      </c>
      <c r="R408">
        <v>26.837320053732668</v>
      </c>
    </row>
    <row r="409" spans="2:18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0.73770491803278693</v>
      </c>
      <c r="O409">
        <f t="shared" si="26"/>
        <v>7.2295081967213681E-2</v>
      </c>
      <c r="R409">
        <v>30.387000978816147</v>
      </c>
    </row>
    <row r="410" spans="2:18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0.73825136612021869</v>
      </c>
      <c r="O410">
        <f t="shared" si="26"/>
        <v>7.3748633879781922E-2</v>
      </c>
      <c r="R410">
        <v>27.438862347545367</v>
      </c>
    </row>
    <row r="411" spans="2:18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0.73879781420765023</v>
      </c>
      <c r="O411">
        <f t="shared" si="26"/>
        <v>7.5202185792350384E-2</v>
      </c>
      <c r="R411">
        <v>17.713467964866922</v>
      </c>
    </row>
    <row r="412" spans="2:18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0.73989071038251386</v>
      </c>
      <c r="O412">
        <f t="shared" si="26"/>
        <v>7.6109289617486753E-2</v>
      </c>
      <c r="R412">
        <v>29.791922513469633</v>
      </c>
    </row>
    <row r="413" spans="2:18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0.74371584699453575</v>
      </c>
      <c r="O413">
        <f t="shared" si="26"/>
        <v>7.428415300546487E-2</v>
      </c>
      <c r="R413">
        <v>26.678190142500696</v>
      </c>
    </row>
    <row r="414" spans="2:18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0.74480874316939905</v>
      </c>
      <c r="O414">
        <f t="shared" si="26"/>
        <v>7.5191256830601572E-2</v>
      </c>
      <c r="R414">
        <v>27.77944360847772</v>
      </c>
    </row>
    <row r="415" spans="2:18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0.7453551912568307</v>
      </c>
      <c r="O415">
        <f t="shared" si="26"/>
        <v>7.6644808743169923E-2</v>
      </c>
      <c r="R415">
        <v>27.29878045932557</v>
      </c>
    </row>
    <row r="416" spans="2:18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0.74808743169398917</v>
      </c>
      <c r="O416">
        <f t="shared" si="26"/>
        <v>7.5912568306011452E-2</v>
      </c>
      <c r="R416">
        <v>26.691495012174208</v>
      </c>
    </row>
    <row r="417" spans="2:18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0.74863387978142093</v>
      </c>
      <c r="O417">
        <f t="shared" si="26"/>
        <v>7.7366120218579693E-2</v>
      </c>
      <c r="R417">
        <v>23.976505113300021</v>
      </c>
    </row>
    <row r="418" spans="2:18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0.74972677595628434</v>
      </c>
      <c r="O418">
        <f t="shared" si="26"/>
        <v>7.8273224043716283E-2</v>
      </c>
      <c r="R418">
        <v>21.33424054639158</v>
      </c>
    </row>
    <row r="419" spans="2:18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0.75245901639344259</v>
      </c>
      <c r="O419">
        <f t="shared" si="26"/>
        <v>7.7540983606558034E-2</v>
      </c>
      <c r="R419">
        <v>25.296735642099229</v>
      </c>
    </row>
    <row r="420" spans="2:18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0.75245901639344259</v>
      </c>
      <c r="O420">
        <f t="shared" si="26"/>
        <v>7.9540983606558036E-2</v>
      </c>
      <c r="R420">
        <v>29.602841530954841</v>
      </c>
    </row>
    <row r="421" spans="2:18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0.75300546448087435</v>
      </c>
      <c r="O421">
        <f t="shared" si="26"/>
        <v>8.0994535519126276E-2</v>
      </c>
      <c r="R421">
        <v>30.064860111513866</v>
      </c>
    </row>
    <row r="422" spans="2:18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0.75464480874316953</v>
      </c>
      <c r="O422">
        <f t="shared" si="26"/>
        <v>8.1355191256831105E-2</v>
      </c>
      <c r="R422">
        <v>19.616248239834682</v>
      </c>
    </row>
    <row r="423" spans="2:18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0.75573770491803294</v>
      </c>
      <c r="O423">
        <f t="shared" si="26"/>
        <v>8.2262295081967696E-2</v>
      </c>
      <c r="R423">
        <v>24.793004610920974</v>
      </c>
    </row>
    <row r="424" spans="2:18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0.75683060109289624</v>
      </c>
      <c r="O424">
        <f t="shared" si="26"/>
        <v>8.3169398907104397E-2</v>
      </c>
      <c r="R424">
        <v>25.667522065474053</v>
      </c>
    </row>
    <row r="425" spans="2:18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0.75792349726775965</v>
      </c>
      <c r="O425">
        <f t="shared" si="26"/>
        <v>8.4076502732240987E-2</v>
      </c>
      <c r="R425">
        <v>27.468608457829372</v>
      </c>
    </row>
    <row r="426" spans="2:18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0.76120218579234977</v>
      </c>
      <c r="O426">
        <f t="shared" si="26"/>
        <v>8.2797814207650866E-2</v>
      </c>
      <c r="R426">
        <v>30.357421304886017</v>
      </c>
    </row>
    <row r="427" spans="2:18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0.76174863387978153</v>
      </c>
      <c r="O427">
        <f t="shared" si="26"/>
        <v>8.4251366120219107E-2</v>
      </c>
      <c r="R427">
        <v>22.419388401942484</v>
      </c>
    </row>
    <row r="428" spans="2:18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0.76448087431694001</v>
      </c>
      <c r="O428">
        <f t="shared" si="26"/>
        <v>8.3519125683060635E-2</v>
      </c>
      <c r="R428">
        <v>24.576175398299227</v>
      </c>
    </row>
    <row r="429" spans="2:18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0.76502732240437166</v>
      </c>
      <c r="O429">
        <f t="shared" si="26"/>
        <v>8.4972677595628987E-2</v>
      </c>
      <c r="R429">
        <v>22.955814653421243</v>
      </c>
    </row>
    <row r="430" spans="2:18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0.76612021857923496</v>
      </c>
      <c r="O430">
        <f t="shared" si="26"/>
        <v>8.5879781420765688E-2</v>
      </c>
      <c r="R430">
        <v>25.990409039786719</v>
      </c>
    </row>
    <row r="431" spans="2:18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0.76612021857923496</v>
      </c>
      <c r="O431">
        <f t="shared" si="26"/>
        <v>8.787978142076569E-2</v>
      </c>
      <c r="R431">
        <v>26.092686709181631</v>
      </c>
    </row>
    <row r="432" spans="2:18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0.76666666666666672</v>
      </c>
      <c r="O432">
        <f t="shared" si="26"/>
        <v>8.9333333333333931E-2</v>
      </c>
      <c r="R432">
        <v>25.810037194592198</v>
      </c>
    </row>
    <row r="433" spans="2:18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0.76666666666666672</v>
      </c>
      <c r="O433">
        <f t="shared" si="26"/>
        <v>9.1333333333333933E-2</v>
      </c>
      <c r="R433">
        <v>24.560607908610915</v>
      </c>
    </row>
    <row r="434" spans="2:18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0.76721311475409848</v>
      </c>
      <c r="O434">
        <f t="shared" si="26"/>
        <v>9.2786885245902173E-2</v>
      </c>
      <c r="R434">
        <v>26.024049413061654</v>
      </c>
    </row>
    <row r="435" spans="2:18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0.76721311475409848</v>
      </c>
      <c r="O435">
        <f t="shared" si="26"/>
        <v>9.4786885245902175E-2</v>
      </c>
      <c r="R435">
        <v>26.578967988045189</v>
      </c>
    </row>
    <row r="436" spans="2:18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0.76994535519125684</v>
      </c>
      <c r="O436">
        <f t="shared" si="26"/>
        <v>9.4054644808743815E-2</v>
      </c>
      <c r="R436">
        <v>27.831639269696616</v>
      </c>
    </row>
    <row r="437" spans="2:18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0.7704918032786886</v>
      </c>
      <c r="O437">
        <f t="shared" si="26"/>
        <v>9.5508196721312055E-2</v>
      </c>
      <c r="R437">
        <v>21.855176837306413</v>
      </c>
    </row>
    <row r="438" spans="2:18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0.77158469945355201</v>
      </c>
      <c r="O438">
        <f t="shared" si="26"/>
        <v>9.6415300546448646E-2</v>
      </c>
      <c r="R438">
        <v>18.135651685066499</v>
      </c>
    </row>
    <row r="439" spans="2:18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0.77213114754098378</v>
      </c>
      <c r="O439">
        <f t="shared" si="26"/>
        <v>9.7868852459016886E-2</v>
      </c>
      <c r="R439">
        <v>16.2028405006157</v>
      </c>
    </row>
    <row r="440" spans="2:18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0.77377049180327873</v>
      </c>
      <c r="O440">
        <f t="shared" si="26"/>
        <v>9.8229508196721937E-2</v>
      </c>
      <c r="R440">
        <v>27.487491768578309</v>
      </c>
    </row>
    <row r="441" spans="2:18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0.77595628415300566</v>
      </c>
      <c r="O441">
        <f t="shared" si="26"/>
        <v>9.8043715846995005E-2</v>
      </c>
      <c r="R441">
        <v>26.456238126189753</v>
      </c>
    </row>
    <row r="442" spans="2:18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0.77595628415300566</v>
      </c>
      <c r="O442">
        <f t="shared" si="26"/>
        <v>0.10004371584699501</v>
      </c>
      <c r="R442">
        <v>29.606438751109295</v>
      </c>
    </row>
    <row r="443" spans="2:18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0.77759562841530061</v>
      </c>
      <c r="O443">
        <f t="shared" si="26"/>
        <v>0.10040437158470006</v>
      </c>
      <c r="R443">
        <v>20.872562056537063</v>
      </c>
    </row>
    <row r="444" spans="2:18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0.78032786885245908</v>
      </c>
      <c r="O444">
        <f t="shared" si="26"/>
        <v>9.9672131147541587E-2</v>
      </c>
      <c r="R444">
        <v>26.717994636538293</v>
      </c>
    </row>
    <row r="445" spans="2:18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0.78087431693989084</v>
      </c>
      <c r="O445">
        <f t="shared" si="26"/>
        <v>0.10112568306010983</v>
      </c>
      <c r="R445">
        <v>25.120223790249597</v>
      </c>
    </row>
    <row r="446" spans="2:18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0.78524590163934438</v>
      </c>
      <c r="O446">
        <f t="shared" si="26"/>
        <v>9.8754098360656295E-2</v>
      </c>
      <c r="R446">
        <v>25.576063004656547</v>
      </c>
    </row>
    <row r="447" spans="2:18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0.78579234972677614</v>
      </c>
      <c r="O447">
        <f t="shared" si="26"/>
        <v>0.10020765027322454</v>
      </c>
      <c r="R447">
        <v>21.731801220468956</v>
      </c>
    </row>
    <row r="448" spans="2:18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0.78907103825136626</v>
      </c>
      <c r="O448">
        <f t="shared" si="26"/>
        <v>9.8928961748634414E-2</v>
      </c>
      <c r="R448">
        <v>19.571744060592462</v>
      </c>
    </row>
    <row r="449" spans="2:18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0.79016393442622956</v>
      </c>
      <c r="O449">
        <f t="shared" si="26"/>
        <v>9.9836065573771116E-2</v>
      </c>
      <c r="R449">
        <v>23.703406177135328</v>
      </c>
    </row>
    <row r="450" spans="2:18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0.79016393442622956</v>
      </c>
      <c r="O450">
        <f t="shared" si="26"/>
        <v>0.10183606557377112</v>
      </c>
      <c r="R450">
        <v>23.277098859563157</v>
      </c>
    </row>
    <row r="451" spans="2:18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0.79234972677595628</v>
      </c>
      <c r="O451">
        <f t="shared" si="26"/>
        <v>0.10165027322404441</v>
      </c>
      <c r="R451">
        <v>28.279743798181794</v>
      </c>
    </row>
    <row r="452" spans="2:18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0.79289617486338804</v>
      </c>
      <c r="O452">
        <f t="shared" si="26"/>
        <v>0.10310382513661265</v>
      </c>
      <c r="R452">
        <v>24.430015963908836</v>
      </c>
    </row>
    <row r="453" spans="2:18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0.79344262295081969</v>
      </c>
      <c r="O453">
        <f t="shared" si="26"/>
        <v>0.104557377049181</v>
      </c>
      <c r="R453">
        <v>20.417677639253359</v>
      </c>
    </row>
    <row r="454" spans="2:18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(J454-$H$7)/($H$8-$H$7)</f>
        <v>0.79781420765027333</v>
      </c>
      <c r="O454">
        <f t="shared" ref="O454:O504" si="30">ABS(M454-N454)</f>
        <v>0.10218579234972736</v>
      </c>
      <c r="R454">
        <v>29.731737335274762</v>
      </c>
    </row>
    <row r="455" spans="2:18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0.79836065573770509</v>
      </c>
      <c r="O455">
        <f t="shared" si="30"/>
        <v>0.1036393442622956</v>
      </c>
      <c r="R455">
        <v>29.735458519805608</v>
      </c>
    </row>
    <row r="456" spans="2:18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0.8</v>
      </c>
      <c r="O456">
        <f t="shared" si="30"/>
        <v>0.10400000000000065</v>
      </c>
      <c r="R456">
        <v>21.648993016093435</v>
      </c>
    </row>
    <row r="457" spans="2:18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0.80218579234972676</v>
      </c>
      <c r="O457">
        <f t="shared" si="30"/>
        <v>0.10381420765027394</v>
      </c>
      <c r="R457">
        <v>29.758409910440527</v>
      </c>
    </row>
    <row r="458" spans="2:18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0.80382513661202193</v>
      </c>
      <c r="O458">
        <f t="shared" si="30"/>
        <v>0.10417486338797877</v>
      </c>
      <c r="R458">
        <v>27.825698196536123</v>
      </c>
    </row>
    <row r="459" spans="2:18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0.80437158469945369</v>
      </c>
      <c r="O459">
        <f t="shared" si="30"/>
        <v>0.10562841530054701</v>
      </c>
      <c r="R459">
        <v>22.884232531489992</v>
      </c>
    </row>
    <row r="460" spans="2:18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0.80491803278688534</v>
      </c>
      <c r="O460">
        <f t="shared" si="30"/>
        <v>0.10708196721311536</v>
      </c>
      <c r="R460">
        <v>20.987745099128002</v>
      </c>
    </row>
    <row r="461" spans="2:18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0.80710382513661205</v>
      </c>
      <c r="O461">
        <f t="shared" si="30"/>
        <v>0.10689617486338865</v>
      </c>
      <c r="R461">
        <v>25.577318826528671</v>
      </c>
    </row>
    <row r="462" spans="2:18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0.80765027322404381</v>
      </c>
      <c r="O462">
        <f t="shared" si="30"/>
        <v>0.10834972677595689</v>
      </c>
      <c r="R462">
        <v>27.27482428988176</v>
      </c>
    </row>
    <row r="463" spans="2:18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0.80819672131147557</v>
      </c>
      <c r="O463">
        <f t="shared" si="30"/>
        <v>0.10980327868852513</v>
      </c>
      <c r="R463">
        <v>23.40062323250238</v>
      </c>
    </row>
    <row r="464" spans="2:18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0.81092896174863394</v>
      </c>
      <c r="O464">
        <f t="shared" si="30"/>
        <v>0.10907103825136677</v>
      </c>
      <c r="R464">
        <v>27.341045435310445</v>
      </c>
    </row>
    <row r="465" spans="2:18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0.81092896174863394</v>
      </c>
      <c r="O465">
        <f t="shared" si="30"/>
        <v>0.11107103825136677</v>
      </c>
      <c r="R465">
        <v>23.13564823964149</v>
      </c>
    </row>
    <row r="466" spans="2:18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0.8114754098360657</v>
      </c>
      <c r="O466">
        <f t="shared" si="30"/>
        <v>0.11252459016393501</v>
      </c>
      <c r="R466">
        <v>29.269814149163778</v>
      </c>
    </row>
    <row r="467" spans="2:18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0.81420765027322417</v>
      </c>
      <c r="O467">
        <f t="shared" si="30"/>
        <v>0.11179234972677654</v>
      </c>
      <c r="R467">
        <v>25.633868401934887</v>
      </c>
    </row>
    <row r="468" spans="2:18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0.81584699453551912</v>
      </c>
      <c r="O468">
        <f t="shared" si="30"/>
        <v>0.11215300546448159</v>
      </c>
      <c r="R468">
        <v>23.822870168806908</v>
      </c>
    </row>
    <row r="469" spans="2:18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0.81639344262295088</v>
      </c>
      <c r="O469">
        <f t="shared" si="30"/>
        <v>0.11360655737704983</v>
      </c>
      <c r="R469">
        <v>17.048169625032681</v>
      </c>
    </row>
    <row r="470" spans="2:18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0.81912568306010947</v>
      </c>
      <c r="O470">
        <f t="shared" si="30"/>
        <v>0.11287431693989125</v>
      </c>
      <c r="R470">
        <v>28.123224643818492</v>
      </c>
    </row>
    <row r="471" spans="2:18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0.81967213114754101</v>
      </c>
      <c r="O471">
        <f t="shared" si="30"/>
        <v>0.11432786885245971</v>
      </c>
      <c r="R471">
        <v>16.970569924140822</v>
      </c>
    </row>
    <row r="472" spans="2:18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0.82076502732240442</v>
      </c>
      <c r="O472">
        <f t="shared" si="30"/>
        <v>0.1152349726775963</v>
      </c>
      <c r="R472">
        <v>26.81751560092016</v>
      </c>
    </row>
    <row r="473" spans="2:18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0.82185792349726794</v>
      </c>
      <c r="O473">
        <f t="shared" si="30"/>
        <v>0.11614207650273278</v>
      </c>
      <c r="R473">
        <v>22.75088388657754</v>
      </c>
    </row>
    <row r="474" spans="2:18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0.82404371584699465</v>
      </c>
      <c r="O474">
        <f t="shared" si="30"/>
        <v>0.11595628415300607</v>
      </c>
      <c r="R474">
        <v>25.762687626400098</v>
      </c>
    </row>
    <row r="475" spans="2:18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0.82568306010928982</v>
      </c>
      <c r="O475">
        <f t="shared" si="30"/>
        <v>0.1163169398907109</v>
      </c>
      <c r="R475">
        <v>19.976218454074754</v>
      </c>
    </row>
    <row r="476" spans="2:18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0.83278688524590183</v>
      </c>
      <c r="O476">
        <f t="shared" si="30"/>
        <v>0.1112131147540989</v>
      </c>
      <c r="R476">
        <v>28.380603050416642</v>
      </c>
    </row>
    <row r="477" spans="2:18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0.83497267759562854</v>
      </c>
      <c r="O477">
        <f t="shared" si="30"/>
        <v>0.11102732240437219</v>
      </c>
      <c r="R477">
        <v>20.453557139452176</v>
      </c>
    </row>
    <row r="478" spans="2:18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0.84043715846994549</v>
      </c>
      <c r="O478">
        <f t="shared" si="30"/>
        <v>0.10756284153005524</v>
      </c>
      <c r="R478">
        <v>26.507859885892813</v>
      </c>
    </row>
    <row r="479" spans="2:18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0.84262295081967231</v>
      </c>
      <c r="O479">
        <f t="shared" si="30"/>
        <v>0.10737704918032842</v>
      </c>
      <c r="R479">
        <v>25.051797546983728</v>
      </c>
    </row>
    <row r="480" spans="2:18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0.84371584699453561</v>
      </c>
      <c r="O480">
        <f t="shared" si="30"/>
        <v>0.10828415300546512</v>
      </c>
      <c r="R480">
        <v>27.859930850114395</v>
      </c>
    </row>
    <row r="481" spans="2:18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0.84644808743169409</v>
      </c>
      <c r="O481">
        <f t="shared" si="30"/>
        <v>0.10755191256830665</v>
      </c>
      <c r="R481">
        <v>22.606805669480181</v>
      </c>
    </row>
    <row r="482" spans="2:18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0.85300546448087455</v>
      </c>
      <c r="O482">
        <f t="shared" si="30"/>
        <v>0.10299453551912618</v>
      </c>
      <c r="R482">
        <v>21.797201614758336</v>
      </c>
    </row>
    <row r="483" spans="2:18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0.85792349726775974</v>
      </c>
      <c r="O483">
        <f t="shared" si="30"/>
        <v>0.100076502732241</v>
      </c>
      <c r="R483">
        <v>30.112129180563798</v>
      </c>
    </row>
    <row r="484" spans="2:18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0.86010928961748645</v>
      </c>
      <c r="O484">
        <f t="shared" si="30"/>
        <v>9.9890710382514292E-2</v>
      </c>
      <c r="R484">
        <v>30.025199655525427</v>
      </c>
    </row>
    <row r="485" spans="2:18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0.8606557377049181</v>
      </c>
      <c r="O485">
        <f t="shared" si="30"/>
        <v>0.10134426229508264</v>
      </c>
      <c r="R485">
        <v>20.95409055664377</v>
      </c>
    </row>
    <row r="486" spans="2:18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0.8617486338797814</v>
      </c>
      <c r="O486">
        <f t="shared" si="30"/>
        <v>0.10225136612021934</v>
      </c>
      <c r="R486">
        <v>18.369895021380035</v>
      </c>
    </row>
    <row r="487" spans="2:18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0.86448087431693998</v>
      </c>
      <c r="O487">
        <f t="shared" si="30"/>
        <v>0.10151912568306076</v>
      </c>
      <c r="R487">
        <v>24.466743152017187</v>
      </c>
    </row>
    <row r="488" spans="2:18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0.86721311475409846</v>
      </c>
      <c r="O488">
        <f t="shared" si="30"/>
        <v>0.10078688524590229</v>
      </c>
      <c r="R488">
        <v>27.047751779048124</v>
      </c>
    </row>
    <row r="489" spans="2:18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0.87704918032786883</v>
      </c>
      <c r="O489">
        <f t="shared" si="30"/>
        <v>9.2950819672131924E-2</v>
      </c>
      <c r="R489">
        <v>16.970939442554396</v>
      </c>
    </row>
    <row r="490" spans="2:18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0.88032786885245917</v>
      </c>
      <c r="O490">
        <f t="shared" si="30"/>
        <v>9.167213114754158E-2</v>
      </c>
      <c r="R490">
        <v>26.906474958094908</v>
      </c>
    </row>
    <row r="491" spans="2:18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0.88196721311475423</v>
      </c>
      <c r="O491">
        <f t="shared" si="30"/>
        <v>9.203278688524652E-2</v>
      </c>
      <c r="R491">
        <v>19.404452229431293</v>
      </c>
    </row>
    <row r="492" spans="2:18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0.88579234972677612</v>
      </c>
      <c r="O492">
        <f t="shared" si="30"/>
        <v>9.0207650273224638E-2</v>
      </c>
      <c r="R492">
        <v>30.884556125200348</v>
      </c>
    </row>
    <row r="493" spans="2:18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0.88797814207650283</v>
      </c>
      <c r="O493">
        <f t="shared" si="30"/>
        <v>9.0021857923497928E-2</v>
      </c>
      <c r="R493">
        <v>28.889793794091805</v>
      </c>
    </row>
    <row r="494" spans="2:18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0.90655737704918027</v>
      </c>
      <c r="O494">
        <f t="shared" si="30"/>
        <v>7.3442622950820491E-2</v>
      </c>
      <c r="R494">
        <v>26.447197215511878</v>
      </c>
    </row>
    <row r="495" spans="2:18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0.92185792349726781</v>
      </c>
      <c r="O495">
        <f t="shared" si="30"/>
        <v>6.0142076502732955E-2</v>
      </c>
      <c r="R495">
        <v>29.252744904316977</v>
      </c>
    </row>
    <row r="496" spans="2:18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0.93661202185792369</v>
      </c>
      <c r="O496">
        <f t="shared" si="30"/>
        <v>4.738797814207707E-2</v>
      </c>
      <c r="R496">
        <v>16.074169156148916</v>
      </c>
    </row>
    <row r="497" spans="2:18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0.93661202185792369</v>
      </c>
      <c r="O497">
        <f t="shared" si="30"/>
        <v>4.9387978142077071E-2</v>
      </c>
      <c r="R497">
        <v>24.432470549513603</v>
      </c>
    </row>
    <row r="498" spans="2:18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0.94153005464480877</v>
      </c>
      <c r="O498">
        <f t="shared" si="30"/>
        <v>4.6469945355191999E-2</v>
      </c>
      <c r="R498">
        <v>21.881262101837365</v>
      </c>
    </row>
    <row r="499" spans="2:18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0.94918032786885242</v>
      </c>
      <c r="O499">
        <f t="shared" si="30"/>
        <v>4.0819672131148343E-2</v>
      </c>
      <c r="R499">
        <v>23.308576467510097</v>
      </c>
    </row>
    <row r="500" spans="2:18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0.94972677595628441</v>
      </c>
      <c r="O500">
        <f t="shared" si="30"/>
        <v>4.2273224043716362E-2</v>
      </c>
      <c r="R500">
        <v>28.101471405353635</v>
      </c>
    </row>
    <row r="501" spans="2:18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0.96448087431693996</v>
      </c>
      <c r="O501">
        <f t="shared" si="30"/>
        <v>2.951912568306081E-2</v>
      </c>
      <c r="R501">
        <v>28.654237196029083</v>
      </c>
    </row>
    <row r="502" spans="2:18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0.97158469945355208</v>
      </c>
      <c r="O502">
        <f t="shared" si="30"/>
        <v>2.4415300546448693E-2</v>
      </c>
      <c r="R502">
        <v>27.223919955212388</v>
      </c>
    </row>
    <row r="503" spans="2:18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0.97486338797814198</v>
      </c>
      <c r="O503">
        <f t="shared" si="30"/>
        <v>2.3136612021858793E-2</v>
      </c>
      <c r="R503">
        <v>20.947674334085498</v>
      </c>
    </row>
    <row r="504" spans="2:18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1</v>
      </c>
      <c r="O504">
        <f t="shared" si="30"/>
        <v>6.6613381477509392E-16</v>
      </c>
      <c r="R504">
        <v>26.564885197625902</v>
      </c>
    </row>
    <row r="505" spans="2:18" x14ac:dyDescent="0.25">
      <c r="N505" s="14" t="s">
        <v>52</v>
      </c>
      <c r="O505" s="14">
        <f>MAX(O5:O504)</f>
        <v>0.1163169398907109</v>
      </c>
      <c r="R505">
        <v>15.76177368869101</v>
      </c>
    </row>
    <row r="506" spans="2:18" x14ac:dyDescent="0.25">
      <c r="M506" s="16" t="s">
        <v>51</v>
      </c>
      <c r="N506" s="16">
        <f>1.358/SQRT($E$20)</f>
        <v>6.0731606268894289E-2</v>
      </c>
      <c r="R506">
        <v>28.951146375148202</v>
      </c>
    </row>
    <row r="507" spans="2:18" x14ac:dyDescent="0.25">
      <c r="R507">
        <v>15.840642577320267</v>
      </c>
    </row>
    <row r="508" spans="2:18" x14ac:dyDescent="0.25">
      <c r="M508" t="s">
        <v>56</v>
      </c>
      <c r="R508">
        <v>25.732811510229315</v>
      </c>
    </row>
    <row r="509" spans="2:18" x14ac:dyDescent="0.25">
      <c r="R509">
        <v>18.412067846238976</v>
      </c>
    </row>
    <row r="510" spans="2:18" x14ac:dyDescent="0.25">
      <c r="R510">
        <v>22.572535676427073</v>
      </c>
    </row>
    <row r="511" spans="2:18" x14ac:dyDescent="0.25">
      <c r="R511">
        <v>25.481344683018946</v>
      </c>
    </row>
    <row r="512" spans="2:18" x14ac:dyDescent="0.25">
      <c r="R512">
        <v>22.129163806312526</v>
      </c>
    </row>
    <row r="513" spans="18:18" x14ac:dyDescent="0.25">
      <c r="R513">
        <v>19.183320844829666</v>
      </c>
    </row>
    <row r="514" spans="18:18" x14ac:dyDescent="0.25">
      <c r="R514">
        <v>28.263785489617192</v>
      </c>
    </row>
    <row r="515" spans="18:18" x14ac:dyDescent="0.25">
      <c r="R515">
        <v>22.402235630419113</v>
      </c>
    </row>
    <row r="516" spans="18:18" x14ac:dyDescent="0.25">
      <c r="R516">
        <v>18.890939622846481</v>
      </c>
    </row>
    <row r="517" spans="18:18" x14ac:dyDescent="0.25">
      <c r="R517">
        <v>22.400385268013082</v>
      </c>
    </row>
    <row r="518" spans="18:18" x14ac:dyDescent="0.25">
      <c r="R518">
        <v>21.076684461653205</v>
      </c>
    </row>
    <row r="519" spans="18:18" x14ac:dyDescent="0.25">
      <c r="R519">
        <v>24.384180298766651</v>
      </c>
    </row>
    <row r="520" spans="18:18" x14ac:dyDescent="0.25">
      <c r="R520">
        <v>27.211341383132471</v>
      </c>
    </row>
    <row r="521" spans="18:18" x14ac:dyDescent="0.25">
      <c r="R521">
        <v>20.386059622727146</v>
      </c>
    </row>
    <row r="522" spans="18:18" x14ac:dyDescent="0.25">
      <c r="R522">
        <v>29.043068968121069</v>
      </c>
    </row>
    <row r="523" spans="18:18" x14ac:dyDescent="0.25">
      <c r="R523">
        <v>27.814458002757856</v>
      </c>
    </row>
    <row r="524" spans="18:18" x14ac:dyDescent="0.25">
      <c r="R524">
        <v>25.957704370718357</v>
      </c>
    </row>
    <row r="525" spans="18:18" x14ac:dyDescent="0.25">
      <c r="R525">
        <v>23.874283063564029</v>
      </c>
    </row>
    <row r="526" spans="18:18" x14ac:dyDescent="0.25">
      <c r="R526">
        <v>30.140863981463035</v>
      </c>
    </row>
    <row r="527" spans="18:18" x14ac:dyDescent="0.25">
      <c r="R527">
        <v>23.438877870050291</v>
      </c>
    </row>
    <row r="528" spans="18:18" x14ac:dyDescent="0.25">
      <c r="R528">
        <v>29.3145029011839</v>
      </c>
    </row>
    <row r="529" spans="18:18" x14ac:dyDescent="0.25">
      <c r="R529">
        <v>21.87701636111376</v>
      </c>
    </row>
    <row r="530" spans="18:18" x14ac:dyDescent="0.25">
      <c r="R530">
        <v>28.421612339889958</v>
      </c>
    </row>
    <row r="531" spans="18:18" x14ac:dyDescent="0.25">
      <c r="R531">
        <v>24.077560206807139</v>
      </c>
    </row>
    <row r="532" spans="18:18" x14ac:dyDescent="0.25">
      <c r="R532">
        <v>25.351364149298092</v>
      </c>
    </row>
    <row r="533" spans="18:18" x14ac:dyDescent="0.25">
      <c r="R533">
        <v>23.18671399910378</v>
      </c>
    </row>
    <row r="534" spans="18:18" x14ac:dyDescent="0.25">
      <c r="R534">
        <v>27.908507033216786</v>
      </c>
    </row>
    <row r="535" spans="18:18" x14ac:dyDescent="0.25">
      <c r="R535">
        <v>26.484027403568533</v>
      </c>
    </row>
    <row r="536" spans="18:18" x14ac:dyDescent="0.25">
      <c r="R536">
        <v>28.239862648586822</v>
      </c>
    </row>
    <row r="537" spans="18:18" x14ac:dyDescent="0.25">
      <c r="R537">
        <v>18.989684986319212</v>
      </c>
    </row>
    <row r="538" spans="18:18" x14ac:dyDescent="0.25">
      <c r="R538">
        <v>26.511928741517345</v>
      </c>
    </row>
    <row r="539" spans="18:18" x14ac:dyDescent="0.25">
      <c r="R539">
        <v>31.227707385055758</v>
      </c>
    </row>
    <row r="540" spans="18:18" x14ac:dyDescent="0.25">
      <c r="R540">
        <v>22.272152340220345</v>
      </c>
    </row>
    <row r="541" spans="18:18" x14ac:dyDescent="0.25">
      <c r="R541">
        <v>26.066518648016682</v>
      </c>
    </row>
    <row r="542" spans="18:18" x14ac:dyDescent="0.25">
      <c r="R542">
        <v>26.153674520022701</v>
      </c>
    </row>
    <row r="543" spans="18:18" x14ac:dyDescent="0.25">
      <c r="R543">
        <v>28.033678172993007</v>
      </c>
    </row>
    <row r="544" spans="18:18" x14ac:dyDescent="0.25">
      <c r="R544">
        <v>27.607358206580596</v>
      </c>
    </row>
    <row r="545" spans="18:18" x14ac:dyDescent="0.25">
      <c r="R545">
        <v>30.887379083341472</v>
      </c>
    </row>
    <row r="546" spans="18:18" x14ac:dyDescent="0.25">
      <c r="R546">
        <v>31.78531932941716</v>
      </c>
    </row>
    <row r="547" spans="18:18" x14ac:dyDescent="0.25">
      <c r="R547">
        <v>23.634682821655367</v>
      </c>
    </row>
    <row r="548" spans="18:18" x14ac:dyDescent="0.25">
      <c r="R548">
        <v>29.42881171129131</v>
      </c>
    </row>
    <row r="549" spans="18:18" x14ac:dyDescent="0.25">
      <c r="R549">
        <v>22.343467222049824</v>
      </c>
    </row>
    <row r="550" spans="18:18" x14ac:dyDescent="0.25">
      <c r="R550">
        <v>24.442371280259842</v>
      </c>
    </row>
    <row r="551" spans="18:18" x14ac:dyDescent="0.25">
      <c r="R551">
        <v>21.769804772468103</v>
      </c>
    </row>
    <row r="552" spans="18:18" x14ac:dyDescent="0.25">
      <c r="R552">
        <v>17.515109938727839</v>
      </c>
    </row>
    <row r="553" spans="18:18" x14ac:dyDescent="0.25">
      <c r="R553">
        <v>26.923162907262835</v>
      </c>
    </row>
    <row r="554" spans="18:18" x14ac:dyDescent="0.25">
      <c r="R554">
        <v>25.525379990483984</v>
      </c>
    </row>
    <row r="555" spans="18:18" x14ac:dyDescent="0.25">
      <c r="R555">
        <v>31.809147428042198</v>
      </c>
    </row>
    <row r="556" spans="18:18" x14ac:dyDescent="0.25">
      <c r="R556">
        <v>22.140486373300302</v>
      </c>
    </row>
    <row r="557" spans="18:18" x14ac:dyDescent="0.25">
      <c r="R557">
        <v>21.001672794802218</v>
      </c>
    </row>
    <row r="558" spans="18:18" x14ac:dyDescent="0.25">
      <c r="R558">
        <v>21.677845276835487</v>
      </c>
    </row>
    <row r="559" spans="18:18" x14ac:dyDescent="0.25">
      <c r="R559">
        <v>29.043851614378898</v>
      </c>
    </row>
    <row r="560" spans="18:18" x14ac:dyDescent="0.25">
      <c r="R560">
        <v>25.709572147288512</v>
      </c>
    </row>
    <row r="561" spans="18:18" x14ac:dyDescent="0.25">
      <c r="R561">
        <v>26.521071551688237</v>
      </c>
    </row>
    <row r="562" spans="18:18" x14ac:dyDescent="0.25">
      <c r="R562">
        <v>24.257497307173217</v>
      </c>
    </row>
    <row r="563" spans="18:18" x14ac:dyDescent="0.25">
      <c r="R563">
        <v>19.793695993657742</v>
      </c>
    </row>
    <row r="564" spans="18:18" x14ac:dyDescent="0.25">
      <c r="R564">
        <v>28.429178344968822</v>
      </c>
    </row>
    <row r="565" spans="18:18" x14ac:dyDescent="0.25">
      <c r="R565">
        <v>25.521675878679666</v>
      </c>
    </row>
    <row r="566" spans="18:18" x14ac:dyDescent="0.25">
      <c r="R566">
        <v>23.20025708982773</v>
      </c>
    </row>
    <row r="567" spans="18:18" x14ac:dyDescent="0.25">
      <c r="R567">
        <v>24.025419264592713</v>
      </c>
    </row>
    <row r="568" spans="18:18" x14ac:dyDescent="0.25">
      <c r="R568">
        <v>17.003546576386963</v>
      </c>
    </row>
    <row r="569" spans="18:18" x14ac:dyDescent="0.25">
      <c r="R569">
        <v>19.272930706914526</v>
      </c>
    </row>
    <row r="570" spans="18:18" x14ac:dyDescent="0.25">
      <c r="R570">
        <v>25.30968285857054</v>
      </c>
    </row>
    <row r="571" spans="18:18" x14ac:dyDescent="0.25">
      <c r="R571">
        <v>25.353402133228776</v>
      </c>
    </row>
    <row r="572" spans="18:18" x14ac:dyDescent="0.25">
      <c r="R572">
        <v>24.435049198387951</v>
      </c>
    </row>
    <row r="573" spans="18:18" x14ac:dyDescent="0.25">
      <c r="R573">
        <v>29.54247040332292</v>
      </c>
    </row>
    <row r="574" spans="18:18" x14ac:dyDescent="0.25">
      <c r="R574">
        <v>25.594770516898933</v>
      </c>
    </row>
    <row r="575" spans="18:18" x14ac:dyDescent="0.25">
      <c r="R575">
        <v>24.596643129806829</v>
      </c>
    </row>
    <row r="576" spans="18:18" x14ac:dyDescent="0.25">
      <c r="R576">
        <v>27.715160382272142</v>
      </c>
    </row>
    <row r="577" spans="18:18" x14ac:dyDescent="0.25">
      <c r="R577">
        <v>23.963927039266693</v>
      </c>
    </row>
    <row r="578" spans="18:18" x14ac:dyDescent="0.25">
      <c r="R578">
        <v>26.19493228131229</v>
      </c>
    </row>
    <row r="579" spans="18:18" x14ac:dyDescent="0.25">
      <c r="R579">
        <v>27.605769338940139</v>
      </c>
    </row>
    <row r="580" spans="18:18" x14ac:dyDescent="0.25">
      <c r="R580">
        <v>19.623250308177795</v>
      </c>
    </row>
    <row r="581" spans="18:18" x14ac:dyDescent="0.25">
      <c r="R581">
        <v>18.566387627974127</v>
      </c>
    </row>
    <row r="582" spans="18:18" x14ac:dyDescent="0.25">
      <c r="R582">
        <v>27.72443562790761</v>
      </c>
    </row>
    <row r="583" spans="18:18" x14ac:dyDescent="0.25">
      <c r="R583">
        <v>21.281402861480235</v>
      </c>
    </row>
    <row r="584" spans="18:18" x14ac:dyDescent="0.25">
      <c r="R584">
        <v>19.150179245195005</v>
      </c>
    </row>
    <row r="585" spans="18:18" x14ac:dyDescent="0.25">
      <c r="R585">
        <v>28.19062978476299</v>
      </c>
    </row>
    <row r="586" spans="18:18" x14ac:dyDescent="0.25">
      <c r="R586">
        <v>20.453401747257892</v>
      </c>
    </row>
    <row r="587" spans="18:18" x14ac:dyDescent="0.25">
      <c r="R587">
        <v>22.649589351757029</v>
      </c>
    </row>
    <row r="588" spans="18:18" x14ac:dyDescent="0.25">
      <c r="R588">
        <v>23.258586476435269</v>
      </c>
    </row>
    <row r="589" spans="18:18" x14ac:dyDescent="0.25">
      <c r="R589">
        <v>23.60205401068108</v>
      </c>
    </row>
    <row r="590" spans="18:18" x14ac:dyDescent="0.25">
      <c r="R590">
        <v>25.995705560309354</v>
      </c>
    </row>
    <row r="591" spans="18:18" x14ac:dyDescent="0.25">
      <c r="R591">
        <v>20.120737556888091</v>
      </c>
    </row>
    <row r="592" spans="18:18" x14ac:dyDescent="0.25">
      <c r="R592">
        <v>21.229696953027862</v>
      </c>
    </row>
    <row r="593" spans="18:18" x14ac:dyDescent="0.25">
      <c r="R593">
        <v>23.617774207875705</v>
      </c>
    </row>
    <row r="594" spans="18:18" x14ac:dyDescent="0.25">
      <c r="R594">
        <v>29.410559355032234</v>
      </c>
    </row>
    <row r="595" spans="18:18" x14ac:dyDescent="0.25">
      <c r="R595">
        <v>22.020973349363082</v>
      </c>
    </row>
    <row r="596" spans="18:18" x14ac:dyDescent="0.25">
      <c r="R596">
        <v>31.644192663813445</v>
      </c>
    </row>
    <row r="597" spans="18:18" x14ac:dyDescent="0.25">
      <c r="R597">
        <v>31.171895248452479</v>
      </c>
    </row>
    <row r="598" spans="18:18" x14ac:dyDescent="0.25">
      <c r="R598">
        <v>15.700257128703489</v>
      </c>
    </row>
    <row r="599" spans="18:18" x14ac:dyDescent="0.25">
      <c r="R599">
        <v>31.663705970306854</v>
      </c>
    </row>
    <row r="600" spans="18:18" x14ac:dyDescent="0.25">
      <c r="R600">
        <v>28.381242277915291</v>
      </c>
    </row>
    <row r="601" spans="18:18" x14ac:dyDescent="0.25">
      <c r="R601">
        <v>28.024116391656772</v>
      </c>
    </row>
    <row r="602" spans="18:18" x14ac:dyDescent="0.25">
      <c r="R602">
        <v>18.170385334271295</v>
      </c>
    </row>
    <row r="603" spans="18:18" x14ac:dyDescent="0.25">
      <c r="R603">
        <v>21.473011660507566</v>
      </c>
    </row>
    <row r="604" spans="18:18" x14ac:dyDescent="0.25">
      <c r="R604">
        <v>29.01198138985588</v>
      </c>
    </row>
    <row r="605" spans="18:18" x14ac:dyDescent="0.25">
      <c r="R605">
        <v>27.707086388759752</v>
      </c>
    </row>
    <row r="606" spans="18:18" x14ac:dyDescent="0.25">
      <c r="R606">
        <v>30.301893611207717</v>
      </c>
    </row>
    <row r="607" spans="18:18" x14ac:dyDescent="0.25">
      <c r="R607">
        <v>26.160590664592632</v>
      </c>
    </row>
    <row r="608" spans="18:18" x14ac:dyDescent="0.25">
      <c r="R608">
        <v>28.751853065107753</v>
      </c>
    </row>
    <row r="609" spans="18:18" x14ac:dyDescent="0.25">
      <c r="R609">
        <v>30.480187981272703</v>
      </c>
    </row>
    <row r="610" spans="18:18" x14ac:dyDescent="0.25">
      <c r="R610">
        <v>16.072617648646045</v>
      </c>
    </row>
    <row r="611" spans="18:18" x14ac:dyDescent="0.25">
      <c r="R611">
        <v>25.175953165158468</v>
      </c>
    </row>
    <row r="612" spans="18:18" x14ac:dyDescent="0.25">
      <c r="R612">
        <v>21.528947857413755</v>
      </c>
    </row>
    <row r="613" spans="18:18" x14ac:dyDescent="0.25">
      <c r="R613">
        <v>27.272174390127265</v>
      </c>
    </row>
    <row r="614" spans="18:18" x14ac:dyDescent="0.25">
      <c r="R614">
        <v>25.677739428709963</v>
      </c>
    </row>
    <row r="615" spans="18:18" x14ac:dyDescent="0.25">
      <c r="R615">
        <v>27.233543454872819</v>
      </c>
    </row>
    <row r="616" spans="18:18" x14ac:dyDescent="0.25">
      <c r="R616">
        <v>23.974247653022985</v>
      </c>
    </row>
    <row r="617" spans="18:18" x14ac:dyDescent="0.25">
      <c r="R617">
        <v>30.68993467127158</v>
      </c>
    </row>
    <row r="618" spans="18:18" x14ac:dyDescent="0.25">
      <c r="R618">
        <v>21.344607803942925</v>
      </c>
    </row>
    <row r="619" spans="18:18" x14ac:dyDescent="0.25">
      <c r="R619">
        <v>27.416318597720903</v>
      </c>
    </row>
    <row r="620" spans="18:18" x14ac:dyDescent="0.25">
      <c r="R620">
        <v>26.857595677375699</v>
      </c>
    </row>
    <row r="621" spans="18:18" x14ac:dyDescent="0.25">
      <c r="R621">
        <v>20.104501161093232</v>
      </c>
    </row>
    <row r="622" spans="18:18" x14ac:dyDescent="0.25">
      <c r="R622">
        <v>26.732086447617753</v>
      </c>
    </row>
    <row r="623" spans="18:18" x14ac:dyDescent="0.25">
      <c r="R623">
        <v>15.909615920656979</v>
      </c>
    </row>
    <row r="624" spans="18:18" x14ac:dyDescent="0.25">
      <c r="R624">
        <v>24.138296767595683</v>
      </c>
    </row>
    <row r="625" spans="18:18" x14ac:dyDescent="0.25">
      <c r="R625">
        <v>15.198652199494855</v>
      </c>
    </row>
    <row r="626" spans="18:18" x14ac:dyDescent="0.25">
      <c r="R626">
        <v>23.749587885690612</v>
      </c>
    </row>
    <row r="627" spans="18:18" x14ac:dyDescent="0.25">
      <c r="R627">
        <v>29.092024752471321</v>
      </c>
    </row>
    <row r="628" spans="18:18" x14ac:dyDescent="0.25">
      <c r="R628">
        <v>18.942954241988915</v>
      </c>
    </row>
    <row r="629" spans="18:18" x14ac:dyDescent="0.25">
      <c r="R629">
        <v>24.165672004687966</v>
      </c>
    </row>
    <row r="630" spans="18:18" x14ac:dyDescent="0.25">
      <c r="R630">
        <v>24.781711243631509</v>
      </c>
    </row>
    <row r="631" spans="18:18" x14ac:dyDescent="0.25">
      <c r="R631">
        <v>23.675359512249148</v>
      </c>
    </row>
    <row r="632" spans="18:18" x14ac:dyDescent="0.25">
      <c r="R632">
        <v>22.448209839749488</v>
      </c>
    </row>
    <row r="633" spans="18:18" x14ac:dyDescent="0.25">
      <c r="R633">
        <v>29.697757147520374</v>
      </c>
    </row>
    <row r="634" spans="18:18" x14ac:dyDescent="0.25">
      <c r="R634">
        <v>25.991529120133698</v>
      </c>
    </row>
    <row r="635" spans="18:18" x14ac:dyDescent="0.25">
      <c r="R635">
        <v>21.208312773509089</v>
      </c>
    </row>
    <row r="636" spans="18:18" x14ac:dyDescent="0.25">
      <c r="R636">
        <v>30.28503367525451</v>
      </c>
    </row>
    <row r="637" spans="18:18" x14ac:dyDescent="0.25">
      <c r="R637">
        <v>22.482924500273349</v>
      </c>
    </row>
    <row r="638" spans="18:18" x14ac:dyDescent="0.25">
      <c r="R638">
        <v>28.757165210617185</v>
      </c>
    </row>
    <row r="639" spans="18:18" x14ac:dyDescent="0.25">
      <c r="R639">
        <v>30.161045724731302</v>
      </c>
    </row>
    <row r="640" spans="18:18" x14ac:dyDescent="0.25">
      <c r="R640">
        <v>26.946748215650956</v>
      </c>
    </row>
    <row r="641" spans="18:18" x14ac:dyDescent="0.25">
      <c r="R641">
        <v>25.863719163753387</v>
      </c>
    </row>
    <row r="642" spans="18:18" x14ac:dyDescent="0.25">
      <c r="R642">
        <v>21.872491679814228</v>
      </c>
    </row>
    <row r="643" spans="18:18" x14ac:dyDescent="0.25">
      <c r="R643">
        <v>25.524168523241549</v>
      </c>
    </row>
    <row r="644" spans="18:18" x14ac:dyDescent="0.25">
      <c r="R644">
        <v>28.402252056137108</v>
      </c>
    </row>
    <row r="645" spans="18:18" x14ac:dyDescent="0.25">
      <c r="R645">
        <v>30.04396617470605</v>
      </c>
    </row>
    <row r="646" spans="18:18" x14ac:dyDescent="0.25">
      <c r="R646">
        <v>29.45216215502046</v>
      </c>
    </row>
    <row r="647" spans="18:18" x14ac:dyDescent="0.25">
      <c r="R647">
        <v>26.346890668113275</v>
      </c>
    </row>
    <row r="648" spans="18:18" x14ac:dyDescent="0.25">
      <c r="R648">
        <v>20.297092111507681</v>
      </c>
    </row>
    <row r="649" spans="18:18" x14ac:dyDescent="0.25">
      <c r="R649">
        <v>21.892954832370634</v>
      </c>
    </row>
    <row r="650" spans="18:18" x14ac:dyDescent="0.25">
      <c r="R650">
        <v>28.122912829972456</v>
      </c>
    </row>
    <row r="651" spans="18:18" x14ac:dyDescent="0.25">
      <c r="R651">
        <v>20.5315672146825</v>
      </c>
    </row>
    <row r="652" spans="18:18" x14ac:dyDescent="0.25">
      <c r="R652">
        <v>24.696209433763556</v>
      </c>
    </row>
    <row r="653" spans="18:18" x14ac:dyDescent="0.25">
      <c r="R653">
        <v>30.751872548713145</v>
      </c>
    </row>
    <row r="654" spans="18:18" x14ac:dyDescent="0.25">
      <c r="R654">
        <v>30.65799974278487</v>
      </c>
    </row>
    <row r="655" spans="18:18" x14ac:dyDescent="0.25">
      <c r="R655">
        <v>24.7830975563683</v>
      </c>
    </row>
    <row r="656" spans="18:18" x14ac:dyDescent="0.25">
      <c r="R656">
        <v>25.129799054284824</v>
      </c>
    </row>
    <row r="657" spans="18:18" x14ac:dyDescent="0.25">
      <c r="R657">
        <v>25.254176131231418</v>
      </c>
    </row>
    <row r="658" spans="18:18" x14ac:dyDescent="0.25">
      <c r="R658">
        <v>22.216932352006861</v>
      </c>
    </row>
    <row r="659" spans="18:18" x14ac:dyDescent="0.25">
      <c r="R659">
        <v>27.722603383205236</v>
      </c>
    </row>
    <row r="660" spans="18:18" x14ac:dyDescent="0.25">
      <c r="R660">
        <v>25.803476965457588</v>
      </c>
    </row>
    <row r="661" spans="18:18" x14ac:dyDescent="0.25">
      <c r="R661">
        <v>19.966671677880484</v>
      </c>
    </row>
    <row r="662" spans="18:18" x14ac:dyDescent="0.25">
      <c r="R662">
        <v>15.857886855520293</v>
      </c>
    </row>
    <row r="663" spans="18:18" x14ac:dyDescent="0.25">
      <c r="R663">
        <v>19.073711668228306</v>
      </c>
    </row>
    <row r="664" spans="18:18" x14ac:dyDescent="0.25">
      <c r="R664">
        <v>25.803723156970861</v>
      </c>
    </row>
    <row r="665" spans="18:18" x14ac:dyDescent="0.25">
      <c r="R665">
        <v>28.453809896237907</v>
      </c>
    </row>
    <row r="666" spans="18:18" x14ac:dyDescent="0.25">
      <c r="R666">
        <v>25.984162484836254</v>
      </c>
    </row>
    <row r="667" spans="18:18" x14ac:dyDescent="0.25">
      <c r="R667">
        <v>31.310608913453017</v>
      </c>
    </row>
    <row r="668" spans="18:18" x14ac:dyDescent="0.25">
      <c r="R668">
        <v>20.054161871240741</v>
      </c>
    </row>
    <row r="669" spans="18:18" x14ac:dyDescent="0.25">
      <c r="R669">
        <v>27.21134795678006</v>
      </c>
    </row>
    <row r="670" spans="18:18" x14ac:dyDescent="0.25">
      <c r="R670">
        <v>25.271962873380716</v>
      </c>
    </row>
    <row r="671" spans="18:18" x14ac:dyDescent="0.25">
      <c r="R671">
        <v>24.435472256830256</v>
      </c>
    </row>
    <row r="672" spans="18:18" x14ac:dyDescent="0.25">
      <c r="R672">
        <v>24.781359422832146</v>
      </c>
    </row>
    <row r="673" spans="18:18" x14ac:dyDescent="0.25">
      <c r="R673">
        <v>21.115279277577365</v>
      </c>
    </row>
    <row r="674" spans="18:18" x14ac:dyDescent="0.25">
      <c r="R674">
        <v>21.121861491692069</v>
      </c>
    </row>
    <row r="675" spans="18:18" x14ac:dyDescent="0.25">
      <c r="R675">
        <v>23.725142686309326</v>
      </c>
    </row>
    <row r="676" spans="18:18" x14ac:dyDescent="0.25">
      <c r="R676">
        <v>23.69063210592666</v>
      </c>
    </row>
    <row r="677" spans="18:18" x14ac:dyDescent="0.25">
      <c r="R677">
        <v>23.014784485715424</v>
      </c>
    </row>
    <row r="678" spans="18:18" x14ac:dyDescent="0.25">
      <c r="R678">
        <v>25.407290713726489</v>
      </c>
    </row>
    <row r="679" spans="18:18" x14ac:dyDescent="0.25">
      <c r="R679">
        <v>20.419005090499802</v>
      </c>
    </row>
    <row r="680" spans="18:18" x14ac:dyDescent="0.25">
      <c r="R680">
        <v>24.112638236297691</v>
      </c>
    </row>
    <row r="681" spans="18:18" x14ac:dyDescent="0.25">
      <c r="R681">
        <v>20.324193666920635</v>
      </c>
    </row>
    <row r="682" spans="18:18" x14ac:dyDescent="0.25">
      <c r="R682">
        <v>28.924083147917759</v>
      </c>
    </row>
    <row r="683" spans="18:18" x14ac:dyDescent="0.25">
      <c r="R683">
        <v>25.136438413310845</v>
      </c>
    </row>
    <row r="684" spans="18:18" x14ac:dyDescent="0.25">
      <c r="R684">
        <v>23.895124338397743</v>
      </c>
    </row>
    <row r="685" spans="18:18" x14ac:dyDescent="0.25">
      <c r="R685">
        <v>25.43689305489228</v>
      </c>
    </row>
    <row r="686" spans="18:18" x14ac:dyDescent="0.25">
      <c r="R686">
        <v>28.299118968827784</v>
      </c>
    </row>
    <row r="687" spans="18:18" x14ac:dyDescent="0.25">
      <c r="R687">
        <v>24.875200293558777</v>
      </c>
    </row>
    <row r="688" spans="18:18" x14ac:dyDescent="0.25">
      <c r="R688">
        <v>27.201887507366735</v>
      </c>
    </row>
    <row r="689" spans="18:18" x14ac:dyDescent="0.25">
      <c r="R689">
        <v>27.771049798501455</v>
      </c>
    </row>
    <row r="690" spans="18:18" x14ac:dyDescent="0.25">
      <c r="R690">
        <v>27.337928171742377</v>
      </c>
    </row>
    <row r="691" spans="18:18" x14ac:dyDescent="0.25">
      <c r="R691">
        <v>25.189337995399505</v>
      </c>
    </row>
    <row r="692" spans="18:18" x14ac:dyDescent="0.25">
      <c r="R692">
        <v>20.592182201031036</v>
      </c>
    </row>
    <row r="693" spans="18:18" x14ac:dyDescent="0.25">
      <c r="R693">
        <v>26.623456403031568</v>
      </c>
    </row>
    <row r="694" spans="18:18" x14ac:dyDescent="0.25">
      <c r="R694">
        <v>17.904275137025991</v>
      </c>
    </row>
    <row r="695" spans="18:18" x14ac:dyDescent="0.25">
      <c r="R695">
        <v>22.253460434793851</v>
      </c>
    </row>
    <row r="696" spans="18:18" x14ac:dyDescent="0.25">
      <c r="R696">
        <v>28.022839639566172</v>
      </c>
    </row>
    <row r="697" spans="18:18" x14ac:dyDescent="0.25">
      <c r="R697">
        <v>18.378962658428442</v>
      </c>
    </row>
    <row r="698" spans="18:18" x14ac:dyDescent="0.25">
      <c r="R698">
        <v>24.410862173246358</v>
      </c>
    </row>
    <row r="699" spans="18:18" x14ac:dyDescent="0.25">
      <c r="R699">
        <v>30.345873219587205</v>
      </c>
    </row>
    <row r="700" spans="18:18" x14ac:dyDescent="0.25">
      <c r="R700">
        <v>24.187129017323993</v>
      </c>
    </row>
    <row r="701" spans="18:18" x14ac:dyDescent="0.25">
      <c r="R701">
        <v>29.438718803644083</v>
      </c>
    </row>
    <row r="702" spans="18:18" x14ac:dyDescent="0.25">
      <c r="R702">
        <v>26.755968643759935</v>
      </c>
    </row>
    <row r="703" spans="18:18" x14ac:dyDescent="0.25">
      <c r="R703">
        <v>27.118767078416997</v>
      </c>
    </row>
    <row r="704" spans="18:18" x14ac:dyDescent="0.25">
      <c r="R704">
        <v>20.478189742410407</v>
      </c>
    </row>
    <row r="705" spans="18:18" x14ac:dyDescent="0.25">
      <c r="R705">
        <v>29.518243965727326</v>
      </c>
    </row>
    <row r="706" spans="18:18" x14ac:dyDescent="0.25">
      <c r="R706">
        <v>30.618741389564665</v>
      </c>
    </row>
    <row r="707" spans="18:18" x14ac:dyDescent="0.25">
      <c r="R707">
        <v>29.220060404543183</v>
      </c>
    </row>
    <row r="708" spans="18:18" x14ac:dyDescent="0.25">
      <c r="R708">
        <v>21.643588276684234</v>
      </c>
    </row>
    <row r="709" spans="18:18" x14ac:dyDescent="0.25">
      <c r="R709">
        <v>22.427361943871993</v>
      </c>
    </row>
    <row r="710" spans="18:18" x14ac:dyDescent="0.25">
      <c r="R710">
        <v>25.205673732755749</v>
      </c>
    </row>
    <row r="711" spans="18:18" x14ac:dyDescent="0.25">
      <c r="R711">
        <v>28.16171106891607</v>
      </c>
    </row>
    <row r="712" spans="18:18" x14ac:dyDescent="0.25">
      <c r="R712">
        <v>28.74744417281401</v>
      </c>
    </row>
    <row r="713" spans="18:18" x14ac:dyDescent="0.25">
      <c r="R713">
        <v>22.920153855603747</v>
      </c>
    </row>
    <row r="714" spans="18:18" x14ac:dyDescent="0.25">
      <c r="R714">
        <v>28.344863319230225</v>
      </c>
    </row>
    <row r="715" spans="18:18" x14ac:dyDescent="0.25">
      <c r="R715">
        <v>25.530112354893497</v>
      </c>
    </row>
    <row r="716" spans="18:18" x14ac:dyDescent="0.25">
      <c r="R716">
        <v>23.114940457948261</v>
      </c>
    </row>
    <row r="717" spans="18:18" x14ac:dyDescent="0.25">
      <c r="R717">
        <v>25.50953290059492</v>
      </c>
    </row>
    <row r="718" spans="18:18" x14ac:dyDescent="0.25">
      <c r="R718">
        <v>17.246836061206459</v>
      </c>
    </row>
    <row r="719" spans="18:18" x14ac:dyDescent="0.25">
      <c r="R719">
        <v>19.220814899940805</v>
      </c>
    </row>
    <row r="720" spans="18:18" x14ac:dyDescent="0.25">
      <c r="R720">
        <v>29.898562713184994</v>
      </c>
    </row>
    <row r="721" spans="18:18" x14ac:dyDescent="0.25">
      <c r="R721">
        <v>27.40471096852027</v>
      </c>
    </row>
    <row r="722" spans="18:18" x14ac:dyDescent="0.25">
      <c r="R722">
        <v>20.689993114024109</v>
      </c>
    </row>
    <row r="723" spans="18:18" x14ac:dyDescent="0.25">
      <c r="R723">
        <v>30.211463137747369</v>
      </c>
    </row>
    <row r="724" spans="18:18" x14ac:dyDescent="0.25">
      <c r="R724">
        <v>22.52456044143451</v>
      </c>
    </row>
    <row r="725" spans="18:18" x14ac:dyDescent="0.25">
      <c r="R725">
        <v>18.691541192849844</v>
      </c>
    </row>
    <row r="726" spans="18:18" x14ac:dyDescent="0.25">
      <c r="R726">
        <v>23.990841494019012</v>
      </c>
    </row>
    <row r="727" spans="18:18" x14ac:dyDescent="0.25">
      <c r="R727">
        <v>19.417874995914438</v>
      </c>
    </row>
    <row r="728" spans="18:18" x14ac:dyDescent="0.25">
      <c r="R728">
        <v>25.891175544003353</v>
      </c>
    </row>
    <row r="729" spans="18:18" x14ac:dyDescent="0.25">
      <c r="R729">
        <v>20.643679782545583</v>
      </c>
    </row>
    <row r="730" spans="18:18" x14ac:dyDescent="0.25">
      <c r="R730">
        <v>20.359919599734994</v>
      </c>
    </row>
    <row r="731" spans="18:18" x14ac:dyDescent="0.25">
      <c r="R731">
        <v>26.406005385925855</v>
      </c>
    </row>
    <row r="732" spans="18:18" x14ac:dyDescent="0.25">
      <c r="R732">
        <v>16.9965830928674</v>
      </c>
    </row>
    <row r="733" spans="18:18" x14ac:dyDescent="0.25">
      <c r="R733">
        <v>28.470706065888702</v>
      </c>
    </row>
    <row r="734" spans="18:18" x14ac:dyDescent="0.25">
      <c r="R734">
        <v>17.542961146206508</v>
      </c>
    </row>
    <row r="735" spans="18:18" x14ac:dyDescent="0.25">
      <c r="R735">
        <v>28.206499176146256</v>
      </c>
    </row>
    <row r="736" spans="18:18" x14ac:dyDescent="0.25">
      <c r="R736">
        <v>25.310675265011856</v>
      </c>
    </row>
    <row r="737" spans="18:18" x14ac:dyDescent="0.25">
      <c r="R737">
        <v>28.469221162868742</v>
      </c>
    </row>
    <row r="738" spans="18:18" x14ac:dyDescent="0.25">
      <c r="R738">
        <v>26.553931681544434</v>
      </c>
    </row>
    <row r="739" spans="18:18" x14ac:dyDescent="0.25">
      <c r="R739">
        <v>21.834527184899748</v>
      </c>
    </row>
    <row r="740" spans="18:18" x14ac:dyDescent="0.25">
      <c r="R740">
        <v>29.1789070021157</v>
      </c>
    </row>
    <row r="741" spans="18:18" x14ac:dyDescent="0.25">
      <c r="R741">
        <v>25.733011059402923</v>
      </c>
    </row>
    <row r="742" spans="18:18" x14ac:dyDescent="0.25">
      <c r="R742">
        <v>19.451988150007828</v>
      </c>
    </row>
    <row r="743" spans="18:18" x14ac:dyDescent="0.25">
      <c r="R743">
        <v>26.688245784006213</v>
      </c>
    </row>
    <row r="744" spans="18:18" x14ac:dyDescent="0.25">
      <c r="R744">
        <v>22.865020008463759</v>
      </c>
    </row>
    <row r="745" spans="18:18" x14ac:dyDescent="0.25">
      <c r="R745">
        <v>26.762894732515512</v>
      </c>
    </row>
    <row r="746" spans="18:18" x14ac:dyDescent="0.25">
      <c r="R746">
        <v>18.673496499508456</v>
      </c>
    </row>
    <row r="747" spans="18:18" x14ac:dyDescent="0.25">
      <c r="R747">
        <v>27.863621091120621</v>
      </c>
    </row>
    <row r="748" spans="18:18" x14ac:dyDescent="0.25">
      <c r="R748">
        <v>19.670805780024899</v>
      </c>
    </row>
    <row r="749" spans="18:18" x14ac:dyDescent="0.25">
      <c r="R749">
        <v>30.982600687728404</v>
      </c>
    </row>
    <row r="750" spans="18:18" x14ac:dyDescent="0.25">
      <c r="R750">
        <v>25.400879181511108</v>
      </c>
    </row>
    <row r="751" spans="18:18" x14ac:dyDescent="0.25">
      <c r="R751">
        <v>27.151413017385877</v>
      </c>
    </row>
    <row r="752" spans="18:18" x14ac:dyDescent="0.25">
      <c r="R752">
        <v>24.396463206396643</v>
      </c>
    </row>
    <row r="753" spans="18:18" x14ac:dyDescent="0.25">
      <c r="R753">
        <v>26.382759578537957</v>
      </c>
    </row>
    <row r="754" spans="18:18" x14ac:dyDescent="0.25">
      <c r="R754">
        <v>25.26948796910704</v>
      </c>
    </row>
    <row r="755" spans="18:18" x14ac:dyDescent="0.25">
      <c r="R755">
        <v>22.444523510135117</v>
      </c>
    </row>
    <row r="756" spans="18:18" x14ac:dyDescent="0.25">
      <c r="R756">
        <v>25.161065852421192</v>
      </c>
    </row>
    <row r="757" spans="18:18" x14ac:dyDescent="0.25">
      <c r="R757">
        <v>17.061967834851963</v>
      </c>
    </row>
    <row r="758" spans="18:18" x14ac:dyDescent="0.25">
      <c r="R758">
        <v>29.105873818070194</v>
      </c>
    </row>
    <row r="759" spans="18:18" x14ac:dyDescent="0.25">
      <c r="R759">
        <v>22.233014170708138</v>
      </c>
    </row>
    <row r="760" spans="18:18" x14ac:dyDescent="0.25">
      <c r="R760">
        <v>25.754971958199491</v>
      </c>
    </row>
    <row r="761" spans="18:18" x14ac:dyDescent="0.25">
      <c r="R761">
        <v>26.827442742276396</v>
      </c>
    </row>
    <row r="762" spans="18:18" x14ac:dyDescent="0.25">
      <c r="R762">
        <v>27.592178085671904</v>
      </c>
    </row>
    <row r="763" spans="18:18" x14ac:dyDescent="0.25">
      <c r="R763">
        <v>20.600028371357006</v>
      </c>
    </row>
    <row r="764" spans="18:18" x14ac:dyDescent="0.25">
      <c r="R764">
        <v>27.173090194886566</v>
      </c>
    </row>
    <row r="765" spans="18:18" x14ac:dyDescent="0.25">
      <c r="R765">
        <v>27.652526299556094</v>
      </c>
    </row>
    <row r="766" spans="18:18" x14ac:dyDescent="0.25">
      <c r="R766">
        <v>19.047231772284817</v>
      </c>
    </row>
    <row r="767" spans="18:18" x14ac:dyDescent="0.25">
      <c r="R767">
        <v>20.001121484993881</v>
      </c>
    </row>
    <row r="768" spans="18:18" x14ac:dyDescent="0.25">
      <c r="R768">
        <v>24.447040998426914</v>
      </c>
    </row>
    <row r="769" spans="18:18" x14ac:dyDescent="0.25">
      <c r="R769">
        <v>28.283137849170874</v>
      </c>
    </row>
    <row r="770" spans="18:18" x14ac:dyDescent="0.25">
      <c r="R770">
        <v>24.297440033905261</v>
      </c>
    </row>
    <row r="771" spans="18:18" x14ac:dyDescent="0.25">
      <c r="R771">
        <v>20.243575853764504</v>
      </c>
    </row>
    <row r="772" spans="18:18" x14ac:dyDescent="0.25">
      <c r="R772">
        <v>27.74452399149019</v>
      </c>
    </row>
    <row r="773" spans="18:18" x14ac:dyDescent="0.25">
      <c r="R773">
        <v>27.543720237065784</v>
      </c>
    </row>
    <row r="774" spans="18:18" x14ac:dyDescent="0.25">
      <c r="R774">
        <v>27.669872298031194</v>
      </c>
    </row>
    <row r="775" spans="18:18" x14ac:dyDescent="0.25">
      <c r="R775">
        <v>22.968315707973034</v>
      </c>
    </row>
    <row r="776" spans="18:18" x14ac:dyDescent="0.25">
      <c r="R776">
        <v>26.461570579340034</v>
      </c>
    </row>
    <row r="777" spans="18:18" x14ac:dyDescent="0.25">
      <c r="R777">
        <v>27.47856962123787</v>
      </c>
    </row>
    <row r="778" spans="18:18" x14ac:dyDescent="0.25">
      <c r="R778">
        <v>25.534342701752131</v>
      </c>
    </row>
    <row r="779" spans="18:18" x14ac:dyDescent="0.25">
      <c r="R779">
        <v>26.711180144189473</v>
      </c>
    </row>
    <row r="780" spans="18:18" x14ac:dyDescent="0.25">
      <c r="R780">
        <v>26.569407391819659</v>
      </c>
    </row>
    <row r="781" spans="18:18" x14ac:dyDescent="0.25">
      <c r="R781">
        <v>29.352696627391744</v>
      </c>
    </row>
    <row r="782" spans="18:18" x14ac:dyDescent="0.25">
      <c r="R782">
        <v>27.266072572215993</v>
      </c>
    </row>
    <row r="783" spans="18:18" x14ac:dyDescent="0.25">
      <c r="R783">
        <v>22.403946331882302</v>
      </c>
    </row>
    <row r="784" spans="18:18" x14ac:dyDescent="0.25">
      <c r="R784">
        <v>22.496534123152045</v>
      </c>
    </row>
    <row r="785" spans="18:18" x14ac:dyDescent="0.25">
      <c r="R785">
        <v>23.273053295030863</v>
      </c>
    </row>
    <row r="786" spans="18:18" x14ac:dyDescent="0.25">
      <c r="R786">
        <v>29.851442546166474</v>
      </c>
    </row>
    <row r="787" spans="18:18" x14ac:dyDescent="0.25">
      <c r="R787">
        <v>20.726954374411303</v>
      </c>
    </row>
    <row r="788" spans="18:18" x14ac:dyDescent="0.25">
      <c r="R788">
        <v>26.966855467451694</v>
      </c>
    </row>
    <row r="789" spans="18:18" x14ac:dyDescent="0.25">
      <c r="R789">
        <v>25.912503442287708</v>
      </c>
    </row>
    <row r="790" spans="18:18" x14ac:dyDescent="0.25">
      <c r="R790">
        <v>20.660756823815014</v>
      </c>
    </row>
    <row r="791" spans="18:18" x14ac:dyDescent="0.25">
      <c r="R791">
        <v>31.506350038033712</v>
      </c>
    </row>
    <row r="792" spans="18:18" x14ac:dyDescent="0.25">
      <c r="R792">
        <v>25.139591801162481</v>
      </c>
    </row>
    <row r="793" spans="18:18" x14ac:dyDescent="0.25">
      <c r="R793">
        <v>27.906931881919014</v>
      </c>
    </row>
    <row r="794" spans="18:18" x14ac:dyDescent="0.25">
      <c r="R794">
        <v>28.811026912418267</v>
      </c>
    </row>
    <row r="795" spans="18:18" x14ac:dyDescent="0.25">
      <c r="R795">
        <v>29.605266407702562</v>
      </c>
    </row>
    <row r="796" spans="18:18" x14ac:dyDescent="0.25">
      <c r="R796">
        <v>27.291110782615263</v>
      </c>
    </row>
    <row r="797" spans="18:18" x14ac:dyDescent="0.25">
      <c r="R797">
        <v>26.644139831070667</v>
      </c>
    </row>
    <row r="798" spans="18:18" x14ac:dyDescent="0.25">
      <c r="R798">
        <v>28.866681515809006</v>
      </c>
    </row>
    <row r="799" spans="18:18" x14ac:dyDescent="0.25">
      <c r="R799">
        <v>27.500852727937026</v>
      </c>
    </row>
    <row r="800" spans="18:18" x14ac:dyDescent="0.25">
      <c r="R800">
        <v>24.477430787655351</v>
      </c>
    </row>
    <row r="801" spans="18:18" x14ac:dyDescent="0.25">
      <c r="R801">
        <v>20.043725834964675</v>
      </c>
    </row>
    <row r="802" spans="18:18" x14ac:dyDescent="0.25">
      <c r="R802">
        <v>17.662951523111481</v>
      </c>
    </row>
    <row r="803" spans="18:18" x14ac:dyDescent="0.25">
      <c r="R803">
        <v>23.606686522203923</v>
      </c>
    </row>
    <row r="804" spans="18:18" x14ac:dyDescent="0.25">
      <c r="R804">
        <v>20.877680855544991</v>
      </c>
    </row>
    <row r="805" spans="18:18" x14ac:dyDescent="0.25">
      <c r="R805">
        <v>20.53664545851721</v>
      </c>
    </row>
    <row r="806" spans="18:18" x14ac:dyDescent="0.25">
      <c r="R806">
        <v>26.566679329777706</v>
      </c>
    </row>
    <row r="807" spans="18:18" x14ac:dyDescent="0.25">
      <c r="R807">
        <v>28.572143492829351</v>
      </c>
    </row>
    <row r="808" spans="18:18" x14ac:dyDescent="0.25">
      <c r="R808">
        <v>20.413371396399192</v>
      </c>
    </row>
    <row r="809" spans="18:18" x14ac:dyDescent="0.25">
      <c r="R809">
        <v>20.917037786033546</v>
      </c>
    </row>
    <row r="810" spans="18:18" x14ac:dyDescent="0.25">
      <c r="R810">
        <v>29.67989337990398</v>
      </c>
    </row>
    <row r="811" spans="18:18" x14ac:dyDescent="0.25">
      <c r="R811">
        <v>24.293853447447198</v>
      </c>
    </row>
    <row r="812" spans="18:18" x14ac:dyDescent="0.25">
      <c r="R812">
        <v>25.508618460527998</v>
      </c>
    </row>
    <row r="813" spans="18:18" x14ac:dyDescent="0.25">
      <c r="R813">
        <v>25.140278928475524</v>
      </c>
    </row>
    <row r="814" spans="18:18" x14ac:dyDescent="0.25">
      <c r="R814">
        <v>28.457233734789934</v>
      </c>
    </row>
    <row r="815" spans="18:18" x14ac:dyDescent="0.25">
      <c r="R815">
        <v>17.728336308203104</v>
      </c>
    </row>
    <row r="816" spans="18:18" x14ac:dyDescent="0.25">
      <c r="R816">
        <v>29.278552116704809</v>
      </c>
    </row>
    <row r="817" spans="18:18" x14ac:dyDescent="0.25">
      <c r="R817">
        <v>18.459197428755179</v>
      </c>
    </row>
    <row r="818" spans="18:18" x14ac:dyDescent="0.25">
      <c r="R818">
        <v>30.232434520857257</v>
      </c>
    </row>
    <row r="819" spans="18:18" x14ac:dyDescent="0.25">
      <c r="R819">
        <v>27.170698876582623</v>
      </c>
    </row>
    <row r="820" spans="18:18" x14ac:dyDescent="0.25">
      <c r="R820">
        <v>23.879808646636334</v>
      </c>
    </row>
    <row r="821" spans="18:18" x14ac:dyDescent="0.25">
      <c r="R821">
        <v>31.117116681148264</v>
      </c>
    </row>
    <row r="822" spans="18:18" x14ac:dyDescent="0.25">
      <c r="R822">
        <v>25.911327405785471</v>
      </c>
    </row>
    <row r="823" spans="18:18" x14ac:dyDescent="0.25">
      <c r="R823">
        <v>27.136761022262547</v>
      </c>
    </row>
    <row r="824" spans="18:18" x14ac:dyDescent="0.25">
      <c r="R824">
        <v>23.179549181858604</v>
      </c>
    </row>
    <row r="825" spans="18:18" x14ac:dyDescent="0.25">
      <c r="R825">
        <v>29.415899900514031</v>
      </c>
    </row>
    <row r="826" spans="18:18" x14ac:dyDescent="0.25">
      <c r="R826">
        <v>23.520431358799751</v>
      </c>
    </row>
    <row r="827" spans="18:18" x14ac:dyDescent="0.25">
      <c r="R827">
        <v>27.794110312773828</v>
      </c>
    </row>
    <row r="828" spans="18:18" x14ac:dyDescent="0.25">
      <c r="R828">
        <v>17.391632364696569</v>
      </c>
    </row>
    <row r="829" spans="18:18" x14ac:dyDescent="0.25">
      <c r="R829">
        <v>16.909634978822211</v>
      </c>
    </row>
    <row r="830" spans="18:18" x14ac:dyDescent="0.25">
      <c r="R830">
        <v>29.718841776730823</v>
      </c>
    </row>
    <row r="831" spans="18:18" x14ac:dyDescent="0.25">
      <c r="R831">
        <v>22.36239907539035</v>
      </c>
    </row>
    <row r="832" spans="18:18" x14ac:dyDescent="0.25">
      <c r="R832">
        <v>26.925725960424863</v>
      </c>
    </row>
    <row r="833" spans="18:18" x14ac:dyDescent="0.25">
      <c r="R833">
        <v>26.320157660280728</v>
      </c>
    </row>
    <row r="834" spans="18:18" x14ac:dyDescent="0.25">
      <c r="R834">
        <v>21.657803260151191</v>
      </c>
    </row>
    <row r="835" spans="18:18" x14ac:dyDescent="0.25">
      <c r="R835">
        <v>25.54574602299553</v>
      </c>
    </row>
    <row r="836" spans="18:18" x14ac:dyDescent="0.25">
      <c r="R836">
        <v>28.194917287968842</v>
      </c>
    </row>
    <row r="837" spans="18:18" x14ac:dyDescent="0.25">
      <c r="R837">
        <v>20.588250160984067</v>
      </c>
    </row>
    <row r="838" spans="18:18" x14ac:dyDescent="0.25">
      <c r="R838">
        <v>26.726368517687334</v>
      </c>
    </row>
    <row r="839" spans="18:18" x14ac:dyDescent="0.25">
      <c r="R839">
        <v>24.990996021659232</v>
      </c>
    </row>
    <row r="840" spans="18:18" x14ac:dyDescent="0.25">
      <c r="R840">
        <v>23.606524067604639</v>
      </c>
    </row>
    <row r="841" spans="18:18" x14ac:dyDescent="0.25">
      <c r="R841">
        <v>26.106093935476224</v>
      </c>
    </row>
    <row r="842" spans="18:18" x14ac:dyDescent="0.25">
      <c r="R842">
        <v>24.806720606329115</v>
      </c>
    </row>
    <row r="843" spans="18:18" x14ac:dyDescent="0.25">
      <c r="R843">
        <v>29.114416479986417</v>
      </c>
    </row>
    <row r="844" spans="18:18" x14ac:dyDescent="0.25">
      <c r="R844">
        <v>27.258353323305268</v>
      </c>
    </row>
    <row r="845" spans="18:18" x14ac:dyDescent="0.25">
      <c r="R845">
        <v>28.343571682949705</v>
      </c>
    </row>
    <row r="846" spans="18:18" x14ac:dyDescent="0.25">
      <c r="R846">
        <v>23.787263685109451</v>
      </c>
    </row>
    <row r="847" spans="18:18" x14ac:dyDescent="0.25">
      <c r="R847">
        <v>19.697535619569628</v>
      </c>
    </row>
    <row r="848" spans="18:18" x14ac:dyDescent="0.25">
      <c r="R848">
        <v>19.067392786420452</v>
      </c>
    </row>
    <row r="849" spans="18:18" x14ac:dyDescent="0.25">
      <c r="R849">
        <v>29.292979775475093</v>
      </c>
    </row>
    <row r="850" spans="18:18" x14ac:dyDescent="0.25">
      <c r="R850">
        <v>23.917596244812316</v>
      </c>
    </row>
    <row r="851" spans="18:18" x14ac:dyDescent="0.25">
      <c r="R851">
        <v>27.484934359097409</v>
      </c>
    </row>
    <row r="852" spans="18:18" x14ac:dyDescent="0.25">
      <c r="R852">
        <v>29.401557729710213</v>
      </c>
    </row>
    <row r="853" spans="18:18" x14ac:dyDescent="0.25">
      <c r="R853">
        <v>27.911565941005776</v>
      </c>
    </row>
    <row r="854" spans="18:18" x14ac:dyDescent="0.25">
      <c r="R854">
        <v>20.313110624804136</v>
      </c>
    </row>
    <row r="855" spans="18:18" x14ac:dyDescent="0.25">
      <c r="R855">
        <v>26.110243473864273</v>
      </c>
    </row>
    <row r="856" spans="18:18" x14ac:dyDescent="0.25">
      <c r="R856">
        <v>27.983242220857036</v>
      </c>
    </row>
    <row r="857" spans="18:18" x14ac:dyDescent="0.25">
      <c r="R857">
        <v>31.973833951876781</v>
      </c>
    </row>
    <row r="858" spans="18:18" x14ac:dyDescent="0.25">
      <c r="R858">
        <v>28.178244749364207</v>
      </c>
    </row>
    <row r="859" spans="18:18" x14ac:dyDescent="0.25">
      <c r="R859">
        <v>25.447011866680498</v>
      </c>
    </row>
    <row r="860" spans="18:18" x14ac:dyDescent="0.25">
      <c r="R860">
        <v>21.76107655612871</v>
      </c>
    </row>
    <row r="861" spans="18:18" x14ac:dyDescent="0.25">
      <c r="R861">
        <v>26.544244228049457</v>
      </c>
    </row>
    <row r="862" spans="18:18" x14ac:dyDescent="0.25">
      <c r="R862">
        <v>27.487025529608232</v>
      </c>
    </row>
    <row r="863" spans="18:18" x14ac:dyDescent="0.25">
      <c r="R863">
        <v>24.731334603636817</v>
      </c>
    </row>
    <row r="864" spans="18:18" x14ac:dyDescent="0.25">
      <c r="R864">
        <v>24.438735078932616</v>
      </c>
    </row>
    <row r="865" spans="18:18" x14ac:dyDescent="0.25">
      <c r="R865">
        <v>29.569102865704338</v>
      </c>
    </row>
    <row r="866" spans="18:18" x14ac:dyDescent="0.25">
      <c r="R866">
        <v>29.911540645762127</v>
      </c>
    </row>
    <row r="867" spans="18:18" x14ac:dyDescent="0.25">
      <c r="R867">
        <v>26.844400652428035</v>
      </c>
    </row>
    <row r="868" spans="18:18" x14ac:dyDescent="0.25">
      <c r="R868">
        <v>24.967868213218189</v>
      </c>
    </row>
    <row r="869" spans="18:18" x14ac:dyDescent="0.25">
      <c r="R869">
        <v>21.143957907053554</v>
      </c>
    </row>
    <row r="870" spans="18:18" x14ac:dyDescent="0.25">
      <c r="R870">
        <v>28.296585262826898</v>
      </c>
    </row>
    <row r="871" spans="18:18" x14ac:dyDescent="0.25">
      <c r="R871">
        <v>22.116134178044561</v>
      </c>
    </row>
    <row r="872" spans="18:18" x14ac:dyDescent="0.25">
      <c r="R872">
        <v>31.428289139328736</v>
      </c>
    </row>
    <row r="873" spans="18:18" x14ac:dyDescent="0.25">
      <c r="R873">
        <v>25.301744125742932</v>
      </c>
    </row>
    <row r="874" spans="18:18" x14ac:dyDescent="0.25">
      <c r="R874">
        <v>20.725496828583992</v>
      </c>
    </row>
    <row r="875" spans="18:18" x14ac:dyDescent="0.25">
      <c r="R875">
        <v>26.178761582623522</v>
      </c>
    </row>
    <row r="876" spans="18:18" x14ac:dyDescent="0.25">
      <c r="R876">
        <v>25.412352972543147</v>
      </c>
    </row>
    <row r="877" spans="18:18" x14ac:dyDescent="0.25">
      <c r="R877">
        <v>25.983247198567256</v>
      </c>
    </row>
    <row r="878" spans="18:18" x14ac:dyDescent="0.25">
      <c r="R878">
        <v>22.979604219942694</v>
      </c>
    </row>
    <row r="879" spans="18:18" x14ac:dyDescent="0.25">
      <c r="R879">
        <v>21.769404186786442</v>
      </c>
    </row>
    <row r="880" spans="18:18" x14ac:dyDescent="0.25">
      <c r="R880">
        <v>28.488132937402334</v>
      </c>
    </row>
    <row r="881" spans="18:18" x14ac:dyDescent="0.25">
      <c r="R881">
        <v>18.054777688992861</v>
      </c>
    </row>
    <row r="882" spans="18:18" x14ac:dyDescent="0.25">
      <c r="R882">
        <v>29.914916549488801</v>
      </c>
    </row>
    <row r="883" spans="18:18" x14ac:dyDescent="0.25">
      <c r="R883">
        <v>17.339500602400062</v>
      </c>
    </row>
    <row r="884" spans="18:18" x14ac:dyDescent="0.25">
      <c r="R884">
        <v>29.730105930536588</v>
      </c>
    </row>
    <row r="885" spans="18:18" x14ac:dyDescent="0.25">
      <c r="R885">
        <v>26.950163940081435</v>
      </c>
    </row>
    <row r="886" spans="18:18" x14ac:dyDescent="0.25">
      <c r="R886">
        <v>27.692058547186598</v>
      </c>
    </row>
    <row r="887" spans="18:18" x14ac:dyDescent="0.25">
      <c r="R887">
        <v>20.088436216538028</v>
      </c>
    </row>
    <row r="888" spans="18:18" x14ac:dyDescent="0.25">
      <c r="R888">
        <v>30.451024871779989</v>
      </c>
    </row>
    <row r="889" spans="18:18" x14ac:dyDescent="0.25">
      <c r="R889">
        <v>22.874249175908858</v>
      </c>
    </row>
    <row r="890" spans="18:18" x14ac:dyDescent="0.25">
      <c r="R890">
        <v>27.641258296500268</v>
      </c>
    </row>
    <row r="891" spans="18:18" x14ac:dyDescent="0.25">
      <c r="R891">
        <v>23.606297513080872</v>
      </c>
    </row>
    <row r="892" spans="18:18" x14ac:dyDescent="0.25">
      <c r="R892">
        <v>24.93197141272433</v>
      </c>
    </row>
    <row r="893" spans="18:18" x14ac:dyDescent="0.25">
      <c r="R893">
        <v>28.104695563924373</v>
      </c>
    </row>
    <row r="894" spans="18:18" x14ac:dyDescent="0.25">
      <c r="R894">
        <v>21.285339295376343</v>
      </c>
    </row>
    <row r="895" spans="18:18" x14ac:dyDescent="0.25">
      <c r="R895">
        <v>23.259215964372117</v>
      </c>
    </row>
    <row r="896" spans="18:18" x14ac:dyDescent="0.25">
      <c r="R896">
        <v>20.841451064201447</v>
      </c>
    </row>
    <row r="897" spans="18:18" x14ac:dyDescent="0.25">
      <c r="R897">
        <v>23.737965195971263</v>
      </c>
    </row>
    <row r="898" spans="18:18" x14ac:dyDescent="0.25">
      <c r="R898">
        <v>25.965265250906072</v>
      </c>
    </row>
    <row r="899" spans="18:18" x14ac:dyDescent="0.25">
      <c r="R899">
        <v>26.750633702427045</v>
      </c>
    </row>
    <row r="900" spans="18:18" x14ac:dyDescent="0.25">
      <c r="R900">
        <v>26.816078193829064</v>
      </c>
    </row>
    <row r="901" spans="18:18" x14ac:dyDescent="0.25">
      <c r="R901">
        <v>31.209385601304319</v>
      </c>
    </row>
    <row r="902" spans="18:18" x14ac:dyDescent="0.25">
      <c r="R902">
        <v>19.741815082400411</v>
      </c>
    </row>
    <row r="903" spans="18:18" x14ac:dyDescent="0.25">
      <c r="R903">
        <v>25.372952831024314</v>
      </c>
    </row>
    <row r="904" spans="18:18" x14ac:dyDescent="0.25">
      <c r="R904">
        <v>23.865061477548835</v>
      </c>
    </row>
    <row r="905" spans="18:18" x14ac:dyDescent="0.25">
      <c r="R905">
        <v>20.827441752128202</v>
      </c>
    </row>
    <row r="906" spans="18:18" x14ac:dyDescent="0.25">
      <c r="R906">
        <v>22.917608594295196</v>
      </c>
    </row>
    <row r="907" spans="18:18" x14ac:dyDescent="0.25">
      <c r="R907">
        <v>21.919690310772097</v>
      </c>
    </row>
    <row r="908" spans="18:18" x14ac:dyDescent="0.25">
      <c r="R908">
        <v>23.487778312692011</v>
      </c>
    </row>
    <row r="909" spans="18:18" x14ac:dyDescent="0.25">
      <c r="R909">
        <v>23.110207028679184</v>
      </c>
    </row>
    <row r="910" spans="18:18" x14ac:dyDescent="0.25">
      <c r="R910">
        <v>27.063986236456959</v>
      </c>
    </row>
    <row r="911" spans="18:18" x14ac:dyDescent="0.25">
      <c r="R911">
        <v>16.522117016581731</v>
      </c>
    </row>
    <row r="912" spans="18:18" x14ac:dyDescent="0.25">
      <c r="R912">
        <v>17.086046406219698</v>
      </c>
    </row>
    <row r="913" spans="18:18" x14ac:dyDescent="0.25">
      <c r="R913">
        <v>15.949278555844597</v>
      </c>
    </row>
    <row r="914" spans="18:18" x14ac:dyDescent="0.25">
      <c r="R914">
        <v>26.337024820686509</v>
      </c>
    </row>
    <row r="915" spans="18:18" x14ac:dyDescent="0.25">
      <c r="R915">
        <v>28.574960516886332</v>
      </c>
    </row>
    <row r="916" spans="18:18" x14ac:dyDescent="0.25">
      <c r="R916">
        <v>21.671011928007804</v>
      </c>
    </row>
    <row r="917" spans="18:18" x14ac:dyDescent="0.25">
      <c r="R917">
        <v>19.589790136394441</v>
      </c>
    </row>
    <row r="918" spans="18:18" x14ac:dyDescent="0.25">
      <c r="R918">
        <v>26.18408773157519</v>
      </c>
    </row>
    <row r="919" spans="18:18" x14ac:dyDescent="0.25">
      <c r="R919">
        <v>21.457366112253677</v>
      </c>
    </row>
    <row r="920" spans="18:18" x14ac:dyDescent="0.25">
      <c r="R920">
        <v>24.841892126876509</v>
      </c>
    </row>
    <row r="921" spans="18:18" x14ac:dyDescent="0.25">
      <c r="R921">
        <v>20.243698811162648</v>
      </c>
    </row>
    <row r="922" spans="18:18" x14ac:dyDescent="0.25">
      <c r="R922">
        <v>15.351899783234513</v>
      </c>
    </row>
    <row r="923" spans="18:18" x14ac:dyDescent="0.25">
      <c r="R923">
        <v>21.395205522354253</v>
      </c>
    </row>
    <row r="924" spans="18:18" x14ac:dyDescent="0.25">
      <c r="R924">
        <v>28.750450901074778</v>
      </c>
    </row>
    <row r="925" spans="18:18" x14ac:dyDescent="0.25">
      <c r="R925">
        <v>30.269892247678303</v>
      </c>
    </row>
    <row r="926" spans="18:18" x14ac:dyDescent="0.25">
      <c r="R926">
        <v>22.958165919625525</v>
      </c>
    </row>
    <row r="927" spans="18:18" x14ac:dyDescent="0.25">
      <c r="R927">
        <v>22.933444510755887</v>
      </c>
    </row>
    <row r="928" spans="18:18" x14ac:dyDescent="0.25">
      <c r="R928">
        <v>28.873997966345655</v>
      </c>
    </row>
    <row r="929" spans="18:18" x14ac:dyDescent="0.25">
      <c r="R929">
        <v>27.512161307958369</v>
      </c>
    </row>
    <row r="930" spans="18:18" x14ac:dyDescent="0.25">
      <c r="R930">
        <v>25.806245963767367</v>
      </c>
    </row>
    <row r="931" spans="18:18" x14ac:dyDescent="0.25">
      <c r="R931">
        <v>24.745084085660714</v>
      </c>
    </row>
    <row r="932" spans="18:18" x14ac:dyDescent="0.25">
      <c r="R932">
        <v>31.184687309601681</v>
      </c>
    </row>
    <row r="933" spans="18:18" x14ac:dyDescent="0.25">
      <c r="R933">
        <v>23.811148977610369</v>
      </c>
    </row>
    <row r="934" spans="18:18" x14ac:dyDescent="0.25">
      <c r="R934">
        <v>22.294619499284238</v>
      </c>
    </row>
    <row r="935" spans="18:18" x14ac:dyDescent="0.25">
      <c r="R935">
        <v>26.891573207130847</v>
      </c>
    </row>
    <row r="936" spans="18:18" x14ac:dyDescent="0.25">
      <c r="R936">
        <v>27.995616411313733</v>
      </c>
    </row>
    <row r="937" spans="18:18" x14ac:dyDescent="0.25">
      <c r="R937">
        <v>23.926561202207495</v>
      </c>
    </row>
    <row r="938" spans="18:18" x14ac:dyDescent="0.25">
      <c r="R938">
        <v>22.291356869739175</v>
      </c>
    </row>
    <row r="939" spans="18:18" x14ac:dyDescent="0.25">
      <c r="R939">
        <v>27.935649567523019</v>
      </c>
    </row>
    <row r="940" spans="18:18" x14ac:dyDescent="0.25">
      <c r="R940">
        <v>22.03314412454473</v>
      </c>
    </row>
    <row r="941" spans="18:18" x14ac:dyDescent="0.25">
      <c r="R941">
        <v>19.496810581595874</v>
      </c>
    </row>
    <row r="942" spans="18:18" x14ac:dyDescent="0.25">
      <c r="R942">
        <v>26.442998560759388</v>
      </c>
    </row>
    <row r="943" spans="18:18" x14ac:dyDescent="0.25">
      <c r="R943">
        <v>29.220609925529573</v>
      </c>
    </row>
    <row r="944" spans="18:18" x14ac:dyDescent="0.25">
      <c r="R944">
        <v>25.577397387335878</v>
      </c>
    </row>
    <row r="945" spans="18:18" x14ac:dyDescent="0.25">
      <c r="R945">
        <v>20.841874804604434</v>
      </c>
    </row>
    <row r="946" spans="18:18" x14ac:dyDescent="0.25">
      <c r="R946">
        <v>14.984026922439686</v>
      </c>
    </row>
    <row r="947" spans="18:18" x14ac:dyDescent="0.25">
      <c r="R947">
        <v>26.498346946123341</v>
      </c>
    </row>
    <row r="948" spans="18:18" x14ac:dyDescent="0.25">
      <c r="R948">
        <v>24.520345045106986</v>
      </c>
    </row>
    <row r="949" spans="18:18" x14ac:dyDescent="0.25">
      <c r="R949">
        <v>28.096413362246871</v>
      </c>
    </row>
    <row r="950" spans="18:18" x14ac:dyDescent="0.25">
      <c r="R950">
        <v>21.790579594775743</v>
      </c>
    </row>
    <row r="951" spans="18:18" x14ac:dyDescent="0.25">
      <c r="R951">
        <v>21.901582920123897</v>
      </c>
    </row>
    <row r="952" spans="18:18" x14ac:dyDescent="0.25">
      <c r="R952">
        <v>27.269012639121851</v>
      </c>
    </row>
    <row r="953" spans="18:18" x14ac:dyDescent="0.25">
      <c r="R953">
        <v>30.056875576489968</v>
      </c>
    </row>
    <row r="954" spans="18:18" x14ac:dyDescent="0.25">
      <c r="R954">
        <v>18.174161234609006</v>
      </c>
    </row>
    <row r="955" spans="18:18" x14ac:dyDescent="0.25">
      <c r="R955">
        <v>18.808800843027218</v>
      </c>
    </row>
    <row r="956" spans="18:18" x14ac:dyDescent="0.25">
      <c r="R956">
        <v>22.714888755421949</v>
      </c>
    </row>
    <row r="957" spans="18:18" x14ac:dyDescent="0.25">
      <c r="R957">
        <v>16.702397885305516</v>
      </c>
    </row>
    <row r="958" spans="18:18" x14ac:dyDescent="0.25">
      <c r="R958">
        <v>18.407404899454761</v>
      </c>
    </row>
    <row r="959" spans="18:18" x14ac:dyDescent="0.25">
      <c r="R959">
        <v>24.307822036463008</v>
      </c>
    </row>
    <row r="960" spans="18:18" x14ac:dyDescent="0.25">
      <c r="R960">
        <v>27.310690547572825</v>
      </c>
    </row>
    <row r="961" spans="18:18" x14ac:dyDescent="0.25">
      <c r="R961">
        <v>26.406031162177896</v>
      </c>
    </row>
    <row r="962" spans="18:18" x14ac:dyDescent="0.25">
      <c r="R962">
        <v>30.841743631264315</v>
      </c>
    </row>
    <row r="963" spans="18:18" x14ac:dyDescent="0.25">
      <c r="R963">
        <v>27.377317052956592</v>
      </c>
    </row>
    <row r="964" spans="18:18" x14ac:dyDescent="0.25">
      <c r="R964">
        <v>22.082695882818982</v>
      </c>
    </row>
    <row r="965" spans="18:18" x14ac:dyDescent="0.25">
      <c r="R965">
        <v>26.153364472609397</v>
      </c>
    </row>
    <row r="966" spans="18:18" x14ac:dyDescent="0.25">
      <c r="R966">
        <v>29.551942327791679</v>
      </c>
    </row>
    <row r="967" spans="18:18" x14ac:dyDescent="0.25">
      <c r="R967">
        <v>26.370072987194646</v>
      </c>
    </row>
    <row r="968" spans="18:18" x14ac:dyDescent="0.25">
      <c r="R968">
        <v>24.780181294236392</v>
      </c>
    </row>
    <row r="969" spans="18:18" x14ac:dyDescent="0.25">
      <c r="R969">
        <v>22.900959518021601</v>
      </c>
    </row>
    <row r="970" spans="18:18" x14ac:dyDescent="0.25">
      <c r="R970">
        <v>27.819238537023736</v>
      </c>
    </row>
    <row r="971" spans="18:18" x14ac:dyDescent="0.25">
      <c r="R971">
        <v>22.767617578878998</v>
      </c>
    </row>
    <row r="972" spans="18:18" x14ac:dyDescent="0.25">
      <c r="R972">
        <v>21.746928799277214</v>
      </c>
    </row>
    <row r="973" spans="18:18" x14ac:dyDescent="0.25">
      <c r="R973">
        <v>27.712260260260383</v>
      </c>
    </row>
    <row r="974" spans="18:18" x14ac:dyDescent="0.25">
      <c r="R974">
        <v>26.814794968146472</v>
      </c>
    </row>
    <row r="975" spans="18:18" x14ac:dyDescent="0.25">
      <c r="R975">
        <v>19.486632343975984</v>
      </c>
    </row>
    <row r="976" spans="18:18" x14ac:dyDescent="0.25">
      <c r="R976">
        <v>19.039473884959513</v>
      </c>
    </row>
    <row r="977" spans="18:18" x14ac:dyDescent="0.25">
      <c r="R977">
        <v>27.670490249807344</v>
      </c>
    </row>
    <row r="978" spans="18:18" x14ac:dyDescent="0.25">
      <c r="R978">
        <v>25.585812854329276</v>
      </c>
    </row>
    <row r="979" spans="18:18" x14ac:dyDescent="0.25">
      <c r="R979">
        <v>27.041442370007235</v>
      </c>
    </row>
    <row r="980" spans="18:18" x14ac:dyDescent="0.25">
      <c r="R980">
        <v>26.445326499727152</v>
      </c>
    </row>
    <row r="981" spans="18:18" x14ac:dyDescent="0.25">
      <c r="R981">
        <v>22.463027348005891</v>
      </c>
    </row>
    <row r="982" spans="18:18" x14ac:dyDescent="0.25">
      <c r="R982">
        <v>20.962347700427561</v>
      </c>
    </row>
    <row r="983" spans="18:18" x14ac:dyDescent="0.25">
      <c r="R983">
        <v>22.574227487315611</v>
      </c>
    </row>
    <row r="984" spans="18:18" x14ac:dyDescent="0.25">
      <c r="R984">
        <v>27.750864339881062</v>
      </c>
    </row>
    <row r="985" spans="18:18" x14ac:dyDescent="0.25">
      <c r="R985">
        <v>25.670881416750127</v>
      </c>
    </row>
    <row r="986" spans="18:18" x14ac:dyDescent="0.25">
      <c r="R986">
        <v>27.090396295015822</v>
      </c>
    </row>
    <row r="987" spans="18:18" x14ac:dyDescent="0.25">
      <c r="R987">
        <v>27.884296403980695</v>
      </c>
    </row>
    <row r="988" spans="18:18" x14ac:dyDescent="0.25">
      <c r="R988">
        <v>25.70203885810291</v>
      </c>
    </row>
    <row r="989" spans="18:18" x14ac:dyDescent="0.25">
      <c r="R989">
        <v>18.278592047869143</v>
      </c>
    </row>
    <row r="990" spans="18:18" x14ac:dyDescent="0.25">
      <c r="R990">
        <v>27.986631397357996</v>
      </c>
    </row>
    <row r="991" spans="18:18" x14ac:dyDescent="0.25">
      <c r="R991">
        <v>27.117794258098463</v>
      </c>
    </row>
    <row r="992" spans="18:18" x14ac:dyDescent="0.25">
      <c r="R992">
        <v>25.678345638137465</v>
      </c>
    </row>
    <row r="993" spans="18:18" x14ac:dyDescent="0.25">
      <c r="R993">
        <v>27.546138425779542</v>
      </c>
    </row>
    <row r="994" spans="18:18" x14ac:dyDescent="0.25">
      <c r="R994">
        <v>30.080550153822628</v>
      </c>
    </row>
    <row r="995" spans="18:18" x14ac:dyDescent="0.25">
      <c r="R995">
        <v>27.792783677377216</v>
      </c>
    </row>
    <row r="996" spans="18:18" x14ac:dyDescent="0.25">
      <c r="R996">
        <v>26.123591344211736</v>
      </c>
    </row>
    <row r="997" spans="18:18" x14ac:dyDescent="0.25">
      <c r="R997">
        <v>27.221258188578272</v>
      </c>
    </row>
    <row r="998" spans="18:18" x14ac:dyDescent="0.25">
      <c r="R998">
        <v>20.052452429746012</v>
      </c>
    </row>
    <row r="999" spans="18:18" x14ac:dyDescent="0.25">
      <c r="R999">
        <v>21.818628468360703</v>
      </c>
    </row>
    <row r="1000" spans="18:18" x14ac:dyDescent="0.25">
      <c r="R1000">
        <v>29.801290317058509</v>
      </c>
    </row>
    <row r="1001" spans="18:18" x14ac:dyDescent="0.25">
      <c r="R1001">
        <v>26.808934880107</v>
      </c>
    </row>
    <row r="1002" spans="18:18" x14ac:dyDescent="0.25">
      <c r="R1002">
        <v>27.989976308802721</v>
      </c>
    </row>
    <row r="1003" spans="18:18" x14ac:dyDescent="0.25">
      <c r="R1003">
        <v>26.7218808505251</v>
      </c>
    </row>
    <row r="1004" spans="18:18" x14ac:dyDescent="0.25">
      <c r="R1004">
        <v>14.726334631218755</v>
      </c>
    </row>
    <row r="1005" spans="18:18" x14ac:dyDescent="0.25">
      <c r="R1005">
        <v>23.09841263423348</v>
      </c>
    </row>
  </sheetData>
  <mergeCells count="1">
    <mergeCell ref="J2:N2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P508"/>
  <sheetViews>
    <sheetView topLeftCell="A58" workbookViewId="0">
      <selection activeCell="F81" sqref="F81"/>
    </sheetView>
  </sheetViews>
  <sheetFormatPr baseColWidth="10" defaultRowHeight="15" x14ac:dyDescent="0.25"/>
  <cols>
    <col min="8" max="8" width="11.85546875" bestFit="1" customWidth="1"/>
    <col min="13" max="13" width="13.5703125" bestFit="1" customWidth="1"/>
    <col min="14" max="14" width="14.42578125" bestFit="1" customWidth="1"/>
    <col min="15" max="15" width="12.7109375" bestFit="1" customWidth="1"/>
  </cols>
  <sheetData>
    <row r="2" spans="2:16" x14ac:dyDescent="0.25">
      <c r="E2" t="s">
        <v>48</v>
      </c>
      <c r="J2" s="17" t="s">
        <v>36</v>
      </c>
      <c r="K2" s="17"/>
      <c r="L2" s="17"/>
      <c r="M2" s="17"/>
      <c r="N2" s="17"/>
    </row>
    <row r="3" spans="2:16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(J5-$H$7)/($H$8-$H$7)</f>
        <v>0</v>
      </c>
      <c r="O5">
        <f>ABS(M5-N5)</f>
        <v>2E-3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(J6-$H$7)/($H$8-$H$7)</f>
        <v>4.6448087431693978E-2</v>
      </c>
      <c r="O6">
        <f t="shared" ref="O6:O69" si="2">ABS(M6-N6)</f>
        <v>4.2448087431693982E-2</v>
      </c>
    </row>
    <row r="7" spans="2:16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0.1158469945355191</v>
      </c>
      <c r="O7">
        <f t="shared" si="2"/>
        <v>0.10984699453551909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0.14699453551912567</v>
      </c>
      <c r="O8">
        <f t="shared" si="2"/>
        <v>0.13899453551912566</v>
      </c>
    </row>
    <row r="9" spans="2:16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 t="shared" si="1"/>
        <v>0.17540983606557375</v>
      </c>
      <c r="O9">
        <f t="shared" si="2"/>
        <v>0.16540983606557375</v>
      </c>
    </row>
    <row r="10" spans="2:16" x14ac:dyDescent="0.25">
      <c r="B10" s="7">
        <v>26.01</v>
      </c>
      <c r="D10" s="8" t="s">
        <v>22</v>
      </c>
      <c r="E10" s="8">
        <v>24.84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0.18743169398907095</v>
      </c>
      <c r="O10">
        <f t="shared" si="2"/>
        <v>0.17543169398907094</v>
      </c>
    </row>
    <row r="11" spans="2:16" x14ac:dyDescent="0.25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0.19781420765027322</v>
      </c>
      <c r="O11">
        <f t="shared" si="2"/>
        <v>0.1838142076502732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0.21639344262295079</v>
      </c>
      <c r="O12">
        <f t="shared" si="2"/>
        <v>0.20039344262295078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0.21693989071038258</v>
      </c>
      <c r="O13">
        <f t="shared" si="2"/>
        <v>0.19893989071038259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0.21693989071038258</v>
      </c>
      <c r="O14">
        <f t="shared" si="2"/>
        <v>0.19693989071038259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0.22240437158469942</v>
      </c>
      <c r="O15">
        <f t="shared" si="2"/>
        <v>0.20040437158469943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0.2316939890710383</v>
      </c>
      <c r="O16">
        <f t="shared" si="2"/>
        <v>0.20769398907103831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0.25191256830601105</v>
      </c>
      <c r="O17">
        <f t="shared" si="2"/>
        <v>0.22591256830601103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0.25245901639344259</v>
      </c>
      <c r="O18">
        <f t="shared" si="2"/>
        <v>0.22445901639344257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0.27158469945355201</v>
      </c>
      <c r="O19">
        <f t="shared" si="2"/>
        <v>0.24158469945355199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0.27540983606557384</v>
      </c>
      <c r="O20">
        <f t="shared" si="2"/>
        <v>0.24340983606557381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0.28087431693989068</v>
      </c>
      <c r="O21">
        <f t="shared" si="2"/>
        <v>0.24687431693989065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0.28306010928961745</v>
      </c>
      <c r="O22">
        <f t="shared" si="2"/>
        <v>0.24706010928961741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0.28360655737704921</v>
      </c>
      <c r="O23">
        <f t="shared" si="2"/>
        <v>0.24560655737704917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0.2896174863387978</v>
      </c>
      <c r="O24">
        <f t="shared" si="2"/>
        <v>0.24961748633879777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0.30437158469945352</v>
      </c>
      <c r="O25">
        <f t="shared" si="2"/>
        <v>0.26237158469945349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0.30710382513661205</v>
      </c>
      <c r="O26">
        <f t="shared" si="2"/>
        <v>0.26310382513661201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0.31038251366120212</v>
      </c>
      <c r="O27">
        <f t="shared" si="2"/>
        <v>0.26438251366120208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0.31092896174863388</v>
      </c>
      <c r="O28">
        <f t="shared" si="2"/>
        <v>0.26292896174863384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0.3256830601092896</v>
      </c>
      <c r="O29">
        <f t="shared" si="2"/>
        <v>0.27568306010928956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0.32786885245901637</v>
      </c>
      <c r="O30">
        <f t="shared" si="2"/>
        <v>0.27586885245901632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0.32950819672131149</v>
      </c>
      <c r="O31">
        <f t="shared" si="2"/>
        <v>0.27550819672131144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0.32950819672131149</v>
      </c>
      <c r="O32">
        <f t="shared" si="2"/>
        <v>0.27350819672131144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0.33333333333333337</v>
      </c>
      <c r="O33">
        <f t="shared" si="2"/>
        <v>0.27533333333333332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0.33442622950819673</v>
      </c>
      <c r="O34">
        <f t="shared" si="2"/>
        <v>0.27442622950819667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0.33442622950819673</v>
      </c>
      <c r="O35">
        <f t="shared" si="2"/>
        <v>0.27242622950819667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0.33770491803278685</v>
      </c>
      <c r="O36">
        <f t="shared" si="2"/>
        <v>0.27370491803278679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0.33989071038251373</v>
      </c>
      <c r="O37">
        <f t="shared" si="2"/>
        <v>0.27389071038251367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0.33989071038251373</v>
      </c>
      <c r="O38">
        <f t="shared" si="2"/>
        <v>0.27189071038251367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0.34043715846994532</v>
      </c>
      <c r="O39">
        <f t="shared" si="2"/>
        <v>0.27043715846994526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0.34262295081967209</v>
      </c>
      <c r="O40">
        <f t="shared" si="2"/>
        <v>0.27062295081967203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0.34590163934426238</v>
      </c>
      <c r="O41">
        <f t="shared" si="2"/>
        <v>0.27190163934426231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0.34918032786885245</v>
      </c>
      <c r="O42">
        <f t="shared" si="2"/>
        <v>0.27318032786885238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0.35081967213114756</v>
      </c>
      <c r="O43">
        <f t="shared" si="2"/>
        <v>0.27281967213114749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0.35300546448087433</v>
      </c>
      <c r="O44">
        <f t="shared" si="2"/>
        <v>0.27300546448087426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0.35300546448087433</v>
      </c>
      <c r="O45">
        <f t="shared" si="2"/>
        <v>0.27100546448087426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0.35737704918032798</v>
      </c>
      <c r="O46">
        <f t="shared" si="2"/>
        <v>0.2733770491803279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0.35846994535519133</v>
      </c>
      <c r="O47">
        <f t="shared" si="2"/>
        <v>0.27246994535519126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0.35901639344262293</v>
      </c>
      <c r="O48">
        <f t="shared" si="2"/>
        <v>0.27101639344262285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0.36120218579234986</v>
      </c>
      <c r="O49">
        <f t="shared" si="2"/>
        <v>0.27120218579234978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0.3666666666666667</v>
      </c>
      <c r="O50">
        <f t="shared" si="2"/>
        <v>0.27466666666666661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0.36775956284153005</v>
      </c>
      <c r="O51">
        <f t="shared" si="2"/>
        <v>0.27375956284152997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0.37322404371584705</v>
      </c>
      <c r="O52">
        <f t="shared" si="2"/>
        <v>0.27722404371584697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0.37431693989071041</v>
      </c>
      <c r="O53">
        <f t="shared" si="2"/>
        <v>0.27631693989071032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0.37540983606557377</v>
      </c>
      <c r="O54">
        <f t="shared" si="2"/>
        <v>0.27540983606557368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0.37759562841530053</v>
      </c>
      <c r="O55">
        <f t="shared" si="2"/>
        <v>0.27559562841530044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0.37868852459016389</v>
      </c>
      <c r="O56">
        <f t="shared" si="2"/>
        <v>0.2746885245901638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0.37868852459016389</v>
      </c>
      <c r="O57">
        <f t="shared" si="2"/>
        <v>0.27268852459016379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0.38196721311475418</v>
      </c>
      <c r="O58">
        <f t="shared" si="2"/>
        <v>0.27396721311475408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0.38415300546448089</v>
      </c>
      <c r="O59">
        <f t="shared" si="2"/>
        <v>0.27415300546448079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0.3863387978142076</v>
      </c>
      <c r="O60">
        <f t="shared" si="2"/>
        <v>0.2743387978142075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0.3863387978142076</v>
      </c>
      <c r="O61">
        <f t="shared" si="2"/>
        <v>0.2723387978142075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0.38743169398907101</v>
      </c>
      <c r="O62">
        <f t="shared" si="2"/>
        <v>0.27143169398907091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0.38743169398907101</v>
      </c>
      <c r="O63">
        <f t="shared" si="2"/>
        <v>0.26943169398907091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0.38852459016393454</v>
      </c>
      <c r="O64">
        <f t="shared" si="2"/>
        <v>0.26852459016393443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0.38907103825136613</v>
      </c>
      <c r="O65">
        <f t="shared" si="2"/>
        <v>0.26707103825136602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0.39016393442622949</v>
      </c>
      <c r="O66">
        <f t="shared" si="2"/>
        <v>0.26616393442622938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0.3907103825136613</v>
      </c>
      <c r="O67">
        <f t="shared" si="2"/>
        <v>0.26471038251366119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0.39289617486338801</v>
      </c>
      <c r="O68">
        <f t="shared" si="2"/>
        <v>0.2648961748633879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0.39344262295081978</v>
      </c>
      <c r="O69">
        <f t="shared" si="2"/>
        <v>0.26344262295081966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(J70-$H$7)/($H$8-$H$7)</f>
        <v>0.39508196721311473</v>
      </c>
      <c r="O70">
        <f t="shared" ref="O70:O133" si="6">ABS(M70-N70)</f>
        <v>0.26308196721311461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0.39617486338797808</v>
      </c>
      <c r="O71">
        <f t="shared" si="6"/>
        <v>0.26217486338797802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0.39617486338797808</v>
      </c>
      <c r="O72">
        <f t="shared" si="6"/>
        <v>0.26017486338797802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0.3967213114754099</v>
      </c>
      <c r="O73">
        <f t="shared" si="6"/>
        <v>0.25872131147540978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0.39781420765027325</v>
      </c>
      <c r="O74">
        <f t="shared" si="6"/>
        <v>0.25781420765027319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0.39890710382513661</v>
      </c>
      <c r="O75">
        <f t="shared" si="6"/>
        <v>0.25690710382513648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0.39945355191256837</v>
      </c>
      <c r="O76">
        <f t="shared" si="6"/>
        <v>0.25545355191256824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0.39945355191256837</v>
      </c>
      <c r="O77">
        <f t="shared" si="6"/>
        <v>0.25345355191256824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0.40163934426229514</v>
      </c>
      <c r="O78">
        <f t="shared" si="6"/>
        <v>0.25363934426229506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0.40601092896174856</v>
      </c>
      <c r="O79">
        <f t="shared" si="6"/>
        <v>0.25601092896174849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0.40655737704918038</v>
      </c>
      <c r="O80">
        <f t="shared" si="6"/>
        <v>0.25455737704918024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0.4081967213114755</v>
      </c>
      <c r="O81">
        <f t="shared" si="6"/>
        <v>0.25419672131147542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0.40874316939890709</v>
      </c>
      <c r="O82">
        <f t="shared" si="6"/>
        <v>0.25274316939890695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0.40983606557377045</v>
      </c>
      <c r="O83">
        <f t="shared" si="6"/>
        <v>0.25183606557377036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0.41366120218579233</v>
      </c>
      <c r="O84">
        <f t="shared" si="6"/>
        <v>0.25366120218579224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0.41420765027322409</v>
      </c>
      <c r="O85">
        <f t="shared" si="6"/>
        <v>0.252207650273224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0.41420765027322409</v>
      </c>
      <c r="O86">
        <f t="shared" si="6"/>
        <v>0.250207650273224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0.41475409836065569</v>
      </c>
      <c r="O87">
        <f t="shared" si="6"/>
        <v>0.24875409836065557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0.41584699453551927</v>
      </c>
      <c r="O88">
        <f t="shared" si="6"/>
        <v>0.24784699453551914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0.41639344262295086</v>
      </c>
      <c r="O89">
        <f t="shared" si="6"/>
        <v>0.24639344262295074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0.41693989071038262</v>
      </c>
      <c r="O90">
        <f t="shared" si="6"/>
        <v>0.2449398907103825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0.41967213114754093</v>
      </c>
      <c r="O91">
        <f t="shared" si="6"/>
        <v>0.2456721311475408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0.42185792349726786</v>
      </c>
      <c r="O92">
        <f t="shared" si="6"/>
        <v>0.24585792349726773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0.42349726775956281</v>
      </c>
      <c r="O93">
        <f t="shared" si="6"/>
        <v>0.24549726775956268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0.42349726775956281</v>
      </c>
      <c r="O94">
        <f t="shared" si="6"/>
        <v>0.24349726775956268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0.42841530054644805</v>
      </c>
      <c r="O95">
        <f t="shared" si="6"/>
        <v>0.24641530054644792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0.42896174863387981</v>
      </c>
      <c r="O96">
        <f t="shared" si="6"/>
        <v>0.24496174863387968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0.43114754098360658</v>
      </c>
      <c r="O97">
        <f t="shared" si="6"/>
        <v>0.24514754098360644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0.43169398907103834</v>
      </c>
      <c r="O98">
        <f t="shared" si="6"/>
        <v>0.2436939890710382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0.4327868852459017</v>
      </c>
      <c r="O99">
        <f t="shared" si="6"/>
        <v>0.24278688524590156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0.43387978142076505</v>
      </c>
      <c r="O100">
        <f t="shared" si="6"/>
        <v>0.24187978142076491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0.43442622950819687</v>
      </c>
      <c r="O101">
        <f t="shared" si="6"/>
        <v>0.24042622950819673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0.43497267759562841</v>
      </c>
      <c r="O102">
        <f t="shared" si="6"/>
        <v>0.23897267759562826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0.43551912568306023</v>
      </c>
      <c r="O103">
        <f t="shared" si="6"/>
        <v>0.23751912568306008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0.43551912568306023</v>
      </c>
      <c r="O104">
        <f t="shared" si="6"/>
        <v>0.23551912568306008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0.43715846994535518</v>
      </c>
      <c r="O105">
        <f t="shared" si="6"/>
        <v>0.23515846994535503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0.43715846994535518</v>
      </c>
      <c r="O106">
        <f t="shared" si="6"/>
        <v>0.23315846994535502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0.44207650273224042</v>
      </c>
      <c r="O107">
        <f t="shared" si="6"/>
        <v>0.23607650273224026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0.44480874316939889</v>
      </c>
      <c r="O108">
        <f t="shared" si="6"/>
        <v>0.23680874316939873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0.44480874316939889</v>
      </c>
      <c r="O109">
        <f t="shared" si="6"/>
        <v>0.23480874316939873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0.44535519125683071</v>
      </c>
      <c r="O110">
        <f t="shared" si="6"/>
        <v>0.23335519125683055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0.44535519125683071</v>
      </c>
      <c r="O111">
        <f t="shared" si="6"/>
        <v>0.23135519125683054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0.4459016393442623</v>
      </c>
      <c r="O112">
        <f t="shared" si="6"/>
        <v>0.22990163934426214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0.44644808743169406</v>
      </c>
      <c r="O113">
        <f t="shared" si="6"/>
        <v>0.2284480874316939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0.44699453551912566</v>
      </c>
      <c r="O114">
        <f t="shared" si="6"/>
        <v>0.22699453551912549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0.44699453551912566</v>
      </c>
      <c r="O115">
        <f t="shared" si="6"/>
        <v>0.22499453551912549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0.44808743169398918</v>
      </c>
      <c r="O116">
        <f t="shared" si="6"/>
        <v>0.22408743169398901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0.4513661202185793</v>
      </c>
      <c r="O117">
        <f t="shared" si="6"/>
        <v>0.22536612021857913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0.45245901639344266</v>
      </c>
      <c r="O118">
        <f t="shared" si="6"/>
        <v>0.22445901639344248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0.45300546448087442</v>
      </c>
      <c r="O119">
        <f t="shared" si="6"/>
        <v>0.22300546448087424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0.45355191256830601</v>
      </c>
      <c r="O120">
        <f t="shared" si="6"/>
        <v>0.22155191256830584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0.4573770491803279</v>
      </c>
      <c r="O121">
        <f t="shared" si="6"/>
        <v>0.22337704918032772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0.45792349726775966</v>
      </c>
      <c r="O122">
        <f t="shared" si="6"/>
        <v>0.22192349726775948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0.45792349726775966</v>
      </c>
      <c r="O123">
        <f t="shared" si="6"/>
        <v>0.21992349726775948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0.45901639344262302</v>
      </c>
      <c r="O124">
        <f t="shared" si="6"/>
        <v>0.21901639344262283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0.45901639344262302</v>
      </c>
      <c r="O125">
        <f t="shared" si="6"/>
        <v>0.21701639344262283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0.46010928961748643</v>
      </c>
      <c r="O126">
        <f t="shared" si="6"/>
        <v>0.21610928961748624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0.46010928961748643</v>
      </c>
      <c r="O127">
        <f t="shared" si="6"/>
        <v>0.21410928961748624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0.46229508196721314</v>
      </c>
      <c r="O128">
        <f t="shared" si="6"/>
        <v>0.21429508196721295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0.46557377049180321</v>
      </c>
      <c r="O129">
        <f t="shared" si="6"/>
        <v>0.21557377049180304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0.46612021857923502</v>
      </c>
      <c r="O130">
        <f t="shared" si="6"/>
        <v>0.21412021857923486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0.46775956284153014</v>
      </c>
      <c r="O131">
        <f t="shared" si="6"/>
        <v>0.21375956284152997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0.46830601092896174</v>
      </c>
      <c r="O132">
        <f t="shared" si="6"/>
        <v>0.21230601092896156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0.47103825136612026</v>
      </c>
      <c r="O133">
        <f t="shared" si="6"/>
        <v>0.21303825136612009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(J134-$H$7)/($H$8-$H$7)</f>
        <v>0.47158469945355203</v>
      </c>
      <c r="O134">
        <f t="shared" ref="O134:O197" si="10">ABS(M134-N134)</f>
        <v>0.21158469945355185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0.47213114754098362</v>
      </c>
      <c r="O135">
        <f t="shared" si="10"/>
        <v>0.21013114754098344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0.47377049180327874</v>
      </c>
      <c r="O136">
        <f t="shared" si="10"/>
        <v>0.20977049180327856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0.47540983606557391</v>
      </c>
      <c r="O137">
        <f t="shared" si="10"/>
        <v>0.20940983606557373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0.47704918032786886</v>
      </c>
      <c r="O138">
        <f t="shared" si="10"/>
        <v>0.20904918032786868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0.47868852459016398</v>
      </c>
      <c r="O139">
        <f t="shared" si="10"/>
        <v>0.20868852459016379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0.47923497267759557</v>
      </c>
      <c r="O140">
        <f t="shared" si="10"/>
        <v>0.20723497267759539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0.47923497267759557</v>
      </c>
      <c r="O141">
        <f t="shared" si="10"/>
        <v>0.20523497267759538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0.48032786885245915</v>
      </c>
      <c r="O142">
        <f t="shared" si="10"/>
        <v>0.20432786885245896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0.48087431693989074</v>
      </c>
      <c r="O143">
        <f t="shared" si="10"/>
        <v>0.20287431693989055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0.48142076502732251</v>
      </c>
      <c r="O144">
        <f t="shared" si="10"/>
        <v>0.20142076502732231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0.48251366120218586</v>
      </c>
      <c r="O145">
        <f t="shared" si="10"/>
        <v>0.20051366120218567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0.48415300546448103</v>
      </c>
      <c r="O146">
        <f t="shared" si="10"/>
        <v>0.20015300546448084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0.48469945355191257</v>
      </c>
      <c r="O147">
        <f t="shared" si="10"/>
        <v>0.19869945355191238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0.48524590163934439</v>
      </c>
      <c r="O148">
        <f t="shared" si="10"/>
        <v>0.19724590163934419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0.48579234972677598</v>
      </c>
      <c r="O149">
        <f t="shared" si="10"/>
        <v>0.19579234972677578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0.48688524590163934</v>
      </c>
      <c r="O150">
        <f t="shared" si="10"/>
        <v>0.19488524590163914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0.48688524590163934</v>
      </c>
      <c r="O151">
        <f t="shared" si="10"/>
        <v>0.19288524590163914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0.48688524590163934</v>
      </c>
      <c r="O152">
        <f t="shared" si="10"/>
        <v>0.19088524590163913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0.4874316939890711</v>
      </c>
      <c r="O153">
        <f t="shared" si="10"/>
        <v>0.18943169398907089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0.4879781420765027</v>
      </c>
      <c r="O154">
        <f t="shared" si="10"/>
        <v>0.18797814207650249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0.48907103825136627</v>
      </c>
      <c r="O155">
        <f t="shared" si="10"/>
        <v>0.18707103825136606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0.49071038251366123</v>
      </c>
      <c r="O156">
        <f t="shared" si="10"/>
        <v>0.18671038251366101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0.49071038251366123</v>
      </c>
      <c r="O157">
        <f t="shared" si="10"/>
        <v>0.18471038251366101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0.49180327868852458</v>
      </c>
      <c r="O158">
        <f t="shared" si="10"/>
        <v>0.18380327868852436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0.49398907103825151</v>
      </c>
      <c r="O159">
        <f t="shared" si="10"/>
        <v>0.1839890710382513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0.49453551912568305</v>
      </c>
      <c r="O160">
        <f t="shared" si="10"/>
        <v>0.18253551912568283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0.49508196721311487</v>
      </c>
      <c r="O161">
        <f t="shared" si="10"/>
        <v>0.18108196721311465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0.49562841530054647</v>
      </c>
      <c r="O162">
        <f t="shared" si="10"/>
        <v>0.17962841530054624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0.49562841530054647</v>
      </c>
      <c r="O163">
        <f t="shared" si="10"/>
        <v>0.17762841530054624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0.49617486338797823</v>
      </c>
      <c r="O164">
        <f t="shared" si="10"/>
        <v>0.176174863387978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0.49617486338797823</v>
      </c>
      <c r="O165">
        <f t="shared" si="10"/>
        <v>0.174174863387978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0.49617486338797823</v>
      </c>
      <c r="O166">
        <f t="shared" si="10"/>
        <v>0.17217486338797799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0.49672131147540982</v>
      </c>
      <c r="O167">
        <f t="shared" si="10"/>
        <v>0.17072131147540959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0.49836065573770494</v>
      </c>
      <c r="O168">
        <f t="shared" si="10"/>
        <v>0.1703606557377047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0.49836065573770494</v>
      </c>
      <c r="O169">
        <f t="shared" si="10"/>
        <v>0.1683606557377047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0.49836065573770494</v>
      </c>
      <c r="O170">
        <f t="shared" si="10"/>
        <v>0.1663606557377047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0.49890710382513676</v>
      </c>
      <c r="O171">
        <f t="shared" si="10"/>
        <v>0.16490710382513651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0.49945355191256829</v>
      </c>
      <c r="O172">
        <f t="shared" si="10"/>
        <v>0.16345355191256805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0.50000000000000011</v>
      </c>
      <c r="O173">
        <f t="shared" si="10"/>
        <v>0.16199999999999987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0.50054644808743165</v>
      </c>
      <c r="O174">
        <f t="shared" si="10"/>
        <v>0.1605464480874314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0.50163934426229506</v>
      </c>
      <c r="O175">
        <f t="shared" si="10"/>
        <v>0.15963934426229481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0.50327868852459023</v>
      </c>
      <c r="O176">
        <f t="shared" si="10"/>
        <v>0.15927868852458998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0.503825136612022</v>
      </c>
      <c r="O177">
        <f t="shared" si="10"/>
        <v>0.15782513661202174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0.5049180327868853</v>
      </c>
      <c r="O178">
        <f t="shared" si="10"/>
        <v>0.15691803278688504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0.50546448087431695</v>
      </c>
      <c r="O179">
        <f t="shared" si="10"/>
        <v>0.15546448087431669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0.50601092896174871</v>
      </c>
      <c r="O180">
        <f t="shared" si="10"/>
        <v>0.15401092896174845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0.50710382513661212</v>
      </c>
      <c r="O181">
        <f t="shared" si="10"/>
        <v>0.15310382513661186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0.50710382513661212</v>
      </c>
      <c r="O182">
        <f t="shared" si="10"/>
        <v>0.15110382513661186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0.51038251366120213</v>
      </c>
      <c r="O183">
        <f t="shared" si="10"/>
        <v>0.15238251366120187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0.51092896174863389</v>
      </c>
      <c r="O184">
        <f t="shared" si="10"/>
        <v>0.15092896174863363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0.51311475409836071</v>
      </c>
      <c r="O185">
        <f t="shared" si="10"/>
        <v>0.15111475409836045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0.51311475409836071</v>
      </c>
      <c r="O186">
        <f t="shared" si="10"/>
        <v>0.14911475409836045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0.51475409836065578</v>
      </c>
      <c r="O187">
        <f t="shared" si="10"/>
        <v>0.14875409836065551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0.51530054644808743</v>
      </c>
      <c r="O188">
        <f t="shared" si="10"/>
        <v>0.14730054644808716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0.51530054644808743</v>
      </c>
      <c r="O189">
        <f t="shared" si="10"/>
        <v>0.14530054644808715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0.51693989071038249</v>
      </c>
      <c r="O190">
        <f t="shared" si="10"/>
        <v>0.14493989071038221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0.51857923497267766</v>
      </c>
      <c r="O191">
        <f t="shared" si="10"/>
        <v>0.14457923497267738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0.51912568306010931</v>
      </c>
      <c r="O192">
        <f t="shared" si="10"/>
        <v>0.14312568306010903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0.51967213114754107</v>
      </c>
      <c r="O193">
        <f t="shared" si="10"/>
        <v>0.14167213114754079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0.52076502732240437</v>
      </c>
      <c r="O194">
        <f t="shared" si="10"/>
        <v>0.14076502732240409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0.52240437158469955</v>
      </c>
      <c r="O195">
        <f t="shared" si="10"/>
        <v>0.14040437158469926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0.52349726775956296</v>
      </c>
      <c r="O196">
        <f t="shared" si="10"/>
        <v>0.13949726775956267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0.52459016393442626</v>
      </c>
      <c r="O197">
        <f t="shared" si="10"/>
        <v>0.13859016393442597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(J198-$H$7)/($H$8-$H$7)</f>
        <v>0.52841530054644814</v>
      </c>
      <c r="O198">
        <f t="shared" ref="O198:O261" si="14">ABS(M198-N198)</f>
        <v>0.14041530054644785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0.52841530054644814</v>
      </c>
      <c r="O199">
        <f t="shared" si="14"/>
        <v>0.13841530054644785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0.52950819672131155</v>
      </c>
      <c r="O200">
        <f t="shared" si="14"/>
        <v>0.13750819672131126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0.53060109289617485</v>
      </c>
      <c r="O201">
        <f t="shared" si="14"/>
        <v>0.13660109289617456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0.53114754098360673</v>
      </c>
      <c r="O202">
        <f t="shared" si="14"/>
        <v>0.13514754098360643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0.53278688524590168</v>
      </c>
      <c r="O203">
        <f t="shared" si="14"/>
        <v>0.13478688524590138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0.53278688524590168</v>
      </c>
      <c r="O204">
        <f t="shared" si="14"/>
        <v>0.13278688524590138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0.53442622950819674</v>
      </c>
      <c r="O205">
        <f t="shared" si="14"/>
        <v>0.13242622950819644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0.53770491803278686</v>
      </c>
      <c r="O206">
        <f t="shared" si="14"/>
        <v>0.13370491803278656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0.53825136612021862</v>
      </c>
      <c r="O207">
        <f t="shared" si="14"/>
        <v>0.13225136612021832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0.53934426229508203</v>
      </c>
      <c r="O208">
        <f t="shared" si="14"/>
        <v>0.13134426229508173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0.54043715846994533</v>
      </c>
      <c r="O209">
        <f t="shared" si="14"/>
        <v>0.13043715846994502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0.54098360655737721</v>
      </c>
      <c r="O210">
        <f t="shared" si="14"/>
        <v>0.1289836065573769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0.54207650273224051</v>
      </c>
      <c r="O211">
        <f t="shared" si="14"/>
        <v>0.12807650273224019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0.54316939890710392</v>
      </c>
      <c r="O212">
        <f t="shared" si="14"/>
        <v>0.1271693989071036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0.54371584699453568</v>
      </c>
      <c r="O213">
        <f t="shared" si="14"/>
        <v>0.12571584699453536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0.54426229508196722</v>
      </c>
      <c r="O214">
        <f t="shared" si="14"/>
        <v>0.1242622950819669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0.54426229508196722</v>
      </c>
      <c r="O215">
        <f t="shared" si="14"/>
        <v>0.1222622950819669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0.54644808743169393</v>
      </c>
      <c r="O216">
        <f t="shared" si="14"/>
        <v>0.12244808743169361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0.5469945355191258</v>
      </c>
      <c r="O217">
        <f t="shared" si="14"/>
        <v>0.12099453551912548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0.54754098360655734</v>
      </c>
      <c r="O218">
        <f t="shared" si="14"/>
        <v>0.11954098360655702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0.54754098360655734</v>
      </c>
      <c r="O219">
        <f t="shared" si="14"/>
        <v>0.11754098360655701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0.54863387978142086</v>
      </c>
      <c r="O220">
        <f t="shared" si="14"/>
        <v>0.11663387978142054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0.54972677595628427</v>
      </c>
      <c r="O221">
        <f t="shared" si="14"/>
        <v>0.11572677595628394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0.54972677595628427</v>
      </c>
      <c r="O222">
        <f t="shared" si="14"/>
        <v>0.11372677595628394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0.55191256830601099</v>
      </c>
      <c r="O223">
        <f t="shared" si="14"/>
        <v>0.11391256830601065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0.5540983606557377</v>
      </c>
      <c r="O224">
        <f t="shared" si="14"/>
        <v>0.11409836065573736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0.5540983606557377</v>
      </c>
      <c r="O225">
        <f t="shared" si="14"/>
        <v>0.11209836065573736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0.55519125683060111</v>
      </c>
      <c r="O226">
        <f t="shared" si="14"/>
        <v>0.11119125683060077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0.55737704918032804</v>
      </c>
      <c r="O227">
        <f t="shared" si="14"/>
        <v>0.1113770491803277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0.55737704918032804</v>
      </c>
      <c r="O228">
        <f t="shared" si="14"/>
        <v>0.1093770491803277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0.55792349726775958</v>
      </c>
      <c r="O229">
        <f t="shared" si="14"/>
        <v>0.10792349726775924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0.55901639344262299</v>
      </c>
      <c r="O230">
        <f t="shared" si="14"/>
        <v>0.10701639344262265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0.55956284153005476</v>
      </c>
      <c r="O231">
        <f t="shared" si="14"/>
        <v>0.10556284153005441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0.56065573770491806</v>
      </c>
      <c r="O232">
        <f t="shared" si="14"/>
        <v>0.10465573770491771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0.56229508196721323</v>
      </c>
      <c r="O233">
        <f t="shared" si="14"/>
        <v>0.10429508196721288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0.56229508196721323</v>
      </c>
      <c r="O234">
        <f t="shared" si="14"/>
        <v>0.10229508196721288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0.56393442622950818</v>
      </c>
      <c r="O235">
        <f t="shared" si="14"/>
        <v>0.10193442622950782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0.56448087431693994</v>
      </c>
      <c r="O236">
        <f t="shared" si="14"/>
        <v>0.10048087431693958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0.56448087431693994</v>
      </c>
      <c r="O237">
        <f t="shared" si="14"/>
        <v>9.8480874316939582E-2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0.56557377049180335</v>
      </c>
      <c r="O238">
        <f t="shared" si="14"/>
        <v>9.7573770491802991E-2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0.56666666666666676</v>
      </c>
      <c r="O239">
        <f t="shared" si="14"/>
        <v>9.6666666666666401E-2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0.56721311475409852</v>
      </c>
      <c r="O240">
        <f t="shared" si="14"/>
        <v>9.521311475409816E-2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0.56775956284153006</v>
      </c>
      <c r="O241">
        <f t="shared" si="14"/>
        <v>9.3759562841529698E-2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0.56939890710382524</v>
      </c>
      <c r="O242">
        <f t="shared" si="14"/>
        <v>9.3398907103824869E-2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0.56994535519125678</v>
      </c>
      <c r="O243">
        <f t="shared" si="14"/>
        <v>9.1945355191256406E-2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0.56994535519125678</v>
      </c>
      <c r="O244">
        <f t="shared" si="14"/>
        <v>8.9945355191256404E-2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0.57049180327868854</v>
      </c>
      <c r="O245">
        <f t="shared" si="14"/>
        <v>8.8491803278688164E-2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0.57049180327868854</v>
      </c>
      <c r="O246">
        <f t="shared" si="14"/>
        <v>8.6491803278688162E-2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0.57103825136612041</v>
      </c>
      <c r="O247">
        <f t="shared" si="14"/>
        <v>8.5038251366120032E-2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0.57158469945355195</v>
      </c>
      <c r="O248">
        <f t="shared" si="14"/>
        <v>8.358469945355157E-2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0.57322404371584712</v>
      </c>
      <c r="O249">
        <f t="shared" si="14"/>
        <v>8.3224043715846741E-2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0.57322404371584712</v>
      </c>
      <c r="O250">
        <f t="shared" si="14"/>
        <v>8.1224043715846739E-2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0.57377049180327866</v>
      </c>
      <c r="O251">
        <f t="shared" si="14"/>
        <v>7.9770491803278276E-2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0.57377049180327866</v>
      </c>
      <c r="O252">
        <f t="shared" si="14"/>
        <v>7.7770491803278274E-2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0.57486338797814207</v>
      </c>
      <c r="O253">
        <f t="shared" si="14"/>
        <v>7.6863387978141684E-2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0.57540983606557383</v>
      </c>
      <c r="O254">
        <f t="shared" si="14"/>
        <v>7.5409836065573499E-2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0.57540983606557383</v>
      </c>
      <c r="O255">
        <f t="shared" si="14"/>
        <v>7.3409836065573497E-2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0.57540983606557383</v>
      </c>
      <c r="O256">
        <f t="shared" si="14"/>
        <v>7.1409836065573495E-2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0.5781420765027323</v>
      </c>
      <c r="O257">
        <f t="shared" si="14"/>
        <v>7.2142076502731967E-2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0.57923497267759572</v>
      </c>
      <c r="O258">
        <f t="shared" si="14"/>
        <v>7.1234972677595376E-2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0.58087431693989089</v>
      </c>
      <c r="O259">
        <f t="shared" si="14"/>
        <v>7.0874316939890547E-2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0.58142076502732243</v>
      </c>
      <c r="O260">
        <f t="shared" si="14"/>
        <v>6.9420765027322084E-2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0.58196721311475419</v>
      </c>
      <c r="O261">
        <f t="shared" si="14"/>
        <v>6.7967213114753844E-2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(J262-$H$7)/($H$8-$H$7)</f>
        <v>0.58251366120218584</v>
      </c>
      <c r="O262">
        <f t="shared" ref="O262:O325" si="18">ABS(M262-N262)</f>
        <v>6.6513661202185492E-2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0.5841530054644809</v>
      </c>
      <c r="O263">
        <f t="shared" si="18"/>
        <v>6.6153005464480552E-2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0.5841530054644809</v>
      </c>
      <c r="O264">
        <f t="shared" si="18"/>
        <v>6.415300546448055E-2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0.58579234972677607</v>
      </c>
      <c r="O265">
        <f t="shared" si="18"/>
        <v>6.3792349726775721E-2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0.5890710382513662</v>
      </c>
      <c r="O266">
        <f t="shared" si="18"/>
        <v>6.5071038251365843E-2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0.5901639344262295</v>
      </c>
      <c r="O267">
        <f t="shared" si="18"/>
        <v>6.4163934426229141E-2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0.5901639344262295</v>
      </c>
      <c r="O268">
        <f t="shared" si="18"/>
        <v>6.2163934426229139E-2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0.59125683060109291</v>
      </c>
      <c r="O269">
        <f t="shared" si="18"/>
        <v>6.1256830601092549E-2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0.59125683060109291</v>
      </c>
      <c r="O270">
        <f t="shared" si="18"/>
        <v>5.9256830601092547E-2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0.59453551912568314</v>
      </c>
      <c r="O271">
        <f t="shared" si="18"/>
        <v>6.053551912568278E-2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0.59508196721311479</v>
      </c>
      <c r="O272">
        <f t="shared" si="18"/>
        <v>5.9081967213114428E-2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0.59562841530054655</v>
      </c>
      <c r="O273">
        <f t="shared" si="18"/>
        <v>5.7628415300546187E-2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0.59562841530054655</v>
      </c>
      <c r="O274">
        <f t="shared" si="18"/>
        <v>5.5628415300546186E-2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0.59617486338797809</v>
      </c>
      <c r="O275">
        <f t="shared" si="18"/>
        <v>5.4174863387977723E-2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0.59836065573770503</v>
      </c>
      <c r="O276">
        <f t="shared" si="18"/>
        <v>5.4360655737704655E-2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0.59890710382513668</v>
      </c>
      <c r="O277">
        <f t="shared" si="18"/>
        <v>5.2907103825136303E-2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0.59945355191256844</v>
      </c>
      <c r="O278">
        <f t="shared" si="18"/>
        <v>5.1453551912568063E-2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0.59945355191256844</v>
      </c>
      <c r="O279">
        <f t="shared" si="18"/>
        <v>4.9453551912568061E-2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0.59945355191256844</v>
      </c>
      <c r="O280">
        <f t="shared" si="18"/>
        <v>4.7453551912568059E-2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</v>
      </c>
      <c r="O281">
        <f t="shared" si="18"/>
        <v>4.5999999999999597E-2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0.60273224043715856</v>
      </c>
      <c r="O282">
        <f t="shared" si="18"/>
        <v>4.6732240437158179E-2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0.60382513661202186</v>
      </c>
      <c r="O283">
        <f t="shared" si="18"/>
        <v>4.5825136612021478E-2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0.60491803278688527</v>
      </c>
      <c r="O284">
        <f t="shared" si="18"/>
        <v>4.4918032786884887E-2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0.60765027322404375</v>
      </c>
      <c r="O285">
        <f t="shared" si="18"/>
        <v>4.5650273224043358E-2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0.60819672131147551</v>
      </c>
      <c r="O286">
        <f t="shared" si="18"/>
        <v>4.4196721311475118E-2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0.61038251366120233</v>
      </c>
      <c r="O287">
        <f t="shared" si="18"/>
        <v>4.4382513661201939E-2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0.61147540983606563</v>
      </c>
      <c r="O288">
        <f t="shared" si="18"/>
        <v>4.3475409836065237E-2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0.61147540983606563</v>
      </c>
      <c r="O289">
        <f t="shared" si="18"/>
        <v>4.1475409836065236E-2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0.61256830601092904</v>
      </c>
      <c r="O290">
        <f t="shared" si="18"/>
        <v>4.0568306010928645E-2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0.61256830601092904</v>
      </c>
      <c r="O291">
        <f t="shared" si="18"/>
        <v>3.8568306010928644E-2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0.61366120218579234</v>
      </c>
      <c r="O292">
        <f t="shared" si="18"/>
        <v>3.7661202185791942E-2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0.61530054644808752</v>
      </c>
      <c r="O293">
        <f t="shared" si="18"/>
        <v>3.7300546448087113E-2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0.61584699453551905</v>
      </c>
      <c r="O294">
        <f t="shared" si="18"/>
        <v>3.584699453551865E-2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0.61693989071038269</v>
      </c>
      <c r="O295">
        <f t="shared" si="18"/>
        <v>3.4939890710382282E-2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0.61693989071038269</v>
      </c>
      <c r="O296">
        <f t="shared" si="18"/>
        <v>3.293989071038228E-2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0.61803278688524599</v>
      </c>
      <c r="O297">
        <f t="shared" si="18"/>
        <v>3.2032786885245579E-2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0.61803278688524599</v>
      </c>
      <c r="O298">
        <f t="shared" si="18"/>
        <v>3.0032786885245577E-2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0.62131147540983611</v>
      </c>
      <c r="O299">
        <f t="shared" si="18"/>
        <v>3.1311475409835698E-2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0.62185792349726787</v>
      </c>
      <c r="O300">
        <f t="shared" si="18"/>
        <v>2.9857923497267458E-2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0.62240437158469952</v>
      </c>
      <c r="O301">
        <f t="shared" si="18"/>
        <v>2.8404371584699106E-2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0.62240437158469952</v>
      </c>
      <c r="O302">
        <f t="shared" si="18"/>
        <v>2.6404371584699105E-2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0.62295081967213128</v>
      </c>
      <c r="O303">
        <f t="shared" si="18"/>
        <v>2.4950819672130864E-2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0.62404371584699458</v>
      </c>
      <c r="O304">
        <f t="shared" si="18"/>
        <v>2.4043715846994163E-2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0.62404371584699458</v>
      </c>
      <c r="O305">
        <f t="shared" si="18"/>
        <v>2.2043715846994161E-2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0.625136612021858</v>
      </c>
      <c r="O306">
        <f t="shared" si="18"/>
        <v>2.113661202185757E-2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0.62568306010928976</v>
      </c>
      <c r="O307">
        <f t="shared" si="18"/>
        <v>1.968306010928933E-2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0.62677595628415317</v>
      </c>
      <c r="O308">
        <f t="shared" si="18"/>
        <v>1.8775956284152739E-2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0.62786885245901647</v>
      </c>
      <c r="O309">
        <f t="shared" si="18"/>
        <v>1.7868852459016038E-2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0.62950819672131142</v>
      </c>
      <c r="O310">
        <f t="shared" si="18"/>
        <v>1.7508196721310987E-2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0.62950819672131142</v>
      </c>
      <c r="O311">
        <f t="shared" si="18"/>
        <v>1.5508196721310985E-2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0.63005464480874318</v>
      </c>
      <c r="O312">
        <f t="shared" si="18"/>
        <v>1.4054644808742744E-2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0.63224043715847</v>
      </c>
      <c r="O313">
        <f t="shared" si="18"/>
        <v>1.4240437158469565E-2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0.63278688524590176</v>
      </c>
      <c r="O314">
        <f t="shared" si="18"/>
        <v>1.2786885245901325E-2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0.6333333333333333</v>
      </c>
      <c r="O315">
        <f t="shared" si="18"/>
        <v>1.1333333333332862E-2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0.63387978142076506</v>
      </c>
      <c r="O316">
        <f t="shared" si="18"/>
        <v>9.8797814207646217E-3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0.63442622950819694</v>
      </c>
      <c r="O317">
        <f t="shared" si="18"/>
        <v>8.4262295081964922E-3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0.63497267759562848</v>
      </c>
      <c r="O318">
        <f t="shared" si="18"/>
        <v>6.9726775956280296E-3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0.63551912568306024</v>
      </c>
      <c r="O319">
        <f t="shared" si="18"/>
        <v>5.519125683059789E-3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0.63606557377049189</v>
      </c>
      <c r="O320">
        <f t="shared" si="18"/>
        <v>4.0655737704914374E-3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0.63606557377049189</v>
      </c>
      <c r="O321">
        <f t="shared" si="18"/>
        <v>2.0655737704914356E-3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0.63661202185792365</v>
      </c>
      <c r="O322">
        <f t="shared" si="18"/>
        <v>6.1202185792319508E-4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0.63661202185792365</v>
      </c>
      <c r="O323">
        <f t="shared" si="18"/>
        <v>1.3879781420768067E-3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0.63934426229508212</v>
      </c>
      <c r="O324">
        <f t="shared" si="18"/>
        <v>6.557377049183355E-4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0.64043715846994553</v>
      </c>
      <c r="O325">
        <f t="shared" si="18"/>
        <v>1.5628415300549259E-3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(J326-$H$7)/($H$8-$H$7)</f>
        <v>0.64098360655737707</v>
      </c>
      <c r="O326">
        <f t="shared" ref="O326:O389" si="22">ABS(M326-N326)</f>
        <v>3.0163934426233885E-3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0.64207650273224048</v>
      </c>
      <c r="O327">
        <f t="shared" si="22"/>
        <v>3.9234972677599789E-3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0.64371584699453555</v>
      </c>
      <c r="O328">
        <f t="shared" si="22"/>
        <v>4.2841530054649191E-3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0.64426229508196742</v>
      </c>
      <c r="O329">
        <f t="shared" si="22"/>
        <v>5.7377049180330486E-3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0.64644808743169413</v>
      </c>
      <c r="O330">
        <f t="shared" si="22"/>
        <v>5.5519125683063386E-3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0.64863387978142084</v>
      </c>
      <c r="O331">
        <f t="shared" si="22"/>
        <v>5.3661202185796286E-3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0.64972677595628414</v>
      </c>
      <c r="O332">
        <f t="shared" si="22"/>
        <v>6.27322404371633E-3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0.64972677595628414</v>
      </c>
      <c r="O333">
        <f t="shared" si="22"/>
        <v>8.2732240437163318E-3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0.65191256830601096</v>
      </c>
      <c r="O334">
        <f t="shared" si="22"/>
        <v>8.0874316939895108E-3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0.65300546448087449</v>
      </c>
      <c r="O335">
        <f t="shared" si="22"/>
        <v>8.9945355191259901E-3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0.65409836065573779</v>
      </c>
      <c r="O336">
        <f t="shared" si="22"/>
        <v>9.9016393442626915E-3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0.65464480874316944</v>
      </c>
      <c r="O337">
        <f t="shared" si="22"/>
        <v>1.1355191256831043E-2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0.65628415300546461</v>
      </c>
      <c r="O338">
        <f t="shared" si="22"/>
        <v>1.1715846994535872E-2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0.65901639344262308</v>
      </c>
      <c r="O339">
        <f t="shared" si="22"/>
        <v>1.0983606557377401E-2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0.66174863387978156</v>
      </c>
      <c r="O340">
        <f t="shared" si="22"/>
        <v>1.025136612021893E-2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0.66284153005464497</v>
      </c>
      <c r="O341">
        <f t="shared" si="22"/>
        <v>1.115846994535552E-2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0.66284153005464497</v>
      </c>
      <c r="O342">
        <f t="shared" si="22"/>
        <v>1.3158469945355522E-2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0.66284153005464497</v>
      </c>
      <c r="O343">
        <f t="shared" si="22"/>
        <v>1.5158469945355524E-2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0.66338797814207651</v>
      </c>
      <c r="O344">
        <f t="shared" si="22"/>
        <v>1.6612021857923986E-2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0.66393442622950827</v>
      </c>
      <c r="O345">
        <f t="shared" si="22"/>
        <v>1.8065573770492227E-2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0.66448087431693992</v>
      </c>
      <c r="O346">
        <f t="shared" si="22"/>
        <v>1.9519125683060579E-2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0.66885245901639356</v>
      </c>
      <c r="O347">
        <f t="shared" si="22"/>
        <v>1.7147540983606935E-2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0.6693989071038251</v>
      </c>
      <c r="O348">
        <f t="shared" si="22"/>
        <v>1.8601092896175397E-2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0.67103825136612028</v>
      </c>
      <c r="O349">
        <f t="shared" si="22"/>
        <v>1.8961748633880227E-2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0.67377049180327875</v>
      </c>
      <c r="O350">
        <f t="shared" si="22"/>
        <v>1.8229508196721755E-2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0.6743169398907104</v>
      </c>
      <c r="O351">
        <f t="shared" si="22"/>
        <v>1.9683060109290107E-2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0.67704918032786887</v>
      </c>
      <c r="O352">
        <f t="shared" si="22"/>
        <v>1.8950819672131636E-2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0.67868852459016404</v>
      </c>
      <c r="O353">
        <f t="shared" si="22"/>
        <v>1.9311475409836465E-2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0.67923497267759558</v>
      </c>
      <c r="O354">
        <f t="shared" si="22"/>
        <v>2.0765027322404928E-2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0.68087431693989076</v>
      </c>
      <c r="O355">
        <f t="shared" si="22"/>
        <v>2.1125683060109757E-2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0.68142076502732252</v>
      </c>
      <c r="O356">
        <f t="shared" si="22"/>
        <v>2.2579234972677997E-2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0.68469945355191264</v>
      </c>
      <c r="O357">
        <f t="shared" si="22"/>
        <v>2.1300546448087876E-2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0.68469945355191264</v>
      </c>
      <c r="O358">
        <f t="shared" si="22"/>
        <v>2.3300546448087878E-2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0.6852459016393444</v>
      </c>
      <c r="O359">
        <f t="shared" si="22"/>
        <v>2.4754098360656118E-2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0.68579234972677605</v>
      </c>
      <c r="O360">
        <f t="shared" si="22"/>
        <v>2.620765027322447E-2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0.68633879781420781</v>
      </c>
      <c r="O361">
        <f t="shared" si="22"/>
        <v>2.766120218579271E-2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0.68633879781420781</v>
      </c>
      <c r="O362">
        <f t="shared" si="22"/>
        <v>2.9661202185792712E-2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0.68688524590163935</v>
      </c>
      <c r="O363">
        <f t="shared" si="22"/>
        <v>3.1114754098361175E-2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0.69071038251366124</v>
      </c>
      <c r="O364">
        <f t="shared" si="22"/>
        <v>2.9289617486339292E-2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0.69289617486338795</v>
      </c>
      <c r="O365">
        <f t="shared" si="22"/>
        <v>2.9103825136612582E-2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0.69398907103825158</v>
      </c>
      <c r="O366">
        <f t="shared" si="22"/>
        <v>3.0010928961748951E-2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0.69398907103825158</v>
      </c>
      <c r="O367">
        <f t="shared" si="22"/>
        <v>3.2010928961748952E-2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0.69398907103825158</v>
      </c>
      <c r="O368">
        <f t="shared" si="22"/>
        <v>3.4010928961748954E-2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0.69562841530054653</v>
      </c>
      <c r="O369">
        <f t="shared" si="22"/>
        <v>3.4371584699454005E-2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0.69617486338797829</v>
      </c>
      <c r="O370">
        <f t="shared" si="22"/>
        <v>3.5825136612022246E-2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0.69672131147540983</v>
      </c>
      <c r="O371">
        <f t="shared" si="22"/>
        <v>3.7278688524590708E-2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0.69781420765027324</v>
      </c>
      <c r="O372">
        <f t="shared" si="22"/>
        <v>3.8185792349727299E-2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0.69836065573770501</v>
      </c>
      <c r="O373">
        <f t="shared" si="22"/>
        <v>3.9639344262295539E-2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0.69836065573770501</v>
      </c>
      <c r="O374">
        <f t="shared" si="22"/>
        <v>4.1639344262295541E-2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0.69836065573770501</v>
      </c>
      <c r="O375">
        <f t="shared" si="22"/>
        <v>4.3639344262295543E-2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0.70000000000000018</v>
      </c>
      <c r="O376">
        <f t="shared" si="22"/>
        <v>4.4000000000000372E-2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0.70000000000000018</v>
      </c>
      <c r="O377">
        <f t="shared" si="22"/>
        <v>4.6000000000000374E-2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0.70218579234972689</v>
      </c>
      <c r="O378">
        <f t="shared" si="22"/>
        <v>4.5814207650273664E-2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0.70273224043715865</v>
      </c>
      <c r="O379">
        <f t="shared" si="22"/>
        <v>4.7267759562841904E-2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0.70273224043715865</v>
      </c>
      <c r="O380">
        <f t="shared" si="22"/>
        <v>4.9267759562841906E-2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0.70327868852459019</v>
      </c>
      <c r="O381">
        <f t="shared" si="22"/>
        <v>5.0721311475410369E-2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0.70491803278688536</v>
      </c>
      <c r="O382">
        <f t="shared" si="22"/>
        <v>5.1081967213115198E-2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0.70546448087431701</v>
      </c>
      <c r="O383">
        <f t="shared" si="22"/>
        <v>5.253551912568355E-2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0.70546448087431701</v>
      </c>
      <c r="O384">
        <f t="shared" si="22"/>
        <v>5.4535519125683551E-2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0.70601092896174877</v>
      </c>
      <c r="O385">
        <f t="shared" si="22"/>
        <v>5.5989071038251792E-2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0.70601092896174877</v>
      </c>
      <c r="O386">
        <f t="shared" si="22"/>
        <v>5.7989071038251794E-2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0.70601092896174877</v>
      </c>
      <c r="O387">
        <f t="shared" si="22"/>
        <v>5.9989071038251796E-2</v>
      </c>
    </row>
    <row r="388" spans="2:15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0.70601092896174877</v>
      </c>
      <c r="O388">
        <f t="shared" si="22"/>
        <v>6.1989071038251797E-2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0.70655737704918031</v>
      </c>
      <c r="O389">
        <f t="shared" si="22"/>
        <v>6.344262295082026E-2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(J390-$H$7)/($H$8-$H$7)</f>
        <v>0.70710382513661207</v>
      </c>
      <c r="O390">
        <f t="shared" ref="O390:O453" si="26">ABS(M390-N390)</f>
        <v>6.48961748633885E-2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0.70765027322404384</v>
      </c>
      <c r="O391">
        <f t="shared" si="26"/>
        <v>6.6349726775956741E-2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0.70765027322404384</v>
      </c>
      <c r="O392">
        <f t="shared" si="26"/>
        <v>6.8349726775956743E-2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0.70874316939890725</v>
      </c>
      <c r="O393">
        <f t="shared" si="26"/>
        <v>6.9256830601093333E-2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0.71311475409836067</v>
      </c>
      <c r="O394">
        <f t="shared" si="26"/>
        <v>6.6885245901639911E-2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0.71530054644808749</v>
      </c>
      <c r="O395">
        <f t="shared" si="26"/>
        <v>6.669945355191309E-2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0.71693989071038255</v>
      </c>
      <c r="O396">
        <f t="shared" si="26"/>
        <v>6.7060109289618031E-2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0.72076502732240444</v>
      </c>
      <c r="O397">
        <f t="shared" si="26"/>
        <v>6.5234972677596148E-2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0.72240437158469961</v>
      </c>
      <c r="O398">
        <f t="shared" si="26"/>
        <v>6.5595628415300977E-2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0.7262295081967215</v>
      </c>
      <c r="O399">
        <f t="shared" si="26"/>
        <v>6.3770491803279095E-2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0.7262295081967215</v>
      </c>
      <c r="O400">
        <f t="shared" si="26"/>
        <v>6.5770491803279096E-2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0.7273224043715848</v>
      </c>
      <c r="O401">
        <f t="shared" si="26"/>
        <v>6.6677595628415798E-2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0.7273224043715848</v>
      </c>
      <c r="O402">
        <f t="shared" si="26"/>
        <v>6.86775956284158E-2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0.73005464480874338</v>
      </c>
      <c r="O403">
        <f t="shared" si="26"/>
        <v>6.7945355191257217E-2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0.73060109289617492</v>
      </c>
      <c r="O404">
        <f t="shared" si="26"/>
        <v>6.939890710382568E-2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0.73114754098360668</v>
      </c>
      <c r="O405">
        <f t="shared" si="26"/>
        <v>7.0852459016393921E-2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0.7344262295081968</v>
      </c>
      <c r="O406">
        <f t="shared" si="26"/>
        <v>6.9573770491803799E-2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0.73551912568306022</v>
      </c>
      <c r="O407">
        <f t="shared" si="26"/>
        <v>7.048087431694039E-2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0.73661202185792352</v>
      </c>
      <c r="O408">
        <f t="shared" si="26"/>
        <v>7.1387978142077091E-2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0.73770491803278693</v>
      </c>
      <c r="O409">
        <f t="shared" si="26"/>
        <v>7.2295081967213681E-2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0.73825136612021869</v>
      </c>
      <c r="O410">
        <f t="shared" si="26"/>
        <v>7.3748633879781922E-2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0.73879781420765023</v>
      </c>
      <c r="O411">
        <f t="shared" si="26"/>
        <v>7.5202185792350384E-2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0.73989071038251386</v>
      </c>
      <c r="O412">
        <f t="shared" si="26"/>
        <v>7.6109289617486753E-2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0.74371584699453575</v>
      </c>
      <c r="O413">
        <f t="shared" si="26"/>
        <v>7.428415300546487E-2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0.74480874316939905</v>
      </c>
      <c r="O414">
        <f t="shared" si="26"/>
        <v>7.5191256830601572E-2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0.7453551912568307</v>
      </c>
      <c r="O415">
        <f t="shared" si="26"/>
        <v>7.6644808743169923E-2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0.74808743169398917</v>
      </c>
      <c r="O416">
        <f t="shared" si="26"/>
        <v>7.5912568306011452E-2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0.74863387978142093</v>
      </c>
      <c r="O417">
        <f t="shared" si="26"/>
        <v>7.7366120218579693E-2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0.74972677595628434</v>
      </c>
      <c r="O418">
        <f t="shared" si="26"/>
        <v>7.8273224043716283E-2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0.75245901639344259</v>
      </c>
      <c r="O419">
        <f t="shared" si="26"/>
        <v>7.7540983606558034E-2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0.75245901639344259</v>
      </c>
      <c r="O420">
        <f t="shared" si="26"/>
        <v>7.9540983606558036E-2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0.75300546448087435</v>
      </c>
      <c r="O421">
        <f t="shared" si="26"/>
        <v>8.0994535519126276E-2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0.75464480874316953</v>
      </c>
      <c r="O422">
        <f t="shared" si="26"/>
        <v>8.1355191256831105E-2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0.75573770491803294</v>
      </c>
      <c r="O423">
        <f t="shared" si="26"/>
        <v>8.2262295081967696E-2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0.75683060109289624</v>
      </c>
      <c r="O424">
        <f t="shared" si="26"/>
        <v>8.3169398907104397E-2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0.75792349726775965</v>
      </c>
      <c r="O425">
        <f t="shared" si="26"/>
        <v>8.4076502732240987E-2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0.76120218579234977</v>
      </c>
      <c r="O426">
        <f t="shared" si="26"/>
        <v>8.2797814207650866E-2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0.76174863387978153</v>
      </c>
      <c r="O427">
        <f t="shared" si="26"/>
        <v>8.4251366120219107E-2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0.76448087431694001</v>
      </c>
      <c r="O428">
        <f t="shared" si="26"/>
        <v>8.3519125683060635E-2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0.76502732240437166</v>
      </c>
      <c r="O429">
        <f t="shared" si="26"/>
        <v>8.4972677595628987E-2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0.76612021857923496</v>
      </c>
      <c r="O430">
        <f t="shared" si="26"/>
        <v>8.5879781420765688E-2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0.76612021857923496</v>
      </c>
      <c r="O431">
        <f t="shared" si="26"/>
        <v>8.787978142076569E-2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0.76666666666666672</v>
      </c>
      <c r="O432">
        <f t="shared" si="26"/>
        <v>8.9333333333333931E-2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0.76666666666666672</v>
      </c>
      <c r="O433">
        <f t="shared" si="26"/>
        <v>9.1333333333333933E-2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0.76721311475409848</v>
      </c>
      <c r="O434">
        <f t="shared" si="26"/>
        <v>9.2786885245902173E-2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0.76721311475409848</v>
      </c>
      <c r="O435">
        <f t="shared" si="26"/>
        <v>9.4786885245902175E-2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0.76994535519125684</v>
      </c>
      <c r="O436">
        <f t="shared" si="26"/>
        <v>9.4054644808743815E-2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0.7704918032786886</v>
      </c>
      <c r="O437">
        <f t="shared" si="26"/>
        <v>9.5508196721312055E-2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0.77158469945355201</v>
      </c>
      <c r="O438">
        <f t="shared" si="26"/>
        <v>9.6415300546448646E-2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0.77213114754098378</v>
      </c>
      <c r="O439">
        <f t="shared" si="26"/>
        <v>9.7868852459016886E-2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0.77377049180327873</v>
      </c>
      <c r="O440">
        <f t="shared" si="26"/>
        <v>9.8229508196721937E-2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0.77595628415300566</v>
      </c>
      <c r="O441">
        <f t="shared" si="26"/>
        <v>9.8043715846995005E-2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0.77595628415300566</v>
      </c>
      <c r="O442">
        <f t="shared" si="26"/>
        <v>0.10004371584699501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0.77759562841530061</v>
      </c>
      <c r="O443">
        <f t="shared" si="26"/>
        <v>0.10040437158470006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0.78032786885245908</v>
      </c>
      <c r="O444">
        <f t="shared" si="26"/>
        <v>9.9672131147541587E-2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0.78087431693989084</v>
      </c>
      <c r="O445">
        <f t="shared" si="26"/>
        <v>0.10112568306010983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0.78524590163934438</v>
      </c>
      <c r="O446">
        <f t="shared" si="26"/>
        <v>9.8754098360656295E-2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0.78579234972677614</v>
      </c>
      <c r="O447">
        <f t="shared" si="26"/>
        <v>0.10020765027322454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0.78907103825136626</v>
      </c>
      <c r="O448">
        <f t="shared" si="26"/>
        <v>9.8928961748634414E-2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0.79016393442622956</v>
      </c>
      <c r="O449">
        <f t="shared" si="26"/>
        <v>9.9836065573771116E-2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0.79016393442622956</v>
      </c>
      <c r="O450">
        <f t="shared" si="26"/>
        <v>0.10183606557377112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0.79234972677595628</v>
      </c>
      <c r="O451">
        <f t="shared" si="26"/>
        <v>0.10165027322404441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0.79289617486338804</v>
      </c>
      <c r="O452">
        <f t="shared" si="26"/>
        <v>0.10310382513661265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0.79344262295081969</v>
      </c>
      <c r="O453">
        <f t="shared" si="26"/>
        <v>0.104557377049181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(J454-$H$7)/($H$8-$H$7)</f>
        <v>0.79781420765027333</v>
      </c>
      <c r="O454">
        <f t="shared" ref="O454:O504" si="30">ABS(M454-N454)</f>
        <v>0.10218579234972736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0.79836065573770509</v>
      </c>
      <c r="O455">
        <f t="shared" si="30"/>
        <v>0.1036393442622956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0.8</v>
      </c>
      <c r="O456">
        <f t="shared" si="30"/>
        <v>0.10400000000000065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0.80218579234972676</v>
      </c>
      <c r="O457">
        <f t="shared" si="30"/>
        <v>0.10381420765027394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0.80382513661202193</v>
      </c>
      <c r="O458">
        <f t="shared" si="30"/>
        <v>0.10417486338797877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0.80437158469945369</v>
      </c>
      <c r="O459">
        <f t="shared" si="30"/>
        <v>0.10562841530054701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0.80491803278688534</v>
      </c>
      <c r="O460">
        <f t="shared" si="30"/>
        <v>0.10708196721311536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0.80710382513661205</v>
      </c>
      <c r="O461">
        <f t="shared" si="30"/>
        <v>0.10689617486338865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0.80765027322404381</v>
      </c>
      <c r="O462">
        <f t="shared" si="30"/>
        <v>0.10834972677595689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0.80819672131147557</v>
      </c>
      <c r="O463">
        <f t="shared" si="30"/>
        <v>0.10980327868852513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0.81092896174863394</v>
      </c>
      <c r="O464">
        <f t="shared" si="30"/>
        <v>0.10907103825136677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0.81092896174863394</v>
      </c>
      <c r="O465">
        <f t="shared" si="30"/>
        <v>0.11107103825136677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0.8114754098360657</v>
      </c>
      <c r="O466">
        <f t="shared" si="30"/>
        <v>0.11252459016393501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0.81420765027322417</v>
      </c>
      <c r="O467">
        <f t="shared" si="30"/>
        <v>0.11179234972677654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0.81584699453551912</v>
      </c>
      <c r="O468">
        <f t="shared" si="30"/>
        <v>0.11215300546448159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0.81639344262295088</v>
      </c>
      <c r="O469">
        <f t="shared" si="30"/>
        <v>0.11360655737704983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0.81912568306010947</v>
      </c>
      <c r="O470">
        <f t="shared" si="30"/>
        <v>0.11287431693989125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0.81967213114754101</v>
      </c>
      <c r="O471">
        <f t="shared" si="30"/>
        <v>0.11432786885245971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0.82076502732240442</v>
      </c>
      <c r="O472">
        <f t="shared" si="30"/>
        <v>0.1152349726775963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0.82185792349726794</v>
      </c>
      <c r="O473">
        <f t="shared" si="30"/>
        <v>0.11614207650273278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0.82404371584699465</v>
      </c>
      <c r="O474">
        <f t="shared" si="30"/>
        <v>0.11595628415300607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0.82568306010928982</v>
      </c>
      <c r="O475">
        <f t="shared" si="30"/>
        <v>0.1163169398907109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0.83278688524590183</v>
      </c>
      <c r="O476">
        <f t="shared" si="30"/>
        <v>0.1112131147540989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0.83497267759562854</v>
      </c>
      <c r="O477">
        <f t="shared" si="30"/>
        <v>0.11102732240437219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0.84043715846994549</v>
      </c>
      <c r="O478">
        <f t="shared" si="30"/>
        <v>0.10756284153005524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0.84262295081967231</v>
      </c>
      <c r="O479">
        <f t="shared" si="30"/>
        <v>0.10737704918032842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0.84371584699453561</v>
      </c>
      <c r="O480">
        <f t="shared" si="30"/>
        <v>0.10828415300546512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0.84644808743169409</v>
      </c>
      <c r="O481">
        <f t="shared" si="30"/>
        <v>0.10755191256830665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0.85300546448087455</v>
      </c>
      <c r="O482">
        <f t="shared" si="30"/>
        <v>0.10299453551912618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0.85792349726775974</v>
      </c>
      <c r="O483">
        <f t="shared" si="30"/>
        <v>0.100076502732241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0.86010928961748645</v>
      </c>
      <c r="O484">
        <f t="shared" si="30"/>
        <v>9.9890710382514292E-2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0.8606557377049181</v>
      </c>
      <c r="O485">
        <f t="shared" si="30"/>
        <v>0.10134426229508264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0.8617486338797814</v>
      </c>
      <c r="O486">
        <f t="shared" si="30"/>
        <v>0.10225136612021934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0.86448087431693998</v>
      </c>
      <c r="O487">
        <f t="shared" si="30"/>
        <v>0.10151912568306076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0.86721311475409846</v>
      </c>
      <c r="O488">
        <f t="shared" si="30"/>
        <v>0.10078688524590229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0.87704918032786883</v>
      </c>
      <c r="O489">
        <f t="shared" si="30"/>
        <v>9.2950819672131924E-2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0.88032786885245917</v>
      </c>
      <c r="O490">
        <f t="shared" si="30"/>
        <v>9.167213114754158E-2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0.88196721311475423</v>
      </c>
      <c r="O491">
        <f t="shared" si="30"/>
        <v>9.203278688524652E-2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0.88579234972677612</v>
      </c>
      <c r="O492">
        <f t="shared" si="30"/>
        <v>9.0207650273224638E-2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0.88797814207650283</v>
      </c>
      <c r="O493">
        <f t="shared" si="30"/>
        <v>9.0021857923497928E-2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0.90655737704918027</v>
      </c>
      <c r="O494">
        <f t="shared" si="30"/>
        <v>7.3442622950820491E-2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0.92185792349726781</v>
      </c>
      <c r="O495">
        <f t="shared" si="30"/>
        <v>6.0142076502732955E-2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0.93661202185792369</v>
      </c>
      <c r="O496">
        <f t="shared" si="30"/>
        <v>4.738797814207707E-2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0.93661202185792369</v>
      </c>
      <c r="O497">
        <f t="shared" si="30"/>
        <v>4.9387978142077071E-2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0.94153005464480877</v>
      </c>
      <c r="O498">
        <f t="shared" si="30"/>
        <v>4.6469945355191999E-2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0.94918032786885242</v>
      </c>
      <c r="O499">
        <f t="shared" si="30"/>
        <v>4.0819672131148343E-2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0.94972677595628441</v>
      </c>
      <c r="O500">
        <f t="shared" si="30"/>
        <v>4.2273224043716362E-2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0.96448087431693996</v>
      </c>
      <c r="O501">
        <f t="shared" si="30"/>
        <v>2.951912568306081E-2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0.97158469945355208</v>
      </c>
      <c r="O502">
        <f t="shared" si="30"/>
        <v>2.4415300546448693E-2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0.97486338797814198</v>
      </c>
      <c r="O503">
        <f t="shared" si="30"/>
        <v>2.3136612021858793E-2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1</v>
      </c>
      <c r="O504">
        <f t="shared" si="30"/>
        <v>6.6613381477509392E-16</v>
      </c>
    </row>
    <row r="505" spans="2:15" x14ac:dyDescent="0.25">
      <c r="N505" s="14" t="s">
        <v>52</v>
      </c>
      <c r="O505" s="14">
        <f>MAX(O5:O504)</f>
        <v>0.27722404371584697</v>
      </c>
    </row>
    <row r="506" spans="2:15" x14ac:dyDescent="0.25">
      <c r="M506" s="16" t="s">
        <v>51</v>
      </c>
      <c r="N506" s="16">
        <f>1.358/SQRT($E$20)</f>
        <v>6.0731606268894289E-2</v>
      </c>
    </row>
    <row r="508" spans="2:15" x14ac:dyDescent="0.25">
      <c r="M508" t="s">
        <v>53</v>
      </c>
    </row>
  </sheetData>
  <sortState ref="J5:J504">
    <sortCondition ref="J5"/>
  </sortState>
  <mergeCells count="1">
    <mergeCell ref="J2:N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2:AK1048576"/>
  <sheetViews>
    <sheetView tabSelected="1" topLeftCell="A3" workbookViewId="0">
      <selection activeCell="J5" sqref="J5"/>
    </sheetView>
  </sheetViews>
  <sheetFormatPr baseColWidth="10" defaultRowHeight="15" x14ac:dyDescent="0.25"/>
  <cols>
    <col min="7" max="7" width="19" customWidth="1"/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22" x14ac:dyDescent="0.25">
      <c r="E2" t="s">
        <v>48</v>
      </c>
      <c r="J2" s="17" t="s">
        <v>36</v>
      </c>
      <c r="K2" s="17"/>
      <c r="L2" s="17"/>
      <c r="M2" s="17"/>
      <c r="N2" s="17"/>
    </row>
    <row r="3" spans="2:22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22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59</v>
      </c>
      <c r="R4" s="15"/>
    </row>
    <row r="5" spans="2:22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NORMDIST(J5,$E$8,$E$12,1)</f>
        <v>2.5026697058639263E-4</v>
      </c>
      <c r="O5">
        <f>ABS(M5-N5)</f>
        <v>1.7497330294136075E-3</v>
      </c>
      <c r="P5">
        <f ca="1">H7+(H8-H7)*H10</f>
        <v>26.521205119167114</v>
      </c>
      <c r="R5" t="s">
        <v>62</v>
      </c>
    </row>
    <row r="6" spans="2:22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>NORMDIST(J6,$E$8,$E$12,1)</f>
        <v>6.8270973396421133E-4</v>
      </c>
      <c r="O6">
        <f t="shared" ref="O6:O69" si="1">ABS(M6-N6)</f>
        <v>3.3172902660357885E-3</v>
      </c>
      <c r="R6">
        <v>23.450540591257919</v>
      </c>
      <c r="U6" s="10" t="s">
        <v>33</v>
      </c>
      <c r="V6" s="10" t="s">
        <v>35</v>
      </c>
    </row>
    <row r="7" spans="2:22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2">M6+L7</f>
        <v>6.0000000000000001E-3</v>
      </c>
      <c r="N7">
        <f t="shared" ref="N7:N70" si="3">NORMDIST(J7,$E$8,$E$12,1)</f>
        <v>2.6715163593780196E-3</v>
      </c>
      <c r="O7">
        <f t="shared" si="1"/>
        <v>3.3284836406219805E-3</v>
      </c>
      <c r="R7">
        <v>16.188684972799813</v>
      </c>
      <c r="U7" s="8">
        <v>14.323492848925987</v>
      </c>
      <c r="V7" s="8">
        <v>1</v>
      </c>
    </row>
    <row r="8" spans="2:22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2"/>
        <v>8.0000000000000002E-3</v>
      </c>
      <c r="N8">
        <f t="shared" si="3"/>
        <v>4.6780645813720434E-3</v>
      </c>
      <c r="O8">
        <f t="shared" si="1"/>
        <v>3.3219354186279568E-3</v>
      </c>
      <c r="R8">
        <v>21.310785774424797</v>
      </c>
      <c r="U8" s="8">
        <v>14.913374748788112</v>
      </c>
      <c r="V8" s="8">
        <v>36</v>
      </c>
    </row>
    <row r="9" spans="2:22" x14ac:dyDescent="0.25">
      <c r="B9" s="7">
        <v>29.16</v>
      </c>
      <c r="D9" s="8" t="s">
        <v>21</v>
      </c>
      <c r="E9" s="8">
        <v>0.13643978616846866</v>
      </c>
      <c r="F9" s="13" t="s">
        <v>57</v>
      </c>
      <c r="G9" t="s">
        <v>11</v>
      </c>
      <c r="H9">
        <f>E11</f>
        <v>27.23</v>
      </c>
      <c r="J9" s="7">
        <v>17.52</v>
      </c>
      <c r="K9">
        <v>1</v>
      </c>
      <c r="L9">
        <f t="shared" si="0"/>
        <v>2E-3</v>
      </c>
      <c r="M9">
        <f t="shared" si="2"/>
        <v>0.01</v>
      </c>
      <c r="N9">
        <f t="shared" si="3"/>
        <v>7.5845338302401137E-3</v>
      </c>
      <c r="O9">
        <f t="shared" si="1"/>
        <v>2.4154661697598865E-3</v>
      </c>
      <c r="R9">
        <v>32.084682439789226</v>
      </c>
      <c r="U9" s="8">
        <v>15.503256648650236</v>
      </c>
      <c r="V9" s="8">
        <v>29</v>
      </c>
    </row>
    <row r="10" spans="2:22" ht="13.5" customHeight="1" x14ac:dyDescent="0.25">
      <c r="B10" s="7">
        <v>26.01</v>
      </c>
      <c r="D10" s="8" t="s">
        <v>22</v>
      </c>
      <c r="E10" s="8">
        <v>24.84</v>
      </c>
      <c r="F10" s="13" t="s">
        <v>58</v>
      </c>
      <c r="G10" s="18" t="s">
        <v>61</v>
      </c>
      <c r="H10">
        <f ca="1">RAND()</f>
        <v>0.66727896826049804</v>
      </c>
      <c r="J10" s="7">
        <v>17.739999999999998</v>
      </c>
      <c r="K10">
        <v>1</v>
      </c>
      <c r="L10">
        <f t="shared" si="0"/>
        <v>2E-3</v>
      </c>
      <c r="M10">
        <f t="shared" si="2"/>
        <v>1.2E-2</v>
      </c>
      <c r="N10">
        <f t="shared" si="3"/>
        <v>9.2313115997908618E-3</v>
      </c>
      <c r="O10">
        <f t="shared" si="1"/>
        <v>2.7686884002091385E-3</v>
      </c>
      <c r="R10">
        <v>25.365855259479517</v>
      </c>
      <c r="U10" s="8">
        <v>16.093138548512361</v>
      </c>
      <c r="V10" s="8">
        <v>40</v>
      </c>
    </row>
    <row r="11" spans="2:22" x14ac:dyDescent="0.25">
      <c r="B11" s="7">
        <v>21.89</v>
      </c>
      <c r="D11" s="8" t="s">
        <v>23</v>
      </c>
      <c r="E11" s="8">
        <v>27.23</v>
      </c>
      <c r="H11" t="s">
        <v>60</v>
      </c>
      <c r="J11" s="7">
        <v>17.93</v>
      </c>
      <c r="K11">
        <v>1</v>
      </c>
      <c r="L11">
        <f t="shared" si="0"/>
        <v>2E-3</v>
      </c>
      <c r="M11">
        <f t="shared" si="2"/>
        <v>1.4E-2</v>
      </c>
      <c r="N11">
        <f t="shared" si="3"/>
        <v>1.0897257720245234E-2</v>
      </c>
      <c r="O11">
        <f t="shared" si="1"/>
        <v>3.1027422797547666E-3</v>
      </c>
      <c r="R11">
        <v>22.264697333897807</v>
      </c>
      <c r="U11" s="8">
        <v>16.683020448374485</v>
      </c>
      <c r="V11" s="8">
        <v>26</v>
      </c>
    </row>
    <row r="12" spans="2:22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2"/>
        <v>1.6E-2</v>
      </c>
      <c r="N12">
        <f t="shared" si="3"/>
        <v>1.4536802835837885E-2</v>
      </c>
      <c r="O12">
        <f t="shared" si="1"/>
        <v>1.4631971641621156E-3</v>
      </c>
      <c r="R12">
        <v>31.035978471893806</v>
      </c>
      <c r="U12" s="8">
        <v>17.27290234823661</v>
      </c>
      <c r="V12" s="8">
        <v>31</v>
      </c>
    </row>
    <row r="13" spans="2:22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2"/>
        <v>1.8000000000000002E-2</v>
      </c>
      <c r="N13">
        <f t="shared" si="3"/>
        <v>1.4658061011291182E-2</v>
      </c>
      <c r="O13">
        <f t="shared" si="1"/>
        <v>3.3419389887088206E-3</v>
      </c>
      <c r="R13">
        <v>26.774728793718346</v>
      </c>
      <c r="U13" s="8">
        <v>17.862784248098734</v>
      </c>
      <c r="V13" s="8">
        <v>32</v>
      </c>
    </row>
    <row r="14" spans="2:22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2"/>
        <v>2.0000000000000004E-2</v>
      </c>
      <c r="N14">
        <f t="shared" si="3"/>
        <v>1.4658061011291182E-2</v>
      </c>
      <c r="O14">
        <f t="shared" si="1"/>
        <v>5.3419389887088223E-3</v>
      </c>
      <c r="R14">
        <v>21.246008472948482</v>
      </c>
      <c r="U14" s="8">
        <v>18.452666147960858</v>
      </c>
      <c r="V14" s="8">
        <v>29</v>
      </c>
    </row>
    <row r="15" spans="2:22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2"/>
        <v>2.2000000000000006E-2</v>
      </c>
      <c r="N15">
        <f t="shared" si="3"/>
        <v>1.59192659387026E-2</v>
      </c>
      <c r="O15">
        <f t="shared" si="1"/>
        <v>6.0807340612974055E-3</v>
      </c>
      <c r="R15">
        <v>18.510518853484907</v>
      </c>
      <c r="U15" s="8">
        <v>19.042548047822983</v>
      </c>
      <c r="V15" s="8">
        <v>31</v>
      </c>
    </row>
    <row r="16" spans="2:22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2"/>
        <v>2.4000000000000007E-2</v>
      </c>
      <c r="N16">
        <f t="shared" si="3"/>
        <v>1.8277013971520869E-2</v>
      </c>
      <c r="O16">
        <f t="shared" si="1"/>
        <v>5.7229860284791385E-3</v>
      </c>
      <c r="R16">
        <v>30.678982661702165</v>
      </c>
      <c r="U16" s="8">
        <v>19.632429947685107</v>
      </c>
      <c r="V16" s="8">
        <v>30</v>
      </c>
    </row>
    <row r="17" spans="2:22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2"/>
        <v>2.6000000000000009E-2</v>
      </c>
      <c r="N17">
        <f t="shared" si="3"/>
        <v>2.4451624929212372E-2</v>
      </c>
      <c r="O17">
        <f t="shared" si="1"/>
        <v>1.5483750707876373E-3</v>
      </c>
      <c r="R17">
        <v>23.939586370969714</v>
      </c>
      <c r="U17" s="8">
        <v>20.222311847547232</v>
      </c>
      <c r="V17" s="8">
        <v>31</v>
      </c>
    </row>
    <row r="18" spans="2:22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2"/>
        <v>2.8000000000000011E-2</v>
      </c>
      <c r="N18">
        <f t="shared" si="3"/>
        <v>2.4640268940049396E-2</v>
      </c>
      <c r="O18">
        <f t="shared" si="1"/>
        <v>3.3597310599506151E-3</v>
      </c>
      <c r="R18">
        <v>24.780083943076264</v>
      </c>
      <c r="U18" s="8">
        <v>20.812193747409356</v>
      </c>
      <c r="V18" s="8">
        <v>29</v>
      </c>
    </row>
    <row r="19" spans="2:22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2"/>
        <v>3.0000000000000013E-2</v>
      </c>
      <c r="N19">
        <f t="shared" si="3"/>
        <v>3.2053447079149935E-2</v>
      </c>
      <c r="O19">
        <f t="shared" si="1"/>
        <v>2.0534470791499226E-3</v>
      </c>
      <c r="R19">
        <v>23.670451242045232</v>
      </c>
      <c r="U19" s="8">
        <v>21.402075647271481</v>
      </c>
      <c r="V19" s="8">
        <v>27</v>
      </c>
    </row>
    <row r="20" spans="2:22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2"/>
        <v>3.2000000000000015E-2</v>
      </c>
      <c r="N20">
        <f t="shared" si="3"/>
        <v>3.3737904932879516E-2</v>
      </c>
      <c r="O20">
        <f t="shared" si="1"/>
        <v>1.7379049328795013E-3</v>
      </c>
      <c r="R20">
        <v>27.220088432661427</v>
      </c>
      <c r="U20" s="8">
        <v>21.991957547133602</v>
      </c>
      <c r="V20" s="8">
        <v>29</v>
      </c>
    </row>
    <row r="21" spans="2:22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2"/>
        <v>3.4000000000000016E-2</v>
      </c>
      <c r="N21">
        <f t="shared" si="3"/>
        <v>3.6269990437483662E-2</v>
      </c>
      <c r="O21">
        <f t="shared" si="1"/>
        <v>2.269990437483646E-3</v>
      </c>
      <c r="R21">
        <v>23.468523456092843</v>
      </c>
      <c r="U21" s="8">
        <v>22.58183944699573</v>
      </c>
      <c r="V21" s="8">
        <v>25</v>
      </c>
    </row>
    <row r="22" spans="2:22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2"/>
        <v>3.6000000000000018E-2</v>
      </c>
      <c r="N22">
        <f t="shared" si="3"/>
        <v>3.7325453963531888E-2</v>
      </c>
      <c r="O22">
        <f t="shared" si="1"/>
        <v>1.3254539635318696E-3</v>
      </c>
      <c r="R22">
        <v>18.20801752232029</v>
      </c>
      <c r="U22" s="8">
        <v>23.171721346857851</v>
      </c>
      <c r="V22" s="8">
        <v>33</v>
      </c>
    </row>
    <row r="23" spans="2:22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2"/>
        <v>3.800000000000002E-2</v>
      </c>
      <c r="N23">
        <f t="shared" si="3"/>
        <v>3.7593203923065914E-2</v>
      </c>
      <c r="O23">
        <f t="shared" si="1"/>
        <v>4.0679607693410585E-4</v>
      </c>
      <c r="R23">
        <v>20.553396337525545</v>
      </c>
      <c r="U23" s="8">
        <v>23.761603246719979</v>
      </c>
      <c r="V23" s="8">
        <v>30</v>
      </c>
    </row>
    <row r="24" spans="2:22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2"/>
        <v>4.0000000000000022E-2</v>
      </c>
      <c r="N24">
        <f t="shared" si="3"/>
        <v>4.0643193689881944E-2</v>
      </c>
      <c r="O24">
        <f t="shared" si="1"/>
        <v>6.4319368988192266E-4</v>
      </c>
      <c r="R24">
        <v>23.346212488498772</v>
      </c>
      <c r="U24" s="8">
        <v>24.3514851465821</v>
      </c>
      <c r="V24" s="8">
        <v>42</v>
      </c>
    </row>
    <row r="25" spans="2:22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2"/>
        <v>4.2000000000000023E-2</v>
      </c>
      <c r="N25">
        <f t="shared" si="3"/>
        <v>4.8985422273548969E-2</v>
      </c>
      <c r="O25">
        <f t="shared" si="1"/>
        <v>6.9854222735489455E-3</v>
      </c>
      <c r="R25">
        <v>20.892620243234902</v>
      </c>
      <c r="U25" s="8">
        <v>24.941367046444228</v>
      </c>
      <c r="V25" s="8">
        <v>27</v>
      </c>
    </row>
    <row r="26" spans="2:22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2"/>
        <v>4.4000000000000025E-2</v>
      </c>
      <c r="N26">
        <f t="shared" si="3"/>
        <v>5.0670923843701157E-2</v>
      </c>
      <c r="O26">
        <f t="shared" si="1"/>
        <v>6.670923843701132E-3</v>
      </c>
      <c r="R26">
        <v>17.053302737714912</v>
      </c>
      <c r="U26" s="8">
        <v>25.531248946306349</v>
      </c>
      <c r="V26" s="8">
        <v>36</v>
      </c>
    </row>
    <row r="27" spans="2:22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2"/>
        <v>4.6000000000000027E-2</v>
      </c>
      <c r="N27">
        <f t="shared" si="3"/>
        <v>5.2754141131860277E-2</v>
      </c>
      <c r="O27">
        <f t="shared" si="1"/>
        <v>6.7541411318602501E-3</v>
      </c>
      <c r="R27">
        <v>29.736137855312968</v>
      </c>
      <c r="U27" s="8">
        <v>26.121130846168477</v>
      </c>
      <c r="V27" s="8">
        <v>25</v>
      </c>
    </row>
    <row r="28" spans="2:22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2"/>
        <v>4.8000000000000029E-2</v>
      </c>
      <c r="N28">
        <f t="shared" si="3"/>
        <v>5.3107859285986929E-2</v>
      </c>
      <c r="O28">
        <f t="shared" si="1"/>
        <v>5.1078592859869001E-3</v>
      </c>
      <c r="R28">
        <v>21.327844462974511</v>
      </c>
      <c r="U28" s="8">
        <v>26.711012746030597</v>
      </c>
      <c r="V28" s="8">
        <v>31</v>
      </c>
    </row>
    <row r="29" spans="2:22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2"/>
        <v>5.0000000000000031E-2</v>
      </c>
      <c r="N29">
        <f t="shared" si="3"/>
        <v>6.3387983422727931E-2</v>
      </c>
      <c r="O29">
        <f t="shared" si="1"/>
        <v>1.33879834227279E-2</v>
      </c>
      <c r="R29">
        <v>14.352254132513339</v>
      </c>
      <c r="U29" s="8">
        <v>27.300894645892726</v>
      </c>
      <c r="V29" s="8">
        <v>32</v>
      </c>
    </row>
    <row r="30" spans="2:22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2"/>
        <v>5.2000000000000032E-2</v>
      </c>
      <c r="N30">
        <f t="shared" si="3"/>
        <v>6.5034618422694354E-2</v>
      </c>
      <c r="O30">
        <f t="shared" si="1"/>
        <v>1.3034618422694322E-2</v>
      </c>
      <c r="R30">
        <v>16.659418967154767</v>
      </c>
      <c r="U30" s="8">
        <v>27.890776545754846</v>
      </c>
      <c r="V30" s="8">
        <v>39</v>
      </c>
    </row>
    <row r="31" spans="2:22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2"/>
        <v>5.4000000000000034E-2</v>
      </c>
      <c r="N31">
        <f t="shared" si="3"/>
        <v>6.6291236001635362E-2</v>
      </c>
      <c r="O31">
        <f t="shared" si="1"/>
        <v>1.2291236001635328E-2</v>
      </c>
      <c r="R31">
        <v>18.635966229016532</v>
      </c>
      <c r="U31" s="8">
        <v>28.480658445616971</v>
      </c>
      <c r="V31" s="8">
        <v>32</v>
      </c>
    </row>
    <row r="32" spans="2:22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2"/>
        <v>5.6000000000000036E-2</v>
      </c>
      <c r="N32">
        <f t="shared" si="3"/>
        <v>6.6291236001635362E-2</v>
      </c>
      <c r="O32">
        <f t="shared" si="1"/>
        <v>1.0291236001635326E-2</v>
      </c>
      <c r="R32">
        <v>24.665558696778035</v>
      </c>
      <c r="U32" s="8">
        <v>29.070540345479095</v>
      </c>
      <c r="V32" s="8">
        <v>37</v>
      </c>
    </row>
    <row r="33" spans="2:22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2"/>
        <v>5.8000000000000038E-2</v>
      </c>
      <c r="N33">
        <f t="shared" si="3"/>
        <v>6.9296417844203942E-2</v>
      </c>
      <c r="O33">
        <f t="shared" si="1"/>
        <v>1.1296417844203904E-2</v>
      </c>
      <c r="R33">
        <v>23.994470757568592</v>
      </c>
      <c r="U33" s="8">
        <v>29.66042224534122</v>
      </c>
      <c r="V33" s="8">
        <v>36</v>
      </c>
    </row>
    <row r="34" spans="2:22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2"/>
        <v>6.0000000000000039E-2</v>
      </c>
      <c r="N34">
        <f t="shared" si="3"/>
        <v>7.0174035693466225E-2</v>
      </c>
      <c r="O34">
        <f t="shared" si="1"/>
        <v>1.0174035693466185E-2</v>
      </c>
      <c r="R34">
        <v>30.708550027688034</v>
      </c>
      <c r="U34" s="8">
        <v>30.250304145203344</v>
      </c>
      <c r="V34" s="8">
        <v>40</v>
      </c>
    </row>
    <row r="35" spans="2:22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2"/>
        <v>6.2000000000000041E-2</v>
      </c>
      <c r="N35">
        <f t="shared" si="3"/>
        <v>7.0174035693466225E-2</v>
      </c>
      <c r="O35">
        <f t="shared" si="1"/>
        <v>8.1740356934661834E-3</v>
      </c>
      <c r="R35">
        <v>21.474235735178183</v>
      </c>
      <c r="U35" s="8">
        <v>30.840186045065469</v>
      </c>
      <c r="V35" s="8">
        <v>33</v>
      </c>
    </row>
    <row r="36" spans="2:22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2"/>
        <v>6.4000000000000043E-2</v>
      </c>
      <c r="N36">
        <f t="shared" si="3"/>
        <v>7.2858211326336519E-2</v>
      </c>
      <c r="O36">
        <f t="shared" si="1"/>
        <v>8.8582113263364765E-3</v>
      </c>
      <c r="R36">
        <v>21.395325385730629</v>
      </c>
      <c r="U36" s="8">
        <v>31.430067944927593</v>
      </c>
      <c r="V36" s="8">
        <v>32</v>
      </c>
    </row>
    <row r="37" spans="2:22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2"/>
        <v>6.6000000000000045E-2</v>
      </c>
      <c r="N37">
        <f t="shared" si="3"/>
        <v>7.469086964821231E-2</v>
      </c>
      <c r="O37">
        <f t="shared" si="1"/>
        <v>8.6908696482122655E-3</v>
      </c>
      <c r="R37">
        <v>29.435254612175115</v>
      </c>
      <c r="U37" s="8">
        <v>32.019949844789721</v>
      </c>
      <c r="V37" s="8">
        <v>34</v>
      </c>
    </row>
    <row r="38" spans="2:22" ht="15.75" thickBot="1" x14ac:dyDescent="0.3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2"/>
        <v>6.8000000000000047E-2</v>
      </c>
      <c r="N38">
        <f t="shared" si="3"/>
        <v>7.469086964821231E-2</v>
      </c>
      <c r="O38">
        <f t="shared" si="1"/>
        <v>6.6908696482122637E-3</v>
      </c>
      <c r="R38">
        <v>14.434704441409487</v>
      </c>
      <c r="U38" s="9" t="s">
        <v>34</v>
      </c>
      <c r="V38" s="9">
        <v>36</v>
      </c>
    </row>
    <row r="39" spans="2:22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2"/>
        <v>7.0000000000000048E-2</v>
      </c>
      <c r="N39">
        <f t="shared" si="3"/>
        <v>7.5154484971234572E-2</v>
      </c>
      <c r="O39">
        <f t="shared" si="1"/>
        <v>5.1544849712345242E-3</v>
      </c>
      <c r="R39">
        <v>27.269867491598113</v>
      </c>
    </row>
    <row r="40" spans="2:22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2"/>
        <v>7.200000000000005E-2</v>
      </c>
      <c r="N40">
        <f t="shared" si="3"/>
        <v>7.7030909683414889E-2</v>
      </c>
      <c r="O40">
        <f t="shared" si="1"/>
        <v>5.0309096834148387E-3</v>
      </c>
      <c r="R40">
        <v>22.2582583646541</v>
      </c>
    </row>
    <row r="41" spans="2:22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2"/>
        <v>7.4000000000000052E-2</v>
      </c>
      <c r="N41">
        <f t="shared" si="3"/>
        <v>7.991201610703437E-2</v>
      </c>
      <c r="O41">
        <f t="shared" si="1"/>
        <v>5.912016107034318E-3</v>
      </c>
      <c r="R41">
        <v>15.579993041427914</v>
      </c>
    </row>
    <row r="42" spans="2:22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2"/>
        <v>7.6000000000000054E-2</v>
      </c>
      <c r="N42">
        <f t="shared" si="3"/>
        <v>8.2873877352062864E-2</v>
      </c>
      <c r="O42">
        <f t="shared" si="1"/>
        <v>6.8738773520628099E-3</v>
      </c>
      <c r="R42">
        <v>31.510694072336314</v>
      </c>
    </row>
    <row r="43" spans="2:22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2"/>
        <v>7.8000000000000055E-2</v>
      </c>
      <c r="N43">
        <f t="shared" si="3"/>
        <v>8.4385431744193287E-2</v>
      </c>
      <c r="O43">
        <f t="shared" si="1"/>
        <v>6.3854317441932318E-3</v>
      </c>
      <c r="R43">
        <v>22.712155965361418</v>
      </c>
    </row>
    <row r="44" spans="2:22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2"/>
        <v>8.0000000000000057E-2</v>
      </c>
      <c r="N44">
        <f t="shared" si="3"/>
        <v>8.6432894337497623E-2</v>
      </c>
      <c r="O44">
        <f t="shared" si="1"/>
        <v>6.4328943374975661E-3</v>
      </c>
      <c r="R44">
        <v>17.559789787852463</v>
      </c>
    </row>
    <row r="45" spans="2:22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2"/>
        <v>8.2000000000000059E-2</v>
      </c>
      <c r="N45">
        <f t="shared" si="3"/>
        <v>8.6432894337497623E-2</v>
      </c>
      <c r="O45">
        <f t="shared" si="1"/>
        <v>4.4328943374975643E-3</v>
      </c>
      <c r="R45">
        <v>28.811430246422592</v>
      </c>
    </row>
    <row r="46" spans="2:22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2"/>
        <v>8.4000000000000061E-2</v>
      </c>
      <c r="N46">
        <f t="shared" si="3"/>
        <v>9.0638875674663791E-2</v>
      </c>
      <c r="O46">
        <f t="shared" si="1"/>
        <v>6.6388756746637301E-3</v>
      </c>
      <c r="R46">
        <v>17.334140039537104</v>
      </c>
    </row>
    <row r="47" spans="2:22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2"/>
        <v>8.6000000000000063E-2</v>
      </c>
      <c r="N47">
        <f t="shared" si="3"/>
        <v>9.1713725107365598E-2</v>
      </c>
      <c r="O47">
        <f t="shared" si="1"/>
        <v>5.713725107365536E-3</v>
      </c>
      <c r="R47">
        <v>14.367999627492795</v>
      </c>
    </row>
    <row r="48" spans="2:22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2"/>
        <v>8.8000000000000064E-2</v>
      </c>
      <c r="N48">
        <f t="shared" si="3"/>
        <v>9.2254677947855149E-2</v>
      </c>
      <c r="O48">
        <f t="shared" si="1"/>
        <v>4.2546779478550845E-3</v>
      </c>
      <c r="R48">
        <v>15.675599482606469</v>
      </c>
    </row>
    <row r="49" spans="2:18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2"/>
        <v>9.0000000000000066E-2</v>
      </c>
      <c r="N49">
        <f t="shared" si="3"/>
        <v>9.4442113544970299E-2</v>
      </c>
      <c r="O49">
        <f t="shared" si="1"/>
        <v>4.4421135449702331E-3</v>
      </c>
      <c r="R49">
        <v>19.281672528677504</v>
      </c>
    </row>
    <row r="50" spans="2:18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2"/>
        <v>9.2000000000000068E-2</v>
      </c>
      <c r="N50">
        <f t="shared" si="3"/>
        <v>0.1000775754424629</v>
      </c>
      <c r="O50">
        <f t="shared" si="1"/>
        <v>8.0775754424628338E-3</v>
      </c>
      <c r="R50">
        <v>18.058702280206241</v>
      </c>
    </row>
    <row r="51" spans="2:18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2"/>
        <v>9.400000000000007E-2</v>
      </c>
      <c r="N51">
        <f t="shared" si="3"/>
        <v>0.10123354044878823</v>
      </c>
      <c r="O51">
        <f t="shared" si="1"/>
        <v>7.2335404487881561E-3</v>
      </c>
      <c r="R51">
        <v>19.190189483214592</v>
      </c>
    </row>
    <row r="52" spans="2:18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2"/>
        <v>9.6000000000000071E-2</v>
      </c>
      <c r="N52">
        <f t="shared" si="3"/>
        <v>0.10715945696913025</v>
      </c>
      <c r="O52">
        <f t="shared" si="1"/>
        <v>1.1159456969130177E-2</v>
      </c>
      <c r="R52">
        <v>24.573818921624571</v>
      </c>
    </row>
    <row r="53" spans="2:18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2"/>
        <v>9.8000000000000073E-2</v>
      </c>
      <c r="N53">
        <f t="shared" si="3"/>
        <v>0.10837406635677135</v>
      </c>
      <c r="O53">
        <f t="shared" si="1"/>
        <v>1.037406635677128E-2</v>
      </c>
      <c r="R53">
        <v>26.407393988636528</v>
      </c>
    </row>
    <row r="54" spans="2:18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2"/>
        <v>0.10000000000000007</v>
      </c>
      <c r="N54">
        <f t="shared" si="3"/>
        <v>0.10959855088653801</v>
      </c>
      <c r="O54">
        <f t="shared" si="1"/>
        <v>9.5985508865379376E-3</v>
      </c>
      <c r="R54">
        <v>28.096112466626519</v>
      </c>
    </row>
    <row r="55" spans="2:18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2"/>
        <v>0.10200000000000008</v>
      </c>
      <c r="N55">
        <f t="shared" si="3"/>
        <v>0.11207725369878635</v>
      </c>
      <c r="O55">
        <f t="shared" si="1"/>
        <v>1.0077253698786273E-2</v>
      </c>
      <c r="R55">
        <v>31.751135386053441</v>
      </c>
    </row>
    <row r="56" spans="2:18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2"/>
        <v>0.10400000000000008</v>
      </c>
      <c r="N56">
        <f t="shared" si="3"/>
        <v>0.11333152455031915</v>
      </c>
      <c r="O56">
        <f t="shared" si="1"/>
        <v>9.3315245503190758E-3</v>
      </c>
      <c r="R56">
        <v>24.339282629640703</v>
      </c>
    </row>
    <row r="57" spans="2:18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2"/>
        <v>0.10600000000000008</v>
      </c>
      <c r="N57">
        <f t="shared" si="3"/>
        <v>0.11333152455031915</v>
      </c>
      <c r="O57">
        <f t="shared" si="1"/>
        <v>7.331524550319074E-3</v>
      </c>
      <c r="R57">
        <v>31.881548683149269</v>
      </c>
    </row>
    <row r="58" spans="2:18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2"/>
        <v>0.10800000000000008</v>
      </c>
      <c r="N58">
        <f t="shared" si="3"/>
        <v>0.11715431662388139</v>
      </c>
      <c r="O58">
        <f t="shared" si="1"/>
        <v>9.1543166238813034E-3</v>
      </c>
      <c r="R58">
        <v>31.277020179691448</v>
      </c>
    </row>
    <row r="59" spans="2:18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2"/>
        <v>0.11000000000000008</v>
      </c>
      <c r="N59">
        <f t="shared" si="3"/>
        <v>0.1197530657233243</v>
      </c>
      <c r="O59">
        <f t="shared" si="1"/>
        <v>9.7530657233242113E-3</v>
      </c>
      <c r="R59">
        <v>16.669388804035574</v>
      </c>
    </row>
    <row r="60" spans="2:18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2"/>
        <v>0.11200000000000009</v>
      </c>
      <c r="N60">
        <f t="shared" si="3"/>
        <v>0.12239220115322079</v>
      </c>
      <c r="O60">
        <f t="shared" si="1"/>
        <v>1.0392201153220704E-2</v>
      </c>
      <c r="R60">
        <v>29.225850001158332</v>
      </c>
    </row>
    <row r="61" spans="2:18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2"/>
        <v>0.11400000000000009</v>
      </c>
      <c r="N61">
        <f t="shared" si="3"/>
        <v>0.12239220115322079</v>
      </c>
      <c r="O61">
        <f t="shared" si="1"/>
        <v>8.3922011532207019E-3</v>
      </c>
      <c r="R61">
        <v>25.210429206722242</v>
      </c>
    </row>
    <row r="62" spans="2:18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2"/>
        <v>0.11600000000000009</v>
      </c>
      <c r="N62">
        <f t="shared" si="3"/>
        <v>0.12372696636509242</v>
      </c>
      <c r="O62">
        <f t="shared" si="1"/>
        <v>7.7269663650923331E-3</v>
      </c>
      <c r="R62">
        <v>19.244809610838281</v>
      </c>
    </row>
    <row r="63" spans="2:18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2"/>
        <v>0.11800000000000009</v>
      </c>
      <c r="N63">
        <f t="shared" si="3"/>
        <v>0.12372696636509242</v>
      </c>
      <c r="O63">
        <f t="shared" si="1"/>
        <v>5.7269663650923314E-3</v>
      </c>
      <c r="R63">
        <v>27.81354724295624</v>
      </c>
    </row>
    <row r="64" spans="2:18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2"/>
        <v>0.12000000000000009</v>
      </c>
      <c r="N64">
        <f t="shared" si="3"/>
        <v>0.12507188988160031</v>
      </c>
      <c r="O64">
        <f t="shared" si="1"/>
        <v>5.0718898816002195E-3</v>
      </c>
      <c r="R64">
        <v>27.719394021621426</v>
      </c>
    </row>
    <row r="65" spans="2:18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2"/>
        <v>0.12200000000000009</v>
      </c>
      <c r="N65">
        <f t="shared" si="3"/>
        <v>0.12574816699356617</v>
      </c>
      <c r="O65">
        <f t="shared" si="1"/>
        <v>3.7481669935660739E-3</v>
      </c>
      <c r="R65">
        <v>24.953693855880314</v>
      </c>
    </row>
    <row r="66" spans="2:18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2"/>
        <v>0.1240000000000001</v>
      </c>
      <c r="N66">
        <f t="shared" si="3"/>
        <v>0.12710836350350999</v>
      </c>
      <c r="O66">
        <f t="shared" si="1"/>
        <v>3.1083635035098894E-3</v>
      </c>
      <c r="R66">
        <v>28.361332109597356</v>
      </c>
    </row>
    <row r="67" spans="2:18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2"/>
        <v>0.12600000000000008</v>
      </c>
      <c r="N67">
        <f t="shared" si="3"/>
        <v>0.12779228739446721</v>
      </c>
      <c r="O67">
        <f t="shared" si="1"/>
        <v>1.7922873944671291E-3</v>
      </c>
      <c r="R67">
        <v>20.389426229841028</v>
      </c>
    </row>
    <row r="68" spans="2:18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2"/>
        <v>0.12800000000000009</v>
      </c>
      <c r="N68">
        <f t="shared" si="3"/>
        <v>0.13055353743959291</v>
      </c>
      <c r="O68">
        <f t="shared" si="1"/>
        <v>2.553537439592829E-3</v>
      </c>
      <c r="R68">
        <v>18.254566470106894</v>
      </c>
    </row>
    <row r="69" spans="2:18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2"/>
        <v>0.13000000000000009</v>
      </c>
      <c r="N69">
        <f t="shared" si="3"/>
        <v>0.13125024886639011</v>
      </c>
      <c r="O69">
        <f t="shared" si="1"/>
        <v>1.2502488663900246E-3</v>
      </c>
      <c r="R69">
        <v>20.33671415183316</v>
      </c>
    </row>
    <row r="70" spans="2:18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2"/>
        <v>0.13200000000000009</v>
      </c>
      <c r="N70">
        <f t="shared" si="3"/>
        <v>0.133355771774545</v>
      </c>
      <c r="O70">
        <f t="shared" ref="O70:O133" si="5">ABS(M70-N70)</f>
        <v>1.355771774544906E-3</v>
      </c>
      <c r="R70">
        <v>23.794703130773634</v>
      </c>
    </row>
    <row r="71" spans="2:18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6">M70+L71</f>
        <v>0.13400000000000009</v>
      </c>
      <c r="N71">
        <f t="shared" ref="N71:N134" si="7">NORMDIST(J71,$E$8,$E$12,1)</f>
        <v>0.13477229588538164</v>
      </c>
      <c r="O71">
        <f t="shared" si="5"/>
        <v>7.7229588538155203E-4</v>
      </c>
      <c r="R71">
        <v>29.263535724448559</v>
      </c>
    </row>
    <row r="72" spans="2:18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6"/>
        <v>0.13600000000000009</v>
      </c>
      <c r="N72">
        <f t="shared" si="7"/>
        <v>0.13477229588538164</v>
      </c>
      <c r="O72">
        <f t="shared" si="5"/>
        <v>1.2277041146184497E-3</v>
      </c>
      <c r="R72">
        <v>19.315594816746113</v>
      </c>
    </row>
    <row r="73" spans="2:18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6"/>
        <v>0.13800000000000009</v>
      </c>
      <c r="N73">
        <f t="shared" si="7"/>
        <v>0.13548441583163523</v>
      </c>
      <c r="O73">
        <f t="shared" si="5"/>
        <v>2.515584168364865E-3</v>
      </c>
      <c r="R73">
        <v>19.186693232285595</v>
      </c>
    </row>
    <row r="74" spans="2:18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6"/>
        <v>0.1400000000000001</v>
      </c>
      <c r="N74">
        <f t="shared" si="7"/>
        <v>0.13691637974702942</v>
      </c>
      <c r="O74">
        <f t="shared" si="5"/>
        <v>3.0836202529706813E-3</v>
      </c>
      <c r="R74">
        <v>22.49265329396124</v>
      </c>
    </row>
    <row r="75" spans="2:18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6"/>
        <v>0.1420000000000001</v>
      </c>
      <c r="N75">
        <f t="shared" si="7"/>
        <v>0.13835865276988099</v>
      </c>
      <c r="O75">
        <f t="shared" si="5"/>
        <v>3.6413472301191074E-3</v>
      </c>
      <c r="R75">
        <v>21.7626082421801</v>
      </c>
    </row>
    <row r="76" spans="2:18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6"/>
        <v>0.1440000000000001</v>
      </c>
      <c r="N76">
        <f t="shared" si="7"/>
        <v>0.13908365891329069</v>
      </c>
      <c r="O76">
        <f t="shared" si="5"/>
        <v>4.9163410867094082E-3</v>
      </c>
      <c r="R76">
        <v>31.800866807767683</v>
      </c>
    </row>
    <row r="77" spans="2:18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6"/>
        <v>0.1460000000000001</v>
      </c>
      <c r="N77">
        <f t="shared" si="7"/>
        <v>0.13908365891329069</v>
      </c>
      <c r="O77">
        <f t="shared" si="5"/>
        <v>6.9163410867094099E-3</v>
      </c>
      <c r="R77">
        <v>16.468974909582514</v>
      </c>
    </row>
    <row r="78" spans="2:18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6"/>
        <v>0.1480000000000001</v>
      </c>
      <c r="N78">
        <f t="shared" si="7"/>
        <v>0.14200951307845724</v>
      </c>
      <c r="O78">
        <f t="shared" si="5"/>
        <v>5.9904869215428591E-3</v>
      </c>
      <c r="R78">
        <v>26.480708690861761</v>
      </c>
    </row>
    <row r="79" spans="2:18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6"/>
        <v>0.15000000000000011</v>
      </c>
      <c r="N79">
        <f t="shared" si="7"/>
        <v>0.1479854492323095</v>
      </c>
      <c r="O79">
        <f t="shared" si="5"/>
        <v>2.0145507676906094E-3</v>
      </c>
      <c r="R79">
        <v>17.612104657507675</v>
      </c>
    </row>
    <row r="80" spans="2:18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6"/>
        <v>0.15200000000000011</v>
      </c>
      <c r="N80">
        <f t="shared" si="7"/>
        <v>0.14874410711565697</v>
      </c>
      <c r="O80">
        <f t="shared" si="5"/>
        <v>3.2558928843431367E-3</v>
      </c>
      <c r="R80">
        <v>19.209551472896351</v>
      </c>
    </row>
    <row r="81" spans="2:18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6"/>
        <v>0.15400000000000011</v>
      </c>
      <c r="N81">
        <f t="shared" si="7"/>
        <v>0.15103565421390616</v>
      </c>
      <c r="O81">
        <f t="shared" si="5"/>
        <v>2.9643457860939471E-3</v>
      </c>
      <c r="R81">
        <v>22.529166137898674</v>
      </c>
    </row>
    <row r="82" spans="2:18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6"/>
        <v>0.15600000000000011</v>
      </c>
      <c r="N82">
        <f t="shared" si="7"/>
        <v>0.15180469645284464</v>
      </c>
      <c r="O82">
        <f t="shared" si="5"/>
        <v>4.1953035471554712E-3</v>
      </c>
      <c r="R82">
        <v>26.252139430230777</v>
      </c>
    </row>
    <row r="83" spans="2:18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6"/>
        <v>0.15800000000000011</v>
      </c>
      <c r="N83">
        <f t="shared" si="7"/>
        <v>0.15335057387662399</v>
      </c>
      <c r="O83">
        <f t="shared" si="5"/>
        <v>4.6494261233761269E-3</v>
      </c>
      <c r="R83">
        <v>21.824301465719195</v>
      </c>
    </row>
    <row r="84" spans="2:18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6"/>
        <v>0.16000000000000011</v>
      </c>
      <c r="N84">
        <f t="shared" si="7"/>
        <v>0.15884300711161303</v>
      </c>
      <c r="O84">
        <f t="shared" si="5"/>
        <v>1.1569928883870817E-3</v>
      </c>
      <c r="R84">
        <v>25.845420301286005</v>
      </c>
    </row>
    <row r="85" spans="2:18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6"/>
        <v>0.16200000000000012</v>
      </c>
      <c r="N85">
        <f t="shared" si="7"/>
        <v>0.15963803823419251</v>
      </c>
      <c r="O85">
        <f t="shared" si="5"/>
        <v>2.3619617658076075E-3</v>
      </c>
      <c r="R85">
        <v>27.987792836632053</v>
      </c>
    </row>
    <row r="86" spans="2:18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6"/>
        <v>0.16400000000000012</v>
      </c>
      <c r="N86">
        <f t="shared" si="7"/>
        <v>0.15963803823419251</v>
      </c>
      <c r="O86">
        <f t="shared" si="5"/>
        <v>4.3619617658076093E-3</v>
      </c>
      <c r="R86">
        <v>31.095037886483084</v>
      </c>
    </row>
    <row r="87" spans="2:18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6"/>
        <v>0.16600000000000012</v>
      </c>
      <c r="N87">
        <f t="shared" si="7"/>
        <v>0.16043566893466141</v>
      </c>
      <c r="O87">
        <f t="shared" si="5"/>
        <v>5.5643310653387124E-3</v>
      </c>
      <c r="R87">
        <v>31.289423294578796</v>
      </c>
    </row>
    <row r="88" spans="2:18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6"/>
        <v>0.16800000000000012</v>
      </c>
      <c r="N88">
        <f t="shared" si="7"/>
        <v>0.16203872862379498</v>
      </c>
      <c r="O88">
        <f t="shared" si="5"/>
        <v>5.9612713762051406E-3</v>
      </c>
      <c r="R88">
        <v>26.332482979327523</v>
      </c>
    </row>
    <row r="89" spans="2:18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6"/>
        <v>0.17000000000000012</v>
      </c>
      <c r="N89">
        <f t="shared" si="7"/>
        <v>0.16284415724888601</v>
      </c>
      <c r="O89">
        <f t="shared" si="5"/>
        <v>7.1558427511141109E-3</v>
      </c>
      <c r="R89">
        <v>20.773613658890774</v>
      </c>
    </row>
    <row r="90" spans="2:18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6"/>
        <v>0.17200000000000013</v>
      </c>
      <c r="N90">
        <f t="shared" si="7"/>
        <v>0.16365218472436682</v>
      </c>
      <c r="O90">
        <f t="shared" si="5"/>
        <v>8.3478152756333024E-3</v>
      </c>
      <c r="R90">
        <v>30.18200715732165</v>
      </c>
    </row>
    <row r="91" spans="2:18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6"/>
        <v>0.17400000000000013</v>
      </c>
      <c r="N91">
        <f t="shared" si="7"/>
        <v>0.16773129154072017</v>
      </c>
      <c r="O91">
        <f t="shared" si="5"/>
        <v>6.2687084592799591E-3</v>
      </c>
      <c r="R91">
        <v>24.133772209152681</v>
      </c>
    </row>
    <row r="92" spans="2:18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6"/>
        <v>0.17600000000000013</v>
      </c>
      <c r="N92">
        <f t="shared" si="7"/>
        <v>0.17104130803136652</v>
      </c>
      <c r="O92">
        <f t="shared" si="5"/>
        <v>4.9586919686336051E-3</v>
      </c>
      <c r="R92">
        <v>14.715339067457883</v>
      </c>
    </row>
    <row r="93" spans="2:18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6"/>
        <v>0.17800000000000013</v>
      </c>
      <c r="N93">
        <f t="shared" si="7"/>
        <v>0.17355104967992374</v>
      </c>
      <c r="O93">
        <f t="shared" si="5"/>
        <v>4.4489503200763891E-3</v>
      </c>
      <c r="R93">
        <v>30.374621807760995</v>
      </c>
    </row>
    <row r="94" spans="2:18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6"/>
        <v>0.18000000000000013</v>
      </c>
      <c r="N94">
        <f t="shared" si="7"/>
        <v>0.17355104967992374</v>
      </c>
      <c r="O94">
        <f t="shared" si="5"/>
        <v>6.4489503200763909E-3</v>
      </c>
      <c r="R94">
        <v>30.770735499766189</v>
      </c>
    </row>
    <row r="95" spans="2:18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6"/>
        <v>0.18200000000000013</v>
      </c>
      <c r="N95">
        <f t="shared" si="7"/>
        <v>0.18122001341607991</v>
      </c>
      <c r="O95">
        <f t="shared" si="5"/>
        <v>7.7998658392022802E-4</v>
      </c>
      <c r="R95">
        <v>22.649413291378302</v>
      </c>
    </row>
    <row r="96" spans="2:18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6"/>
        <v>0.18400000000000014</v>
      </c>
      <c r="N96">
        <f t="shared" si="7"/>
        <v>0.18208503144714264</v>
      </c>
      <c r="O96">
        <f t="shared" si="5"/>
        <v>1.9149685528574989E-3</v>
      </c>
      <c r="R96">
        <v>19.057303237309085</v>
      </c>
    </row>
    <row r="97" spans="2:18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6"/>
        <v>0.18600000000000014</v>
      </c>
      <c r="N97">
        <f t="shared" si="7"/>
        <v>0.18557085368835646</v>
      </c>
      <c r="O97">
        <f t="shared" si="5"/>
        <v>4.2914631164367445E-4</v>
      </c>
      <c r="R97">
        <v>29.286094200850322</v>
      </c>
    </row>
    <row r="98" spans="2:18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6"/>
        <v>0.18800000000000014</v>
      </c>
      <c r="N98">
        <f t="shared" si="7"/>
        <v>0.18644873795831446</v>
      </c>
      <c r="O98">
        <f t="shared" si="5"/>
        <v>1.5512620416856804E-3</v>
      </c>
      <c r="R98">
        <v>27.2237919625126</v>
      </c>
    </row>
    <row r="99" spans="2:18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6"/>
        <v>0.19000000000000014</v>
      </c>
      <c r="N99">
        <f t="shared" si="7"/>
        <v>0.18821220775370834</v>
      </c>
      <c r="O99">
        <f t="shared" si="5"/>
        <v>1.7877922462918028E-3</v>
      </c>
      <c r="R99">
        <v>17.366367503677694</v>
      </c>
    </row>
    <row r="100" spans="2:18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6"/>
        <v>0.19200000000000014</v>
      </c>
      <c r="N100">
        <f t="shared" si="7"/>
        <v>0.18998593240919395</v>
      </c>
      <c r="O100">
        <f t="shared" si="5"/>
        <v>2.01406759080619E-3</v>
      </c>
      <c r="R100">
        <v>24.115317735794669</v>
      </c>
    </row>
    <row r="101" spans="2:18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6"/>
        <v>0.19400000000000014</v>
      </c>
      <c r="N101">
        <f t="shared" si="7"/>
        <v>0.19087663502521202</v>
      </c>
      <c r="O101">
        <f t="shared" si="5"/>
        <v>3.1233649747881287E-3</v>
      </c>
      <c r="R101">
        <v>16.305037728391202</v>
      </c>
    </row>
    <row r="102" spans="2:18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6"/>
        <v>0.19600000000000015</v>
      </c>
      <c r="N102">
        <f t="shared" si="7"/>
        <v>0.19176989489267413</v>
      </c>
      <c r="O102">
        <f t="shared" si="5"/>
        <v>4.230105107326021E-3</v>
      </c>
      <c r="R102">
        <v>29.382505156009035</v>
      </c>
    </row>
    <row r="103" spans="2:18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6"/>
        <v>0.19800000000000015</v>
      </c>
      <c r="N103">
        <f t="shared" si="7"/>
        <v>0.19266570972929958</v>
      </c>
      <c r="O103">
        <f t="shared" si="5"/>
        <v>5.3342902707005646E-3</v>
      </c>
      <c r="R103">
        <v>15.128221342067478</v>
      </c>
    </row>
    <row r="104" spans="2:18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6"/>
        <v>0.20000000000000015</v>
      </c>
      <c r="N104">
        <f t="shared" si="7"/>
        <v>0.19266570972929958</v>
      </c>
      <c r="O104">
        <f t="shared" si="5"/>
        <v>7.3342902707005664E-3</v>
      </c>
      <c r="R104">
        <v>18.904340366565282</v>
      </c>
    </row>
    <row r="105" spans="2:18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6"/>
        <v>0.20200000000000015</v>
      </c>
      <c r="N105">
        <f t="shared" si="7"/>
        <v>0.19536846030816563</v>
      </c>
      <c r="O105">
        <f t="shared" si="5"/>
        <v>6.631539691834526E-3</v>
      </c>
      <c r="R105">
        <v>30.74318565882978</v>
      </c>
    </row>
    <row r="106" spans="2:18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6"/>
        <v>0.20400000000000015</v>
      </c>
      <c r="N106">
        <f t="shared" si="7"/>
        <v>0.19536846030816563</v>
      </c>
      <c r="O106">
        <f t="shared" si="5"/>
        <v>8.6315396918345277E-3</v>
      </c>
      <c r="R106">
        <v>18.236510356599496</v>
      </c>
    </row>
    <row r="107" spans="2:18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6"/>
        <v>0.20600000000000016</v>
      </c>
      <c r="N107">
        <f t="shared" si="7"/>
        <v>0.20361386037050949</v>
      </c>
      <c r="O107">
        <f t="shared" si="5"/>
        <v>2.3861396294906634E-3</v>
      </c>
      <c r="R107">
        <v>14.361897021975599</v>
      </c>
    </row>
    <row r="108" spans="2:18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6"/>
        <v>0.20800000000000016</v>
      </c>
      <c r="N108">
        <f t="shared" si="7"/>
        <v>0.2082829612544716</v>
      </c>
      <c r="O108">
        <f t="shared" si="5"/>
        <v>2.8296125447144216E-4</v>
      </c>
      <c r="R108">
        <v>29.32497362891537</v>
      </c>
    </row>
    <row r="109" spans="2:18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6"/>
        <v>0.21000000000000016</v>
      </c>
      <c r="N109">
        <f t="shared" si="7"/>
        <v>0.2082829612544716</v>
      </c>
      <c r="O109">
        <f t="shared" si="5"/>
        <v>1.7170387455285596E-3</v>
      </c>
      <c r="R109">
        <v>22.790696341463367</v>
      </c>
    </row>
    <row r="110" spans="2:18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6"/>
        <v>0.21200000000000016</v>
      </c>
      <c r="N110">
        <f t="shared" si="7"/>
        <v>0.2092243047031126</v>
      </c>
      <c r="O110">
        <f t="shared" si="5"/>
        <v>2.7756952968875648E-3</v>
      </c>
      <c r="R110">
        <v>23.840184085386344</v>
      </c>
    </row>
    <row r="111" spans="2:18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6"/>
        <v>0.21400000000000016</v>
      </c>
      <c r="N111">
        <f t="shared" si="7"/>
        <v>0.2092243047031126</v>
      </c>
      <c r="O111">
        <f t="shared" si="5"/>
        <v>4.7756952968875666E-3</v>
      </c>
      <c r="R111">
        <v>30.904965444991355</v>
      </c>
    </row>
    <row r="112" spans="2:18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6"/>
        <v>0.21600000000000016</v>
      </c>
      <c r="N112">
        <f t="shared" si="7"/>
        <v>0.21016814796932942</v>
      </c>
      <c r="O112">
        <f t="shared" si="5"/>
        <v>5.8318520306707422E-3</v>
      </c>
      <c r="R112">
        <v>16.059309732475885</v>
      </c>
    </row>
    <row r="113" spans="2:18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6"/>
        <v>0.21800000000000017</v>
      </c>
      <c r="N113">
        <f t="shared" si="7"/>
        <v>0.21111448752450593</v>
      </c>
      <c r="O113">
        <f t="shared" si="5"/>
        <v>6.8855124754942376E-3</v>
      </c>
      <c r="R113">
        <v>15.093840553191786</v>
      </c>
    </row>
    <row r="114" spans="2:18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6"/>
        <v>0.22000000000000017</v>
      </c>
      <c r="N114">
        <f t="shared" si="7"/>
        <v>0.21206331977698378</v>
      </c>
      <c r="O114">
        <f t="shared" si="5"/>
        <v>7.9366802230163846E-3</v>
      </c>
      <c r="R114">
        <v>15.506674488931234</v>
      </c>
    </row>
    <row r="115" spans="2:18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6"/>
        <v>0.22200000000000017</v>
      </c>
      <c r="N115">
        <f t="shared" si="7"/>
        <v>0.21206331977698378</v>
      </c>
      <c r="O115">
        <f t="shared" si="5"/>
        <v>9.9366802230163864E-3</v>
      </c>
      <c r="R115">
        <v>32.447092584111658</v>
      </c>
    </row>
    <row r="116" spans="2:18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6"/>
        <v>0.22400000000000017</v>
      </c>
      <c r="N116">
        <f t="shared" si="7"/>
        <v>0.21396844769170772</v>
      </c>
      <c r="O116">
        <f t="shared" si="5"/>
        <v>1.0031552308292446E-2</v>
      </c>
      <c r="R116">
        <v>17.945646304012421</v>
      </c>
    </row>
    <row r="117" spans="2:18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6"/>
        <v>0.22600000000000017</v>
      </c>
      <c r="N117">
        <f t="shared" si="7"/>
        <v>0.21974326305956488</v>
      </c>
      <c r="O117">
        <f t="shared" si="5"/>
        <v>6.2567369404352979E-3</v>
      </c>
      <c r="R117">
        <v>24.040589204073751</v>
      </c>
    </row>
    <row r="118" spans="2:18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6"/>
        <v>0.22800000000000017</v>
      </c>
      <c r="N118">
        <f t="shared" si="7"/>
        <v>0.22168790532094151</v>
      </c>
      <c r="O118">
        <f t="shared" si="5"/>
        <v>6.3120946790586607E-3</v>
      </c>
      <c r="R118">
        <v>15.753014139515312</v>
      </c>
    </row>
    <row r="119" spans="2:18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6"/>
        <v>0.23000000000000018</v>
      </c>
      <c r="N119">
        <f t="shared" si="7"/>
        <v>0.22266390211922102</v>
      </c>
      <c r="O119">
        <f t="shared" si="5"/>
        <v>7.3360978807791577E-3</v>
      </c>
      <c r="R119">
        <v>29.1262723672262</v>
      </c>
    </row>
    <row r="120" spans="2:18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6"/>
        <v>0.23200000000000018</v>
      </c>
      <c r="N120">
        <f t="shared" si="7"/>
        <v>0.22364234358192692</v>
      </c>
      <c r="O120">
        <f t="shared" si="5"/>
        <v>8.3576564180732615E-3</v>
      </c>
      <c r="R120">
        <v>28.160831360330569</v>
      </c>
    </row>
    <row r="121" spans="2:18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6"/>
        <v>0.23400000000000018</v>
      </c>
      <c r="N121">
        <f t="shared" si="7"/>
        <v>0.23055950557478094</v>
      </c>
      <c r="O121">
        <f t="shared" si="5"/>
        <v>3.4404944252192371E-3</v>
      </c>
      <c r="R121">
        <v>32.448893884834725</v>
      </c>
    </row>
    <row r="122" spans="2:18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6"/>
        <v>0.23600000000000018</v>
      </c>
      <c r="N122">
        <f t="shared" si="7"/>
        <v>0.23155734008257939</v>
      </c>
      <c r="O122">
        <f t="shared" si="5"/>
        <v>4.4426599174207937E-3</v>
      </c>
      <c r="R122">
        <v>26.104203858217303</v>
      </c>
    </row>
    <row r="123" spans="2:18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6"/>
        <v>0.23800000000000018</v>
      </c>
      <c r="N123">
        <f t="shared" si="7"/>
        <v>0.23155734008257939</v>
      </c>
      <c r="O123">
        <f t="shared" si="5"/>
        <v>6.4426599174207955E-3</v>
      </c>
      <c r="R123">
        <v>21.160412464361062</v>
      </c>
    </row>
    <row r="124" spans="2:18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6"/>
        <v>0.24000000000000019</v>
      </c>
      <c r="N124">
        <f t="shared" si="7"/>
        <v>0.23356021204273336</v>
      </c>
      <c r="O124">
        <f t="shared" si="5"/>
        <v>6.4397879572668237E-3</v>
      </c>
      <c r="R124">
        <v>29.762871088173565</v>
      </c>
    </row>
    <row r="125" spans="2:18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6"/>
        <v>0.24200000000000019</v>
      </c>
      <c r="N125">
        <f t="shared" si="7"/>
        <v>0.23356021204273336</v>
      </c>
      <c r="O125">
        <f t="shared" si="5"/>
        <v>8.4397879572668255E-3</v>
      </c>
      <c r="R125">
        <v>17.467979429226872</v>
      </c>
    </row>
    <row r="126" spans="2:18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6"/>
        <v>0.24400000000000019</v>
      </c>
      <c r="N126">
        <f t="shared" si="7"/>
        <v>0.23557265436674873</v>
      </c>
      <c r="O126">
        <f t="shared" si="5"/>
        <v>8.427345633251454E-3</v>
      </c>
      <c r="R126">
        <v>21.881699167468934</v>
      </c>
    </row>
    <row r="127" spans="2:18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6"/>
        <v>0.24600000000000019</v>
      </c>
      <c r="N127">
        <f t="shared" si="7"/>
        <v>0.23557265436674873</v>
      </c>
      <c r="O127">
        <f t="shared" si="5"/>
        <v>1.0427345633251456E-2</v>
      </c>
      <c r="R127">
        <v>20.762400822795794</v>
      </c>
    </row>
    <row r="128" spans="2:18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6"/>
        <v>0.24800000000000019</v>
      </c>
      <c r="N128">
        <f t="shared" si="7"/>
        <v>0.2396260844348071</v>
      </c>
      <c r="O128">
        <f t="shared" si="5"/>
        <v>8.3739155651930963E-3</v>
      </c>
      <c r="R128">
        <v>31.846201864785414</v>
      </c>
    </row>
    <row r="129" spans="2:18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6"/>
        <v>0.25000000000000017</v>
      </c>
      <c r="N129">
        <f t="shared" si="7"/>
        <v>0.24577694516758181</v>
      </c>
      <c r="O129">
        <f t="shared" si="5"/>
        <v>4.2230548324183603E-3</v>
      </c>
      <c r="R129">
        <v>14.32999451087213</v>
      </c>
    </row>
    <row r="130" spans="2:18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6"/>
        <v>0.25200000000000017</v>
      </c>
      <c r="N130">
        <f t="shared" si="7"/>
        <v>0.24681026684532781</v>
      </c>
      <c r="O130">
        <f t="shared" si="5"/>
        <v>5.1897331546723602E-3</v>
      </c>
      <c r="R130">
        <v>22.979612088694083</v>
      </c>
    </row>
    <row r="131" spans="2:18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6"/>
        <v>0.25400000000000017</v>
      </c>
      <c r="N131">
        <f t="shared" si="7"/>
        <v>0.24992413515391682</v>
      </c>
      <c r="O131">
        <f t="shared" si="5"/>
        <v>4.0758648460833546E-3</v>
      </c>
      <c r="R131">
        <v>29.638336563837118</v>
      </c>
    </row>
    <row r="132" spans="2:18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6"/>
        <v>0.25600000000000017</v>
      </c>
      <c r="N132">
        <f t="shared" si="7"/>
        <v>0.25096670568079732</v>
      </c>
      <c r="O132">
        <f t="shared" si="5"/>
        <v>5.0332943192028523E-3</v>
      </c>
      <c r="R132">
        <v>24.136841755663138</v>
      </c>
    </row>
    <row r="133" spans="2:18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6"/>
        <v>0.25800000000000017</v>
      </c>
      <c r="N133">
        <f t="shared" si="7"/>
        <v>0.25621388939691075</v>
      </c>
      <c r="O133">
        <f t="shared" si="5"/>
        <v>1.7861106030894192E-3</v>
      </c>
      <c r="R133">
        <v>29.047208358916382</v>
      </c>
    </row>
    <row r="134" spans="2:18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6"/>
        <v>0.26000000000000018</v>
      </c>
      <c r="N134">
        <f t="shared" si="7"/>
        <v>0.25727014815271509</v>
      </c>
      <c r="O134">
        <f t="shared" ref="O134:O197" si="9">ABS(M134-N134)</f>
        <v>2.7298518472850808E-3</v>
      </c>
      <c r="R134">
        <v>32.573600378000783</v>
      </c>
    </row>
    <row r="135" spans="2:18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0">M134+L135</f>
        <v>0.26200000000000018</v>
      </c>
      <c r="N135">
        <f t="shared" ref="N135:N198" si="11">NORMDIST(J135,$E$8,$E$12,1)</f>
        <v>0.25832866588558911</v>
      </c>
      <c r="O135">
        <f t="shared" si="9"/>
        <v>3.6713341144110623E-3</v>
      </c>
      <c r="R135">
        <v>14.913646935693622</v>
      </c>
    </row>
    <row r="136" spans="2:18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0"/>
        <v>0.26400000000000018</v>
      </c>
      <c r="N136">
        <f t="shared" si="11"/>
        <v>0.26151770698151455</v>
      </c>
      <c r="O136">
        <f t="shared" si="9"/>
        <v>2.4822930184856262E-3</v>
      </c>
      <c r="R136">
        <v>27.358521969370805</v>
      </c>
    </row>
    <row r="137" spans="2:18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0"/>
        <v>0.26600000000000018</v>
      </c>
      <c r="N137">
        <f t="shared" si="11"/>
        <v>0.26472683877921771</v>
      </c>
      <c r="O137">
        <f t="shared" si="9"/>
        <v>1.2731612207824705E-3</v>
      </c>
      <c r="R137">
        <v>15.213077393961548</v>
      </c>
    </row>
    <row r="138" spans="2:18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0"/>
        <v>0.26800000000000018</v>
      </c>
      <c r="N138">
        <f t="shared" si="11"/>
        <v>0.26795587561396172</v>
      </c>
      <c r="O138">
        <f t="shared" si="9"/>
        <v>4.4124386038457697E-5</v>
      </c>
      <c r="R138">
        <v>17.49276051430996</v>
      </c>
    </row>
    <row r="139" spans="2:18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0"/>
        <v>0.27000000000000018</v>
      </c>
      <c r="N139">
        <f t="shared" si="11"/>
        <v>0.2712046268083671</v>
      </c>
      <c r="O139">
        <f t="shared" si="9"/>
        <v>1.2046268083669154E-3</v>
      </c>
      <c r="R139">
        <v>30.592295566244246</v>
      </c>
    </row>
    <row r="140" spans="2:18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0"/>
        <v>0.27200000000000019</v>
      </c>
      <c r="N140">
        <f t="shared" si="11"/>
        <v>0.27229189116645791</v>
      </c>
      <c r="O140">
        <f t="shared" si="9"/>
        <v>2.9189116645772506E-4</v>
      </c>
      <c r="R140">
        <v>15.686816991445742</v>
      </c>
    </row>
    <row r="141" spans="2:18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0"/>
        <v>0.27400000000000019</v>
      </c>
      <c r="N141">
        <f t="shared" si="11"/>
        <v>0.27229189116645791</v>
      </c>
      <c r="O141">
        <f t="shared" si="9"/>
        <v>1.7081088335422767E-3</v>
      </c>
      <c r="R141">
        <v>28.743637660820305</v>
      </c>
    </row>
    <row r="142" spans="2:18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0"/>
        <v>0.27600000000000019</v>
      </c>
      <c r="N142">
        <f t="shared" si="11"/>
        <v>0.27447289669704034</v>
      </c>
      <c r="O142">
        <f t="shared" si="9"/>
        <v>1.5271033029598535E-3</v>
      </c>
      <c r="R142">
        <v>25.398946478964302</v>
      </c>
    </row>
    <row r="143" spans="2:18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0"/>
        <v>0.27800000000000019</v>
      </c>
      <c r="N143">
        <f t="shared" si="11"/>
        <v>0.27556662294703749</v>
      </c>
      <c r="O143">
        <f t="shared" si="9"/>
        <v>2.4333770529627041E-3</v>
      </c>
      <c r="R143">
        <v>20.854827040956007</v>
      </c>
    </row>
    <row r="144" spans="2:18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0"/>
        <v>0.28000000000000019</v>
      </c>
      <c r="N144">
        <f t="shared" si="11"/>
        <v>0.27666248813693117</v>
      </c>
      <c r="O144">
        <f t="shared" si="9"/>
        <v>3.3375118630690204E-3</v>
      </c>
      <c r="R144">
        <v>21.862553219802457</v>
      </c>
    </row>
    <row r="145" spans="2:18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0"/>
        <v>0.28200000000000019</v>
      </c>
      <c r="N145">
        <f t="shared" si="11"/>
        <v>0.27886060482203817</v>
      </c>
      <c r="O145">
        <f t="shared" si="9"/>
        <v>3.1393951779620233E-3</v>
      </c>
      <c r="R145">
        <v>15.218798189411059</v>
      </c>
    </row>
    <row r="146" spans="2:18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0"/>
        <v>0.2840000000000002</v>
      </c>
      <c r="N146">
        <f t="shared" si="11"/>
        <v>0.28217362959486758</v>
      </c>
      <c r="O146">
        <f t="shared" si="9"/>
        <v>1.8263704051326157E-3</v>
      </c>
      <c r="R146">
        <v>17.191858881213385</v>
      </c>
    </row>
    <row r="147" spans="2:18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0"/>
        <v>0.2860000000000002</v>
      </c>
      <c r="N147">
        <f t="shared" si="11"/>
        <v>0.28328216642404724</v>
      </c>
      <c r="O147">
        <f t="shared" si="9"/>
        <v>2.7178335759529548E-3</v>
      </c>
      <c r="R147">
        <v>14.569270369499888</v>
      </c>
    </row>
    <row r="148" spans="2:18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0"/>
        <v>0.2880000000000002</v>
      </c>
      <c r="N148">
        <f t="shared" si="11"/>
        <v>0.28439278763016218</v>
      </c>
      <c r="O148">
        <f t="shared" si="9"/>
        <v>3.6072123698380198E-3</v>
      </c>
      <c r="R148">
        <v>30.065553692544096</v>
      </c>
    </row>
    <row r="149" spans="2:18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0"/>
        <v>0.2900000000000002</v>
      </c>
      <c r="N149">
        <f t="shared" si="11"/>
        <v>0.2855054851780775</v>
      </c>
      <c r="O149">
        <f t="shared" si="9"/>
        <v>4.4945148219227016E-3</v>
      </c>
      <c r="R149">
        <v>31.626929543343017</v>
      </c>
    </row>
    <row r="150" spans="2:18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0"/>
        <v>0.2920000000000002</v>
      </c>
      <c r="N150">
        <f t="shared" si="11"/>
        <v>0.28773707686053562</v>
      </c>
      <c r="O150">
        <f t="shared" si="9"/>
        <v>4.2629231394645806E-3</v>
      </c>
      <c r="R150">
        <v>22.996977983111961</v>
      </c>
    </row>
    <row r="151" spans="2:18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0"/>
        <v>0.29400000000000021</v>
      </c>
      <c r="N151">
        <f t="shared" si="11"/>
        <v>0.28773707686053562</v>
      </c>
      <c r="O151">
        <f t="shared" si="9"/>
        <v>6.2629231394645823E-3</v>
      </c>
      <c r="R151">
        <v>27.403529562601783</v>
      </c>
    </row>
    <row r="152" spans="2:18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0"/>
        <v>0.29600000000000021</v>
      </c>
      <c r="N152">
        <f t="shared" si="11"/>
        <v>0.28773707686053562</v>
      </c>
      <c r="O152">
        <f t="shared" si="9"/>
        <v>8.2629231394645841E-3</v>
      </c>
      <c r="R152">
        <v>21.36563686921356</v>
      </c>
    </row>
    <row r="153" spans="2:18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0"/>
        <v>0.29800000000000021</v>
      </c>
      <c r="N153">
        <f t="shared" si="11"/>
        <v>0.28885595462702324</v>
      </c>
      <c r="O153">
        <f t="shared" si="9"/>
        <v>9.1440453729769722E-3</v>
      </c>
      <c r="R153">
        <v>21.851531945830605</v>
      </c>
    </row>
    <row r="154" spans="2:18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0"/>
        <v>0.30000000000000021</v>
      </c>
      <c r="N154">
        <f t="shared" si="11"/>
        <v>0.28997687599950928</v>
      </c>
      <c r="O154">
        <f t="shared" si="9"/>
        <v>1.0023124000490935E-2</v>
      </c>
      <c r="R154">
        <v>23.06690692888704</v>
      </c>
    </row>
    <row r="155" spans="2:18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0"/>
        <v>0.30200000000000021</v>
      </c>
      <c r="N155">
        <f t="shared" si="11"/>
        <v>0.29222481617559365</v>
      </c>
      <c r="O155">
        <f t="shared" si="9"/>
        <v>9.7751838244065636E-3</v>
      </c>
      <c r="R155">
        <v>30.487755574801476</v>
      </c>
    </row>
    <row r="156" spans="2:18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0"/>
        <v>0.30400000000000021</v>
      </c>
      <c r="N156">
        <f t="shared" si="11"/>
        <v>0.29561184327401457</v>
      </c>
      <c r="O156">
        <f t="shared" si="9"/>
        <v>8.3881567259856404E-3</v>
      </c>
      <c r="R156">
        <v>19.527931163981322</v>
      </c>
    </row>
    <row r="157" spans="2:18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0"/>
        <v>0.30600000000000022</v>
      </c>
      <c r="N157">
        <f t="shared" si="11"/>
        <v>0.29561184327401457</v>
      </c>
      <c r="O157">
        <f t="shared" si="9"/>
        <v>1.0388156725985642E-2</v>
      </c>
      <c r="R157">
        <v>25.103393599113502</v>
      </c>
    </row>
    <row r="158" spans="2:18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0"/>
        <v>0.30800000000000022</v>
      </c>
      <c r="N158">
        <f t="shared" si="11"/>
        <v>0.29787983928668682</v>
      </c>
      <c r="O158">
        <f t="shared" si="9"/>
        <v>1.0120160713313398E-2</v>
      </c>
      <c r="R158">
        <v>16.496928898517613</v>
      </c>
    </row>
    <row r="159" spans="2:18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0"/>
        <v>0.31000000000000022</v>
      </c>
      <c r="N159">
        <f t="shared" si="11"/>
        <v>0.30243946424424223</v>
      </c>
      <c r="O159">
        <f t="shared" si="9"/>
        <v>7.5605357557579911E-3</v>
      </c>
      <c r="R159">
        <v>26.899304923666818</v>
      </c>
    </row>
    <row r="160" spans="2:18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0"/>
        <v>0.31200000000000022</v>
      </c>
      <c r="N160">
        <f t="shared" si="11"/>
        <v>0.30358424226849867</v>
      </c>
      <c r="O160">
        <f t="shared" si="9"/>
        <v>8.4157577315015497E-3</v>
      </c>
      <c r="R160">
        <v>31.983376192481138</v>
      </c>
    </row>
    <row r="161" spans="2:18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0"/>
        <v>0.31400000000000022</v>
      </c>
      <c r="N161">
        <f t="shared" si="11"/>
        <v>0.30473095103752734</v>
      </c>
      <c r="O161">
        <f t="shared" si="9"/>
        <v>9.2690489624728811E-3</v>
      </c>
      <c r="R161">
        <v>25.004069794448469</v>
      </c>
    </row>
    <row r="162" spans="2:18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0"/>
        <v>0.31600000000000023</v>
      </c>
      <c r="N162">
        <f t="shared" si="11"/>
        <v>0.30587958146723038</v>
      </c>
      <c r="O162">
        <f t="shared" si="9"/>
        <v>1.0120418532769848E-2</v>
      </c>
      <c r="R162">
        <v>15.004661189182276</v>
      </c>
    </row>
    <row r="163" spans="2:18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0"/>
        <v>0.31800000000000023</v>
      </c>
      <c r="N163">
        <f t="shared" si="11"/>
        <v>0.30587958146723038</v>
      </c>
      <c r="O163">
        <f t="shared" si="9"/>
        <v>1.212041853276985E-2</v>
      </c>
      <c r="R163">
        <v>32.090401843495329</v>
      </c>
    </row>
    <row r="164" spans="2:18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0"/>
        <v>0.32000000000000023</v>
      </c>
      <c r="N164">
        <f t="shared" si="11"/>
        <v>0.30703012441696326</v>
      </c>
      <c r="O164">
        <f t="shared" si="9"/>
        <v>1.2969875583036972E-2</v>
      </c>
      <c r="R164">
        <v>31.929117769686428</v>
      </c>
    </row>
    <row r="165" spans="2:18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0"/>
        <v>0.32200000000000023</v>
      </c>
      <c r="N165">
        <f t="shared" si="11"/>
        <v>0.30703012441696326</v>
      </c>
      <c r="O165">
        <f t="shared" si="9"/>
        <v>1.4969875583036973E-2</v>
      </c>
      <c r="R165">
        <v>24.729286973297484</v>
      </c>
    </row>
    <row r="166" spans="2:18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0"/>
        <v>0.32400000000000023</v>
      </c>
      <c r="N166">
        <f t="shared" si="11"/>
        <v>0.30703012441696326</v>
      </c>
      <c r="O166">
        <f t="shared" si="9"/>
        <v>1.6969875583036975E-2</v>
      </c>
      <c r="R166">
        <v>20.445648731603164</v>
      </c>
    </row>
    <row r="167" spans="2:18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0"/>
        <v>0.32600000000000023</v>
      </c>
      <c r="N167">
        <f t="shared" si="11"/>
        <v>0.30818257068973154</v>
      </c>
      <c r="O167">
        <f t="shared" si="9"/>
        <v>1.7817429310268695E-2</v>
      </c>
      <c r="R167">
        <v>18.678287297753666</v>
      </c>
    </row>
    <row r="168" spans="2:18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0"/>
        <v>0.32800000000000024</v>
      </c>
      <c r="N168">
        <f t="shared" si="11"/>
        <v>0.31165123663538274</v>
      </c>
      <c r="O168">
        <f t="shared" si="9"/>
        <v>1.6348763364617491E-2</v>
      </c>
      <c r="R168">
        <v>25.373894289318692</v>
      </c>
    </row>
    <row r="169" spans="2:18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0"/>
        <v>0.33000000000000024</v>
      </c>
      <c r="N169">
        <f t="shared" si="11"/>
        <v>0.31165123663538274</v>
      </c>
      <c r="O169">
        <f t="shared" si="9"/>
        <v>1.8348763364617493E-2</v>
      </c>
      <c r="R169">
        <v>25.58924327449536</v>
      </c>
    </row>
    <row r="170" spans="2:18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0"/>
        <v>0.33200000000000024</v>
      </c>
      <c r="N170">
        <f t="shared" si="11"/>
        <v>0.31165123663538274</v>
      </c>
      <c r="O170">
        <f t="shared" si="9"/>
        <v>2.0348763364617495E-2</v>
      </c>
      <c r="R170">
        <v>15.584563395550056</v>
      </c>
    </row>
    <row r="171" spans="2:18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0"/>
        <v>0.33400000000000024</v>
      </c>
      <c r="N171">
        <f t="shared" si="11"/>
        <v>0.31281120311056737</v>
      </c>
      <c r="O171">
        <f t="shared" si="9"/>
        <v>2.118879688943287E-2</v>
      </c>
      <c r="R171">
        <v>16.465977193696666</v>
      </c>
    </row>
    <row r="172" spans="2:18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0"/>
        <v>0.33600000000000024</v>
      </c>
      <c r="N172">
        <f t="shared" si="11"/>
        <v>0.3139730260858058</v>
      </c>
      <c r="O172">
        <f t="shared" si="9"/>
        <v>2.2026973914194448E-2</v>
      </c>
      <c r="R172">
        <v>31.805064528980871</v>
      </c>
    </row>
    <row r="173" spans="2:18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0"/>
        <v>0.33800000000000024</v>
      </c>
      <c r="N173">
        <f t="shared" si="11"/>
        <v>0.3151366960303793</v>
      </c>
      <c r="O173">
        <f t="shared" si="9"/>
        <v>2.2863303969620941E-2</v>
      </c>
      <c r="R173">
        <v>20.969659588994219</v>
      </c>
    </row>
    <row r="174" spans="2:18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0"/>
        <v>0.34000000000000025</v>
      </c>
      <c r="N174">
        <f t="shared" si="11"/>
        <v>0.31630220335869902</v>
      </c>
      <c r="O174">
        <f t="shared" si="9"/>
        <v>2.3697796641301228E-2</v>
      </c>
      <c r="R174">
        <v>25.85474070490055</v>
      </c>
    </row>
    <row r="175" spans="2:18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0"/>
        <v>0.34200000000000025</v>
      </c>
      <c r="N175">
        <f t="shared" si="11"/>
        <v>0.31863869155122049</v>
      </c>
      <c r="O175">
        <f t="shared" si="9"/>
        <v>2.3361308448779761E-2</v>
      </c>
      <c r="R175">
        <v>30.823696307422736</v>
      </c>
    </row>
    <row r="176" spans="2:18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0"/>
        <v>0.34400000000000025</v>
      </c>
      <c r="N176">
        <f t="shared" si="11"/>
        <v>0.32215696144835604</v>
      </c>
      <c r="O176">
        <f t="shared" si="9"/>
        <v>2.1843038551644212E-2</v>
      </c>
      <c r="R176">
        <v>24.767876560837379</v>
      </c>
    </row>
    <row r="177" spans="2:18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0"/>
        <v>0.34600000000000025</v>
      </c>
      <c r="N177">
        <f t="shared" si="11"/>
        <v>0.32333328873751777</v>
      </c>
      <c r="O177">
        <f t="shared" si="9"/>
        <v>2.2666711262482486E-2</v>
      </c>
      <c r="R177">
        <v>22.740171956894336</v>
      </c>
    </row>
    <row r="178" spans="2:18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0"/>
        <v>0.34800000000000025</v>
      </c>
      <c r="N178">
        <f t="shared" si="11"/>
        <v>0.32569123960150065</v>
      </c>
      <c r="O178">
        <f t="shared" si="9"/>
        <v>2.2308760398499605E-2</v>
      </c>
      <c r="R178">
        <v>16.588249266944139</v>
      </c>
    </row>
    <row r="179" spans="2:18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0"/>
        <v>0.35000000000000026</v>
      </c>
      <c r="N179">
        <f t="shared" si="11"/>
        <v>0.32687284309093334</v>
      </c>
      <c r="O179">
        <f t="shared" si="9"/>
        <v>2.3127156909066915E-2</v>
      </c>
      <c r="R179">
        <v>20.824913583315904</v>
      </c>
    </row>
    <row r="180" spans="2:18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0"/>
        <v>0.35200000000000026</v>
      </c>
      <c r="N180">
        <f t="shared" si="11"/>
        <v>0.32805618514069557</v>
      </c>
      <c r="O180">
        <f t="shared" si="9"/>
        <v>2.3943814859304691E-2</v>
      </c>
      <c r="R180">
        <v>28.211847069116555</v>
      </c>
    </row>
    <row r="181" spans="2:18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0"/>
        <v>0.35400000000000026</v>
      </c>
      <c r="N181">
        <f t="shared" si="11"/>
        <v>0.33042804417365557</v>
      </c>
      <c r="O181">
        <f t="shared" si="9"/>
        <v>2.3571955826344693E-2</v>
      </c>
      <c r="R181">
        <v>22.800721487215398</v>
      </c>
    </row>
    <row r="182" spans="2:18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0"/>
        <v>0.35600000000000026</v>
      </c>
      <c r="N182">
        <f t="shared" si="11"/>
        <v>0.33042804417365557</v>
      </c>
      <c r="O182">
        <f t="shared" si="9"/>
        <v>2.5571955826344694E-2</v>
      </c>
      <c r="R182">
        <v>24.908917302912833</v>
      </c>
    </row>
    <row r="183" spans="2:18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0"/>
        <v>0.35800000000000026</v>
      </c>
      <c r="N183">
        <f t="shared" si="11"/>
        <v>0.33758427798420632</v>
      </c>
      <c r="O183">
        <f t="shared" si="9"/>
        <v>2.0415722015793947E-2</v>
      </c>
      <c r="R183">
        <v>16.250009004413148</v>
      </c>
    </row>
    <row r="184" spans="2:18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0"/>
        <v>0.36000000000000026</v>
      </c>
      <c r="N184">
        <f t="shared" si="11"/>
        <v>0.33878280306329117</v>
      </c>
      <c r="O184">
        <f t="shared" si="9"/>
        <v>2.1217196936709093E-2</v>
      </c>
      <c r="R184">
        <v>28.76925396686137</v>
      </c>
    </row>
    <row r="185" spans="2:18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0"/>
        <v>0.36200000000000027</v>
      </c>
      <c r="N185">
        <f t="shared" si="11"/>
        <v>0.34359314142352004</v>
      </c>
      <c r="O185">
        <f t="shared" si="9"/>
        <v>1.8406858576480223E-2</v>
      </c>
      <c r="R185">
        <v>15.563913733070892</v>
      </c>
    </row>
    <row r="186" spans="2:18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0"/>
        <v>0.36400000000000027</v>
      </c>
      <c r="N186">
        <f t="shared" si="11"/>
        <v>0.34359314142352004</v>
      </c>
      <c r="O186">
        <f t="shared" si="9"/>
        <v>2.0406858576480225E-2</v>
      </c>
      <c r="R186">
        <v>18.604461666235853</v>
      </c>
    </row>
    <row r="187" spans="2:18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0"/>
        <v>0.36600000000000027</v>
      </c>
      <c r="N187">
        <f t="shared" si="11"/>
        <v>0.34721764328330468</v>
      </c>
      <c r="O187">
        <f t="shared" si="9"/>
        <v>1.8782356716695592E-2</v>
      </c>
      <c r="R187">
        <v>28.901178084886112</v>
      </c>
    </row>
    <row r="188" spans="2:18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0"/>
        <v>0.36800000000000027</v>
      </c>
      <c r="N188">
        <f t="shared" si="11"/>
        <v>0.34842894260213031</v>
      </c>
      <c r="O188">
        <f t="shared" si="9"/>
        <v>1.9571057397869962E-2</v>
      </c>
      <c r="R188">
        <v>31.624367924736369</v>
      </c>
    </row>
    <row r="189" spans="2:18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0"/>
        <v>0.37000000000000027</v>
      </c>
      <c r="N189">
        <f t="shared" si="11"/>
        <v>0.34842894260213031</v>
      </c>
      <c r="O189">
        <f t="shared" si="9"/>
        <v>2.1571057397869964E-2</v>
      </c>
      <c r="R189">
        <v>27.943076356421855</v>
      </c>
    </row>
    <row r="190" spans="2:18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0"/>
        <v>0.37200000000000027</v>
      </c>
      <c r="N190">
        <f t="shared" si="11"/>
        <v>0.35207208234929505</v>
      </c>
      <c r="O190">
        <f t="shared" si="9"/>
        <v>1.9927917650705229E-2</v>
      </c>
      <c r="R190">
        <v>17.425170732820845</v>
      </c>
    </row>
    <row r="191" spans="2:18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0"/>
        <v>0.37400000000000028</v>
      </c>
      <c r="N191">
        <f t="shared" si="11"/>
        <v>0.35572885084967742</v>
      </c>
      <c r="O191">
        <f t="shared" si="9"/>
        <v>1.8271149150322852E-2</v>
      </c>
      <c r="R191">
        <v>25.071694934068006</v>
      </c>
    </row>
    <row r="192" spans="2:18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0"/>
        <v>0.37600000000000028</v>
      </c>
      <c r="N192">
        <f t="shared" si="11"/>
        <v>0.35695074987626585</v>
      </c>
      <c r="O192">
        <f t="shared" si="9"/>
        <v>1.9049250123734429E-2</v>
      </c>
      <c r="R192">
        <v>29.965983295895818</v>
      </c>
    </row>
    <row r="193" spans="2:18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0"/>
        <v>0.37800000000000028</v>
      </c>
      <c r="N193">
        <f t="shared" si="11"/>
        <v>0.35817411812541555</v>
      </c>
      <c r="O193">
        <f t="shared" si="9"/>
        <v>1.9825881874584728E-2</v>
      </c>
      <c r="R193">
        <v>19.697550094355396</v>
      </c>
    </row>
    <row r="194" spans="2:18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0"/>
        <v>0.38000000000000028</v>
      </c>
      <c r="N194">
        <f t="shared" si="11"/>
        <v>0.36062521667673314</v>
      </c>
      <c r="O194">
        <f t="shared" si="9"/>
        <v>1.9374783323267142E-2</v>
      </c>
      <c r="R194">
        <v>17.464980994116644</v>
      </c>
    </row>
    <row r="195" spans="2:18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0"/>
        <v>0.38200000000000028</v>
      </c>
      <c r="N195">
        <f t="shared" si="11"/>
        <v>0.36431259740878885</v>
      </c>
      <c r="O195">
        <f t="shared" si="9"/>
        <v>1.7687402591211432E-2</v>
      </c>
      <c r="R195">
        <v>24.964845074458559</v>
      </c>
    </row>
    <row r="196" spans="2:18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0"/>
        <v>0.38400000000000029</v>
      </c>
      <c r="N196">
        <f t="shared" si="11"/>
        <v>0.36677787151669516</v>
      </c>
      <c r="O196">
        <f t="shared" si="9"/>
        <v>1.7222128483305121E-2</v>
      </c>
      <c r="R196">
        <v>27.949717565925589</v>
      </c>
    </row>
    <row r="197" spans="2:18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0"/>
        <v>0.38600000000000029</v>
      </c>
      <c r="N197">
        <f t="shared" si="11"/>
        <v>0.36924865295463433</v>
      </c>
      <c r="O197">
        <f t="shared" si="9"/>
        <v>1.6751347045365961E-2</v>
      </c>
      <c r="R197">
        <v>27.346197465335266</v>
      </c>
    </row>
    <row r="198" spans="2:18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0"/>
        <v>0.38800000000000029</v>
      </c>
      <c r="N198">
        <f t="shared" si="11"/>
        <v>0.37793839344619407</v>
      </c>
      <c r="O198">
        <f t="shared" ref="O198:O261" si="13">ABS(M198-N198)</f>
        <v>1.0061606553806224E-2</v>
      </c>
      <c r="R198">
        <v>31.069009322132295</v>
      </c>
    </row>
    <row r="199" spans="2:18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4">M198+L199</f>
        <v>0.39000000000000029</v>
      </c>
      <c r="N199">
        <f t="shared" ref="N199:N262" si="15">NORMDIST(J199,$E$8,$E$12,1)</f>
        <v>0.37793839344619407</v>
      </c>
      <c r="O199">
        <f t="shared" si="13"/>
        <v>1.2061606553806226E-2</v>
      </c>
      <c r="R199">
        <v>28.167603823028085</v>
      </c>
    </row>
    <row r="200" spans="2:18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4"/>
        <v>0.39200000000000029</v>
      </c>
      <c r="N200">
        <f t="shared" si="15"/>
        <v>0.38043278363895627</v>
      </c>
      <c r="O200">
        <f t="shared" si="13"/>
        <v>1.1567216361044019E-2</v>
      </c>
      <c r="R200">
        <v>19.783076827490596</v>
      </c>
    </row>
    <row r="201" spans="2:18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4"/>
        <v>0.39400000000000029</v>
      </c>
      <c r="N201">
        <f t="shared" si="15"/>
        <v>0.38293215539136105</v>
      </c>
      <c r="O201">
        <f t="shared" si="13"/>
        <v>1.1067844608639243E-2</v>
      </c>
      <c r="R201">
        <v>31.143780701827936</v>
      </c>
    </row>
    <row r="202" spans="2:18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4"/>
        <v>0.3960000000000003</v>
      </c>
      <c r="N202">
        <f t="shared" si="15"/>
        <v>0.38418367885404336</v>
      </c>
      <c r="O202">
        <f t="shared" si="13"/>
        <v>1.1816321145956932E-2</v>
      </c>
      <c r="R202">
        <v>30.317917540303192</v>
      </c>
    </row>
    <row r="203" spans="2:18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4"/>
        <v>0.3980000000000003</v>
      </c>
      <c r="N203">
        <f t="shared" si="15"/>
        <v>0.38794545227751187</v>
      </c>
      <c r="O203">
        <f t="shared" si="13"/>
        <v>1.0054547722488427E-2</v>
      </c>
      <c r="R203">
        <v>26.153460331936614</v>
      </c>
    </row>
    <row r="204" spans="2:18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4"/>
        <v>0.4000000000000003</v>
      </c>
      <c r="N204">
        <f t="shared" si="15"/>
        <v>0.38794545227751187</v>
      </c>
      <c r="O204">
        <f t="shared" si="13"/>
        <v>1.2054547722488429E-2</v>
      </c>
      <c r="R204">
        <v>18.529307065054056</v>
      </c>
    </row>
    <row r="205" spans="2:18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4"/>
        <v>0.4020000000000003</v>
      </c>
      <c r="N205">
        <f t="shared" si="15"/>
        <v>0.39171777069031782</v>
      </c>
      <c r="O205">
        <f t="shared" si="13"/>
        <v>1.0282229309682478E-2</v>
      </c>
      <c r="R205">
        <v>17.920426526682085</v>
      </c>
    </row>
    <row r="206" spans="2:18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4"/>
        <v>0.4040000000000003</v>
      </c>
      <c r="N206">
        <f t="shared" si="15"/>
        <v>0.39929269481694696</v>
      </c>
      <c r="O206">
        <f t="shared" si="13"/>
        <v>4.7073051830533452E-3</v>
      </c>
      <c r="R206">
        <v>16.506126104621345</v>
      </c>
    </row>
    <row r="207" spans="2:18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4"/>
        <v>0.40600000000000031</v>
      </c>
      <c r="N207">
        <f t="shared" si="15"/>
        <v>0.40055896138176716</v>
      </c>
      <c r="O207">
        <f t="shared" si="13"/>
        <v>5.4410386182331405E-3</v>
      </c>
      <c r="R207">
        <v>25.493853914230932</v>
      </c>
    </row>
    <row r="208" spans="2:18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4"/>
        <v>0.40800000000000031</v>
      </c>
      <c r="N208">
        <f t="shared" si="15"/>
        <v>0.40309461957158332</v>
      </c>
      <c r="O208">
        <f t="shared" si="13"/>
        <v>4.9053804284169833E-3</v>
      </c>
      <c r="R208">
        <v>24.631135417876411</v>
      </c>
    </row>
    <row r="209" spans="2:18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4"/>
        <v>0.41000000000000031</v>
      </c>
      <c r="N209">
        <f t="shared" si="15"/>
        <v>0.40563435926129177</v>
      </c>
      <c r="O209">
        <f t="shared" si="13"/>
        <v>4.3656407387085427E-3</v>
      </c>
      <c r="R209">
        <v>15.829754049696708</v>
      </c>
    </row>
    <row r="210" spans="2:18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4"/>
        <v>0.41200000000000031</v>
      </c>
      <c r="N210">
        <f t="shared" si="15"/>
        <v>0.40690572758012566</v>
      </c>
      <c r="O210">
        <f t="shared" si="13"/>
        <v>5.0942724198746459E-3</v>
      </c>
      <c r="R210">
        <v>17.700705661039844</v>
      </c>
    </row>
    <row r="211" spans="2:18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4"/>
        <v>0.41400000000000031</v>
      </c>
      <c r="N211">
        <f t="shared" si="15"/>
        <v>0.4094513967122424</v>
      </c>
      <c r="O211">
        <f t="shared" si="13"/>
        <v>4.548603287757913E-3</v>
      </c>
      <c r="R211">
        <v>17.806001541701697</v>
      </c>
    </row>
    <row r="212" spans="2:18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4"/>
        <v>0.41600000000000031</v>
      </c>
      <c r="N212">
        <f t="shared" si="15"/>
        <v>0.41200088953842728</v>
      </c>
      <c r="O212">
        <f t="shared" si="13"/>
        <v>3.99911046157303E-3</v>
      </c>
      <c r="R212">
        <v>26.240119111125871</v>
      </c>
    </row>
    <row r="213" spans="2:18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4"/>
        <v>0.41800000000000032</v>
      </c>
      <c r="N213">
        <f t="shared" si="15"/>
        <v>0.41327703736132915</v>
      </c>
      <c r="O213">
        <f t="shared" si="13"/>
        <v>4.7229626386711687E-3</v>
      </c>
      <c r="R213">
        <v>17.206420867185074</v>
      </c>
    </row>
    <row r="214" spans="2:18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4"/>
        <v>0.42000000000000032</v>
      </c>
      <c r="N214">
        <f t="shared" si="15"/>
        <v>0.41455410207775484</v>
      </c>
      <c r="O214">
        <f t="shared" si="13"/>
        <v>5.4458979222454795E-3</v>
      </c>
      <c r="R214">
        <v>30.97004388846792</v>
      </c>
    </row>
    <row r="215" spans="2:18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4"/>
        <v>0.42200000000000032</v>
      </c>
      <c r="N215">
        <f t="shared" si="15"/>
        <v>0.41455410207775484</v>
      </c>
      <c r="O215">
        <f t="shared" si="13"/>
        <v>7.4458979222454813E-3</v>
      </c>
      <c r="R215">
        <v>26.193691715513715</v>
      </c>
    </row>
    <row r="216" spans="2:18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4"/>
        <v>0.42400000000000032</v>
      </c>
      <c r="N216">
        <f t="shared" si="15"/>
        <v>0.41967126802674809</v>
      </c>
      <c r="O216">
        <f t="shared" si="13"/>
        <v>4.3287319732522311E-3</v>
      </c>
      <c r="R216">
        <v>28.270731909342096</v>
      </c>
    </row>
    <row r="217" spans="2:18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4"/>
        <v>0.42600000000000032</v>
      </c>
      <c r="N217">
        <f t="shared" si="15"/>
        <v>0.42095272057512723</v>
      </c>
      <c r="O217">
        <f t="shared" si="13"/>
        <v>5.0472794248730968E-3</v>
      </c>
      <c r="R217">
        <v>14.976694741377054</v>
      </c>
    </row>
    <row r="218" spans="2:18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4"/>
        <v>0.42800000000000032</v>
      </c>
      <c r="N218">
        <f t="shared" si="15"/>
        <v>0.42223501116766515</v>
      </c>
      <c r="O218">
        <f t="shared" si="13"/>
        <v>5.7649888323351717E-3</v>
      </c>
      <c r="R218">
        <v>32.229062852395835</v>
      </c>
    </row>
    <row r="219" spans="2:18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4"/>
        <v>0.43000000000000033</v>
      </c>
      <c r="N219">
        <f t="shared" si="15"/>
        <v>0.42223501116766515</v>
      </c>
      <c r="O219">
        <f t="shared" si="13"/>
        <v>7.7649888323351735E-3</v>
      </c>
      <c r="R219">
        <v>20.105401405061176</v>
      </c>
    </row>
    <row r="220" spans="2:18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4"/>
        <v>0.43200000000000033</v>
      </c>
      <c r="N220">
        <f t="shared" si="15"/>
        <v>0.42480205351011174</v>
      </c>
      <c r="O220">
        <f t="shared" si="13"/>
        <v>7.1979464898885848E-3</v>
      </c>
      <c r="R220">
        <v>30.050675892122698</v>
      </c>
    </row>
    <row r="221" spans="2:18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4"/>
        <v>0.43400000000000033</v>
      </c>
      <c r="N221">
        <f t="shared" si="15"/>
        <v>0.42737228884391004</v>
      </c>
      <c r="O221">
        <f t="shared" si="13"/>
        <v>6.6277111560902879E-3</v>
      </c>
      <c r="R221">
        <v>28.324164496256884</v>
      </c>
    </row>
    <row r="222" spans="2:18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4"/>
        <v>0.43600000000000033</v>
      </c>
      <c r="N222">
        <f t="shared" si="15"/>
        <v>0.42737228884391004</v>
      </c>
      <c r="O222">
        <f t="shared" si="13"/>
        <v>8.6277111560902897E-3</v>
      </c>
      <c r="R222">
        <v>23.842486542061891</v>
      </c>
    </row>
    <row r="223" spans="2:18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4"/>
        <v>0.43800000000000033</v>
      </c>
      <c r="N223">
        <f t="shared" si="15"/>
        <v>0.43252191162458647</v>
      </c>
      <c r="O223">
        <f t="shared" si="13"/>
        <v>5.4780883754138587E-3</v>
      </c>
      <c r="R223">
        <v>23.883899310440949</v>
      </c>
    </row>
    <row r="224" spans="2:18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4"/>
        <v>0.44000000000000034</v>
      </c>
      <c r="N224">
        <f t="shared" si="15"/>
        <v>0.43768302193337505</v>
      </c>
      <c r="O224">
        <f t="shared" si="13"/>
        <v>2.3169780666252859E-3</v>
      </c>
      <c r="R224">
        <v>29.440771209446915</v>
      </c>
    </row>
    <row r="225" spans="2:18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4"/>
        <v>0.44200000000000034</v>
      </c>
      <c r="N225">
        <f t="shared" si="15"/>
        <v>0.43768302193337505</v>
      </c>
      <c r="O225">
        <f t="shared" si="13"/>
        <v>4.3169780666252877E-3</v>
      </c>
      <c r="R225">
        <v>22.779412864370819</v>
      </c>
    </row>
    <row r="226" spans="2:18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4"/>
        <v>0.44400000000000034</v>
      </c>
      <c r="N226">
        <f t="shared" si="15"/>
        <v>0.44026761530231051</v>
      </c>
      <c r="O226">
        <f t="shared" si="13"/>
        <v>3.7323846976898278E-3</v>
      </c>
      <c r="R226">
        <v>32.293663458621126</v>
      </c>
    </row>
    <row r="227" spans="2:18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4"/>
        <v>0.44600000000000034</v>
      </c>
      <c r="N227">
        <f t="shared" si="15"/>
        <v>0.44544433623324492</v>
      </c>
      <c r="O227">
        <f t="shared" si="13"/>
        <v>5.5566376675542095E-4</v>
      </c>
      <c r="R227">
        <v>15.261181258892895</v>
      </c>
    </row>
    <row r="228" spans="2:18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4"/>
        <v>0.44800000000000034</v>
      </c>
      <c r="N228">
        <f t="shared" si="15"/>
        <v>0.44544433623324492</v>
      </c>
      <c r="O228">
        <f t="shared" si="13"/>
        <v>2.5556637667554227E-3</v>
      </c>
      <c r="R228">
        <v>28.504678372444218</v>
      </c>
    </row>
    <row r="229" spans="2:18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4"/>
        <v>0.45000000000000034</v>
      </c>
      <c r="N229">
        <f t="shared" si="15"/>
        <v>0.44674000668801234</v>
      </c>
      <c r="O229">
        <f t="shared" si="13"/>
        <v>3.2599933119880076E-3</v>
      </c>
      <c r="R229">
        <v>25.832475667759823</v>
      </c>
    </row>
    <row r="230" spans="2:18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4"/>
        <v>0.45200000000000035</v>
      </c>
      <c r="N230">
        <f t="shared" si="15"/>
        <v>0.44933304028021209</v>
      </c>
      <c r="O230">
        <f t="shared" si="13"/>
        <v>2.6669597197882533E-3</v>
      </c>
      <c r="R230">
        <v>27.989185542555372</v>
      </c>
    </row>
    <row r="231" spans="2:18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4"/>
        <v>0.45400000000000035</v>
      </c>
      <c r="N231">
        <f t="shared" si="15"/>
        <v>0.45063037603475886</v>
      </c>
      <c r="O231">
        <f t="shared" si="13"/>
        <v>3.3696239652414861E-3</v>
      </c>
      <c r="R231">
        <v>22.650145265217173</v>
      </c>
    </row>
    <row r="232" spans="2:18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4"/>
        <v>0.45600000000000035</v>
      </c>
      <c r="N232">
        <f t="shared" si="15"/>
        <v>0.4532266168727152</v>
      </c>
      <c r="O232">
        <f t="shared" si="13"/>
        <v>2.773383127285145E-3</v>
      </c>
      <c r="R232">
        <v>15.774719857881793</v>
      </c>
    </row>
    <row r="233" spans="2:18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4"/>
        <v>0.45800000000000035</v>
      </c>
      <c r="N233">
        <f t="shared" si="15"/>
        <v>0.457124695187964</v>
      </c>
      <c r="O233">
        <f t="shared" si="13"/>
        <v>8.7530481203634825E-4</v>
      </c>
      <c r="R233">
        <v>31.373443719769682</v>
      </c>
    </row>
    <row r="234" spans="2:18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4"/>
        <v>0.46000000000000035</v>
      </c>
      <c r="N234">
        <f t="shared" si="15"/>
        <v>0.457124695187964</v>
      </c>
      <c r="O234">
        <f t="shared" si="13"/>
        <v>2.87530481203635E-3</v>
      </c>
      <c r="R234">
        <v>19.485598965102074</v>
      </c>
    </row>
    <row r="235" spans="2:18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4"/>
        <v>0.46200000000000035</v>
      </c>
      <c r="N235">
        <f t="shared" si="15"/>
        <v>0.46102690310341077</v>
      </c>
      <c r="O235">
        <f t="shared" si="13"/>
        <v>9.7309689658958698E-4</v>
      </c>
      <c r="R235">
        <v>18.612979139304173</v>
      </c>
    </row>
    <row r="236" spans="2:18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4"/>
        <v>0.46400000000000036</v>
      </c>
      <c r="N236">
        <f t="shared" si="15"/>
        <v>0.46232849227276773</v>
      </c>
      <c r="O236">
        <f t="shared" si="13"/>
        <v>1.671507727232624E-3</v>
      </c>
      <c r="R236">
        <v>15.724898893920148</v>
      </c>
    </row>
    <row r="237" spans="2:18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4"/>
        <v>0.46600000000000036</v>
      </c>
      <c r="N237">
        <f t="shared" si="15"/>
        <v>0.46232849227276773</v>
      </c>
      <c r="O237">
        <f t="shared" si="13"/>
        <v>3.6715077272326258E-3</v>
      </c>
      <c r="R237">
        <v>31.589954035414934</v>
      </c>
    </row>
    <row r="238" spans="2:18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4"/>
        <v>0.46800000000000036</v>
      </c>
      <c r="N238">
        <f t="shared" si="15"/>
        <v>0.46493286730330857</v>
      </c>
      <c r="O238">
        <f t="shared" si="13"/>
        <v>3.0671326966917878E-3</v>
      </c>
      <c r="R238">
        <v>26.459353495431522</v>
      </c>
    </row>
    <row r="239" spans="2:18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4"/>
        <v>0.47000000000000036</v>
      </c>
      <c r="N239">
        <f t="shared" si="15"/>
        <v>0.46753874541293072</v>
      </c>
      <c r="O239">
        <f t="shared" si="13"/>
        <v>2.461254587069639E-3</v>
      </c>
      <c r="R239">
        <v>30.583460285412414</v>
      </c>
    </row>
    <row r="240" spans="2:18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4"/>
        <v>0.47200000000000036</v>
      </c>
      <c r="N240">
        <f t="shared" si="15"/>
        <v>0.46884221338583965</v>
      </c>
      <c r="O240">
        <f t="shared" si="13"/>
        <v>3.157786614160718E-3</v>
      </c>
      <c r="R240">
        <v>29.261025298057874</v>
      </c>
    </row>
    <row r="241" spans="2:18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4"/>
        <v>0.47400000000000037</v>
      </c>
      <c r="N241">
        <f t="shared" si="15"/>
        <v>0.47014601542173379</v>
      </c>
      <c r="O241">
        <f t="shared" si="13"/>
        <v>3.8539845782665783E-3</v>
      </c>
      <c r="R241">
        <v>30.766619084069511</v>
      </c>
    </row>
    <row r="242" spans="2:18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4"/>
        <v>0.47600000000000037</v>
      </c>
      <c r="N242">
        <f t="shared" si="15"/>
        <v>0.47405928660276064</v>
      </c>
      <c r="O242">
        <f t="shared" si="13"/>
        <v>1.9407133972397239E-3</v>
      </c>
      <c r="R242">
        <v>27.35107550071363</v>
      </c>
    </row>
    <row r="243" spans="2:18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4"/>
        <v>0.47800000000000037</v>
      </c>
      <c r="N243">
        <f t="shared" si="15"/>
        <v>0.47536428553631999</v>
      </c>
      <c r="O243">
        <f t="shared" si="13"/>
        <v>2.6357144636803831E-3</v>
      </c>
      <c r="R243">
        <v>23.938340376110691</v>
      </c>
    </row>
    <row r="244" spans="2:18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4"/>
        <v>0.48000000000000037</v>
      </c>
      <c r="N244">
        <f t="shared" si="15"/>
        <v>0.47536428553631999</v>
      </c>
      <c r="O244">
        <f t="shared" si="13"/>
        <v>4.6357144636803849E-3</v>
      </c>
      <c r="R244">
        <v>15.331883934858364</v>
      </c>
    </row>
    <row r="245" spans="2:18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4"/>
        <v>0.48200000000000037</v>
      </c>
      <c r="N245">
        <f t="shared" si="15"/>
        <v>0.47666954880758516</v>
      </c>
      <c r="O245">
        <f t="shared" si="13"/>
        <v>5.3304511924152087E-3</v>
      </c>
      <c r="R245">
        <v>20.842301299160496</v>
      </c>
    </row>
    <row r="246" spans="2:18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4"/>
        <v>0.48400000000000037</v>
      </c>
      <c r="N246">
        <f t="shared" si="15"/>
        <v>0.47666954880758516</v>
      </c>
      <c r="O246">
        <f t="shared" si="13"/>
        <v>7.3304511924152105E-3</v>
      </c>
      <c r="R246">
        <v>22.448061135516394</v>
      </c>
    </row>
    <row r="247" spans="2:18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4"/>
        <v>0.48600000000000038</v>
      </c>
      <c r="N247">
        <f t="shared" si="15"/>
        <v>0.47797506244418142</v>
      </c>
      <c r="O247">
        <f t="shared" si="13"/>
        <v>8.0249375558189562E-3</v>
      </c>
      <c r="R247">
        <v>24.984610883929598</v>
      </c>
    </row>
    <row r="248" spans="2:18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4"/>
        <v>0.48800000000000038</v>
      </c>
      <c r="N248">
        <f t="shared" si="15"/>
        <v>0.47928081246567394</v>
      </c>
      <c r="O248">
        <f t="shared" si="13"/>
        <v>8.7191875343264336E-3</v>
      </c>
      <c r="R248">
        <v>30.061324171548392</v>
      </c>
    </row>
    <row r="249" spans="2:18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4"/>
        <v>0.49000000000000038</v>
      </c>
      <c r="N249">
        <f t="shared" si="15"/>
        <v>0.48319934092372047</v>
      </c>
      <c r="O249">
        <f t="shared" si="13"/>
        <v>6.8006590762799135E-3</v>
      </c>
      <c r="R249">
        <v>17.715981965037262</v>
      </c>
    </row>
    <row r="250" spans="2:18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4"/>
        <v>0.49200000000000038</v>
      </c>
      <c r="N250">
        <f t="shared" si="15"/>
        <v>0.48319934092372047</v>
      </c>
      <c r="O250">
        <f t="shared" si="13"/>
        <v>8.8006590762799153E-3</v>
      </c>
      <c r="R250">
        <v>26.514961821197197</v>
      </c>
    </row>
    <row r="251" spans="2:18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4"/>
        <v>0.49400000000000038</v>
      </c>
      <c r="N251">
        <f t="shared" si="15"/>
        <v>0.48450589653498022</v>
      </c>
      <c r="O251">
        <f t="shared" si="13"/>
        <v>9.494103465020165E-3</v>
      </c>
      <c r="R251">
        <v>27.474365817656832</v>
      </c>
    </row>
    <row r="252" spans="2:18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4"/>
        <v>0.49600000000000039</v>
      </c>
      <c r="N252">
        <f t="shared" si="15"/>
        <v>0.48450589653498022</v>
      </c>
      <c r="O252">
        <f t="shared" si="13"/>
        <v>1.1494103465020167E-2</v>
      </c>
      <c r="R252">
        <v>27.550479286012262</v>
      </c>
    </row>
    <row r="253" spans="2:18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4"/>
        <v>0.49800000000000039</v>
      </c>
      <c r="N253">
        <f t="shared" si="15"/>
        <v>0.48711949287081646</v>
      </c>
      <c r="O253">
        <f t="shared" si="13"/>
        <v>1.0880507129183925E-2</v>
      </c>
      <c r="R253">
        <v>20.932148488622097</v>
      </c>
    </row>
    <row r="254" spans="2:18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4"/>
        <v>0.50000000000000033</v>
      </c>
      <c r="N254">
        <f t="shared" si="15"/>
        <v>0.48842650555178402</v>
      </c>
      <c r="O254">
        <f t="shared" si="13"/>
        <v>1.1573494448216315E-2</v>
      </c>
      <c r="R254">
        <v>17.711303661554282</v>
      </c>
    </row>
    <row r="255" spans="2:18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4"/>
        <v>0.50200000000000033</v>
      </c>
      <c r="N255">
        <f t="shared" si="15"/>
        <v>0.48842650555178402</v>
      </c>
      <c r="O255">
        <f t="shared" si="13"/>
        <v>1.3573494448216317E-2</v>
      </c>
      <c r="R255">
        <v>32.05717512297602</v>
      </c>
    </row>
    <row r="256" spans="2:18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4"/>
        <v>0.50400000000000034</v>
      </c>
      <c r="N256">
        <f t="shared" si="15"/>
        <v>0.48842650555178402</v>
      </c>
      <c r="O256">
        <f t="shared" si="13"/>
        <v>1.5573494448216318E-2</v>
      </c>
      <c r="R256">
        <v>15.571724709133605</v>
      </c>
    </row>
    <row r="257" spans="2:18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4"/>
        <v>0.50600000000000034</v>
      </c>
      <c r="N257">
        <f t="shared" si="15"/>
        <v>0.49496315283007586</v>
      </c>
      <c r="O257">
        <f t="shared" si="13"/>
        <v>1.103684716992448E-2</v>
      </c>
      <c r="R257">
        <v>30.025871266333287</v>
      </c>
    </row>
    <row r="258" spans="2:18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4"/>
        <v>0.50800000000000034</v>
      </c>
      <c r="N258">
        <f t="shared" si="15"/>
        <v>0.49757828880923161</v>
      </c>
      <c r="O258">
        <f t="shared" si="13"/>
        <v>1.0421711190768734E-2</v>
      </c>
      <c r="R258">
        <v>27.444514212324215</v>
      </c>
    </row>
    <row r="259" spans="2:18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4"/>
        <v>0.51000000000000034</v>
      </c>
      <c r="N259">
        <f t="shared" si="15"/>
        <v>0.5015011527865354</v>
      </c>
      <c r="O259">
        <f t="shared" si="13"/>
        <v>8.498847213464944E-3</v>
      </c>
      <c r="R259">
        <v>24.29062780384908</v>
      </c>
    </row>
    <row r="260" spans="2:18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4"/>
        <v>0.51200000000000034</v>
      </c>
      <c r="N260">
        <f t="shared" si="15"/>
        <v>0.50280876058835267</v>
      </c>
      <c r="O260">
        <f t="shared" si="13"/>
        <v>9.1912394116476781E-3</v>
      </c>
      <c r="R260">
        <v>28.607451682503644</v>
      </c>
    </row>
    <row r="261" spans="2:18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4"/>
        <v>0.51400000000000035</v>
      </c>
      <c r="N261">
        <f t="shared" si="15"/>
        <v>0.5041163382146816</v>
      </c>
      <c r="O261">
        <f t="shared" si="13"/>
        <v>9.8836617853187425E-3</v>
      </c>
      <c r="R261">
        <v>27.462056771952582</v>
      </c>
    </row>
    <row r="262" spans="2:18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4"/>
        <v>0.51600000000000035</v>
      </c>
      <c r="N262">
        <f t="shared" si="15"/>
        <v>0.50542387161859992</v>
      </c>
      <c r="O262">
        <f t="shared" ref="O262:O325" si="17">ABS(M262-N262)</f>
        <v>1.0576128381400429E-2</v>
      </c>
      <c r="R262">
        <v>15.883507190298728</v>
      </c>
    </row>
    <row r="263" spans="2:18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8">M262+L263</f>
        <v>0.51800000000000035</v>
      </c>
      <c r="N263">
        <f t="shared" ref="N263:N326" si="19">NORMDIST(J263,$E$8,$E$12,1)</f>
        <v>0.50934606605077914</v>
      </c>
      <c r="O263">
        <f t="shared" si="17"/>
        <v>8.6539339492212042E-3</v>
      </c>
      <c r="R263">
        <v>14.473477635181998</v>
      </c>
    </row>
    <row r="264" spans="2:18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8"/>
        <v>0.52000000000000035</v>
      </c>
      <c r="N264">
        <f t="shared" si="19"/>
        <v>0.50934606605077914</v>
      </c>
      <c r="O264">
        <f t="shared" si="17"/>
        <v>1.0653933949221206E-2</v>
      </c>
      <c r="R264">
        <v>17.843169262551719</v>
      </c>
    </row>
    <row r="265" spans="2:18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8"/>
        <v>0.52200000000000035</v>
      </c>
      <c r="N265">
        <f t="shared" si="19"/>
        <v>0.51326735698052328</v>
      </c>
      <c r="O265">
        <f t="shared" si="17"/>
        <v>8.732643019477071E-3</v>
      </c>
      <c r="R265">
        <v>23.647945070518492</v>
      </c>
    </row>
    <row r="266" spans="2:18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8"/>
        <v>0.52400000000000035</v>
      </c>
      <c r="N266">
        <f t="shared" si="19"/>
        <v>0.52110571334241351</v>
      </c>
      <c r="O266">
        <f t="shared" si="17"/>
        <v>2.894286657586842E-3</v>
      </c>
      <c r="R266">
        <v>24.753804984428754</v>
      </c>
    </row>
    <row r="267" spans="2:18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8"/>
        <v>0.52600000000000036</v>
      </c>
      <c r="N267">
        <f t="shared" si="19"/>
        <v>0.52371683583583861</v>
      </c>
      <c r="O267">
        <f t="shared" si="17"/>
        <v>2.2831641641617439E-3</v>
      </c>
      <c r="R267">
        <v>16.230413837581366</v>
      </c>
    </row>
    <row r="268" spans="2:18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8"/>
        <v>0.52800000000000036</v>
      </c>
      <c r="N268">
        <f t="shared" si="19"/>
        <v>0.52371683583583861</v>
      </c>
      <c r="O268">
        <f t="shared" si="17"/>
        <v>4.2831641641617457E-3</v>
      </c>
      <c r="R268">
        <v>26.592354145958957</v>
      </c>
    </row>
    <row r="269" spans="2:18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8"/>
        <v>0.53000000000000036</v>
      </c>
      <c r="N269">
        <f t="shared" si="19"/>
        <v>0.52632694032940108</v>
      </c>
      <c r="O269">
        <f t="shared" si="17"/>
        <v>3.6730596705992768E-3</v>
      </c>
      <c r="R269">
        <v>17.943412155938564</v>
      </c>
    </row>
    <row r="270" spans="2:18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8"/>
        <v>0.53200000000000036</v>
      </c>
      <c r="N270">
        <f t="shared" si="19"/>
        <v>0.52632694032940108</v>
      </c>
      <c r="O270">
        <f t="shared" si="17"/>
        <v>5.6730596705992786E-3</v>
      </c>
      <c r="R270">
        <v>24.963076283607403</v>
      </c>
    </row>
    <row r="271" spans="2:18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8"/>
        <v>0.53400000000000036</v>
      </c>
      <c r="N271">
        <f t="shared" si="19"/>
        <v>0.5341500293148318</v>
      </c>
      <c r="O271">
        <f t="shared" si="17"/>
        <v>1.5002931483143467E-4</v>
      </c>
      <c r="R271">
        <v>23.318160999136033</v>
      </c>
    </row>
    <row r="272" spans="2:18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8"/>
        <v>0.53600000000000037</v>
      </c>
      <c r="N272">
        <f t="shared" si="19"/>
        <v>0.53545267764726923</v>
      </c>
      <c r="O272">
        <f t="shared" si="17"/>
        <v>5.4732235273113883E-4</v>
      </c>
      <c r="R272">
        <v>32.267056026048635</v>
      </c>
    </row>
    <row r="273" spans="2:18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8"/>
        <v>0.53800000000000037</v>
      </c>
      <c r="N273">
        <f t="shared" si="19"/>
        <v>0.53675494609724672</v>
      </c>
      <c r="O273">
        <f t="shared" si="17"/>
        <v>1.2450539027536456E-3</v>
      </c>
      <c r="R273">
        <v>22.798204711856872</v>
      </c>
    </row>
    <row r="274" spans="2:18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8"/>
        <v>0.54000000000000037</v>
      </c>
      <c r="N274">
        <f t="shared" si="19"/>
        <v>0.53675494609724672</v>
      </c>
      <c r="O274">
        <f t="shared" si="17"/>
        <v>3.2450539027536474E-3</v>
      </c>
      <c r="R274">
        <v>29.093164642115855</v>
      </c>
    </row>
    <row r="275" spans="2:18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8"/>
        <v>0.54200000000000037</v>
      </c>
      <c r="N275">
        <f t="shared" si="19"/>
        <v>0.5380568207887233</v>
      </c>
      <c r="O275">
        <f t="shared" si="17"/>
        <v>3.9431792112770703E-3</v>
      </c>
      <c r="R275">
        <v>20.589278285323964</v>
      </c>
    </row>
    <row r="276" spans="2:18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8"/>
        <v>0.54400000000000037</v>
      </c>
      <c r="N276">
        <f t="shared" si="19"/>
        <v>0.54326010490104804</v>
      </c>
      <c r="O276">
        <f t="shared" si="17"/>
        <v>7.3989509895233674E-4</v>
      </c>
      <c r="R276">
        <v>25.817940479396476</v>
      </c>
    </row>
    <row r="277" spans="2:18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8"/>
        <v>0.54600000000000037</v>
      </c>
      <c r="N277">
        <f t="shared" si="19"/>
        <v>0.54455980311783347</v>
      </c>
      <c r="O277">
        <f t="shared" si="17"/>
        <v>1.4401968821668998E-3</v>
      </c>
      <c r="R277">
        <v>21.962413525875757</v>
      </c>
    </row>
    <row r="278" spans="2:18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8"/>
        <v>0.54800000000000038</v>
      </c>
      <c r="N278">
        <f t="shared" si="19"/>
        <v>0.54585902460110935</v>
      </c>
      <c r="O278">
        <f t="shared" si="17"/>
        <v>2.1409753988910207E-3</v>
      </c>
      <c r="R278">
        <v>22.054154588269508</v>
      </c>
    </row>
    <row r="279" spans="2:18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8"/>
        <v>0.55000000000000038</v>
      </c>
      <c r="N279">
        <f t="shared" si="19"/>
        <v>0.54585902460110935</v>
      </c>
      <c r="O279">
        <f t="shared" si="17"/>
        <v>4.1409753988910225E-3</v>
      </c>
      <c r="R279">
        <v>14.665996631562965</v>
      </c>
    </row>
    <row r="280" spans="2:18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8"/>
        <v>0.55200000000000038</v>
      </c>
      <c r="N280">
        <f t="shared" si="19"/>
        <v>0.54585902460110935</v>
      </c>
      <c r="O280">
        <f t="shared" si="17"/>
        <v>6.1409753988910243E-3</v>
      </c>
      <c r="R280">
        <v>20.522084178599272</v>
      </c>
    </row>
    <row r="281" spans="2:18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8"/>
        <v>0.55400000000000038</v>
      </c>
      <c r="N281">
        <f t="shared" si="19"/>
        <v>0.54715775557269442</v>
      </c>
      <c r="O281">
        <f t="shared" si="17"/>
        <v>6.8422444273059657E-3</v>
      </c>
      <c r="R281">
        <v>16.93728704225077</v>
      </c>
    </row>
    <row r="282" spans="2:18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8"/>
        <v>0.55600000000000038</v>
      </c>
      <c r="N282">
        <f t="shared" si="19"/>
        <v>0.55364357164519418</v>
      </c>
      <c r="O282">
        <f t="shared" si="17"/>
        <v>2.3564283548062059E-3</v>
      </c>
      <c r="R282">
        <v>25.5915263188514</v>
      </c>
    </row>
    <row r="283" spans="2:18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8"/>
        <v>0.55800000000000038</v>
      </c>
      <c r="N283">
        <f t="shared" si="19"/>
        <v>0.55623398409466662</v>
      </c>
      <c r="O283">
        <f t="shared" si="17"/>
        <v>1.7660159053337621E-3</v>
      </c>
      <c r="R283">
        <v>32.143832514958518</v>
      </c>
    </row>
    <row r="284" spans="2:18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8"/>
        <v>0.56000000000000039</v>
      </c>
      <c r="N284">
        <f t="shared" si="19"/>
        <v>0.55882199602784599</v>
      </c>
      <c r="O284">
        <f t="shared" si="17"/>
        <v>1.1780039721543956E-3</v>
      </c>
      <c r="R284">
        <v>30.94204771794346</v>
      </c>
    </row>
    <row r="285" spans="2:18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8"/>
        <v>0.56200000000000039</v>
      </c>
      <c r="N285">
        <f t="shared" si="19"/>
        <v>0.56528080982225082</v>
      </c>
      <c r="O285">
        <f t="shared" si="17"/>
        <v>3.2808098222504301E-3</v>
      </c>
      <c r="R285">
        <v>31.236095644006923</v>
      </c>
    </row>
    <row r="286" spans="2:18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8"/>
        <v>0.56400000000000039</v>
      </c>
      <c r="N286">
        <f t="shared" si="19"/>
        <v>0.56657054147520647</v>
      </c>
      <c r="O286">
        <f t="shared" si="17"/>
        <v>2.5705414752060785E-3</v>
      </c>
      <c r="R286">
        <v>29.72381081419671</v>
      </c>
    </row>
    <row r="287" spans="2:18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8"/>
        <v>0.56600000000000039</v>
      </c>
      <c r="N287">
        <f t="shared" si="19"/>
        <v>0.57172224841773334</v>
      </c>
      <c r="O287">
        <f t="shared" si="17"/>
        <v>5.7222484177329447E-3</v>
      </c>
      <c r="R287">
        <v>14.565520795725185</v>
      </c>
    </row>
    <row r="288" spans="2:18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8"/>
        <v>0.56800000000000039</v>
      </c>
      <c r="N288">
        <f t="shared" si="19"/>
        <v>0.57429358233529115</v>
      </c>
      <c r="O288">
        <f t="shared" si="17"/>
        <v>6.2935823352907594E-3</v>
      </c>
      <c r="R288">
        <v>27.31852003856169</v>
      </c>
    </row>
    <row r="289" spans="2:18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8"/>
        <v>0.5700000000000004</v>
      </c>
      <c r="N289">
        <f t="shared" si="19"/>
        <v>0.57429358233529115</v>
      </c>
      <c r="O289">
        <f t="shared" si="17"/>
        <v>4.2935823352907576E-3</v>
      </c>
      <c r="R289">
        <v>18.313208618005401</v>
      </c>
    </row>
    <row r="290" spans="2:18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8"/>
        <v>0.5720000000000004</v>
      </c>
      <c r="N290">
        <f t="shared" si="19"/>
        <v>0.576861760744935</v>
      </c>
      <c r="O290">
        <f t="shared" si="17"/>
        <v>4.8617607449346067E-3</v>
      </c>
      <c r="R290">
        <v>17.33800174640869</v>
      </c>
    </row>
    <row r="291" spans="2:18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8"/>
        <v>0.5740000000000004</v>
      </c>
      <c r="N291">
        <f t="shared" si="19"/>
        <v>0.576861760744935</v>
      </c>
      <c r="O291">
        <f t="shared" si="17"/>
        <v>2.861760744934605E-3</v>
      </c>
      <c r="R291">
        <v>26.264958445367505</v>
      </c>
    </row>
    <row r="292" spans="2:18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8"/>
        <v>0.5760000000000004</v>
      </c>
      <c r="N292">
        <f t="shared" si="19"/>
        <v>0.57942667729182107</v>
      </c>
      <c r="O292">
        <f t="shared" si="17"/>
        <v>3.4266772918206678E-3</v>
      </c>
      <c r="R292">
        <v>31.435135991053158</v>
      </c>
    </row>
    <row r="293" spans="2:18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8"/>
        <v>0.5780000000000004</v>
      </c>
      <c r="N293">
        <f t="shared" si="19"/>
        <v>0.58326770449339005</v>
      </c>
      <c r="O293">
        <f t="shared" si="17"/>
        <v>5.2677044933896466E-3</v>
      </c>
      <c r="R293">
        <v>20.580296358533428</v>
      </c>
    </row>
    <row r="294" spans="2:18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8"/>
        <v>0.5800000000000004</v>
      </c>
      <c r="N294">
        <f t="shared" si="19"/>
        <v>0.58454630146730335</v>
      </c>
      <c r="O294">
        <f t="shared" si="17"/>
        <v>4.5463014673029489E-3</v>
      </c>
      <c r="R294">
        <v>16.443195449535501</v>
      </c>
    </row>
    <row r="295" spans="2:18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8"/>
        <v>0.58200000000000041</v>
      </c>
      <c r="N295">
        <f t="shared" si="19"/>
        <v>0.58710079851481667</v>
      </c>
      <c r="O295">
        <f t="shared" si="17"/>
        <v>5.1007985148162627E-3</v>
      </c>
      <c r="R295">
        <v>22.86162870878713</v>
      </c>
    </row>
    <row r="296" spans="2:18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8"/>
        <v>0.58400000000000041</v>
      </c>
      <c r="N296">
        <f t="shared" si="19"/>
        <v>0.58710079851481667</v>
      </c>
      <c r="O296">
        <f t="shared" si="17"/>
        <v>3.1007985148162609E-3</v>
      </c>
      <c r="R296">
        <v>22.121495541723519</v>
      </c>
    </row>
    <row r="297" spans="2:18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8"/>
        <v>0.58600000000000041</v>
      </c>
      <c r="N297">
        <f t="shared" si="19"/>
        <v>0.5896516125633553</v>
      </c>
      <c r="O297">
        <f t="shared" si="17"/>
        <v>3.651612563354889E-3</v>
      </c>
      <c r="R297">
        <v>24.685115793766272</v>
      </c>
    </row>
    <row r="298" spans="2:18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8"/>
        <v>0.58800000000000041</v>
      </c>
      <c r="N298">
        <f t="shared" si="19"/>
        <v>0.5896516125633553</v>
      </c>
      <c r="O298">
        <f t="shared" si="17"/>
        <v>1.6516125633548873E-3</v>
      </c>
      <c r="R298">
        <v>17.911119488585161</v>
      </c>
    </row>
    <row r="299" spans="2:18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8"/>
        <v>0.59000000000000041</v>
      </c>
      <c r="N299">
        <f t="shared" si="19"/>
        <v>0.59728091764319036</v>
      </c>
      <c r="O299">
        <f t="shared" si="17"/>
        <v>7.2809176431899436E-3</v>
      </c>
      <c r="R299">
        <v>20.842491619419647</v>
      </c>
    </row>
    <row r="300" spans="2:18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8"/>
        <v>0.59200000000000041</v>
      </c>
      <c r="N300">
        <f t="shared" si="19"/>
        <v>0.59854895883817383</v>
      </c>
      <c r="O300">
        <f t="shared" si="17"/>
        <v>6.5489588381734132E-3</v>
      </c>
      <c r="R300">
        <v>15.813596621492831</v>
      </c>
    </row>
    <row r="301" spans="2:18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8"/>
        <v>0.59400000000000042</v>
      </c>
      <c r="N301">
        <f t="shared" si="19"/>
        <v>0.59981596307370455</v>
      </c>
      <c r="O301">
        <f t="shared" si="17"/>
        <v>5.8159630737041335E-3</v>
      </c>
      <c r="R301">
        <v>16.363131352801339</v>
      </c>
    </row>
    <row r="302" spans="2:18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8"/>
        <v>0.59600000000000042</v>
      </c>
      <c r="N302">
        <f t="shared" si="19"/>
        <v>0.59981596307370455</v>
      </c>
      <c r="O302">
        <f t="shared" si="17"/>
        <v>3.8159630737041317E-3</v>
      </c>
      <c r="R302">
        <v>29.063938551913864</v>
      </c>
    </row>
    <row r="303" spans="2:18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8"/>
        <v>0.59800000000000042</v>
      </c>
      <c r="N303">
        <f t="shared" si="19"/>
        <v>0.6010819175968618</v>
      </c>
      <c r="O303">
        <f t="shared" si="17"/>
        <v>3.0819175968613832E-3</v>
      </c>
      <c r="R303">
        <v>29.435730988557481</v>
      </c>
    </row>
    <row r="304" spans="2:18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8"/>
        <v>0.60000000000000042</v>
      </c>
      <c r="N304">
        <f t="shared" si="19"/>
        <v>0.60361062666030796</v>
      </c>
      <c r="O304">
        <f t="shared" si="17"/>
        <v>3.6106266603075365E-3</v>
      </c>
      <c r="R304">
        <v>32.203879656129345</v>
      </c>
    </row>
    <row r="305" spans="2:18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8"/>
        <v>0.60200000000000042</v>
      </c>
      <c r="N305">
        <f t="shared" si="19"/>
        <v>0.60361062666030796</v>
      </c>
      <c r="O305">
        <f t="shared" si="17"/>
        <v>1.6106266603075348E-3</v>
      </c>
      <c r="R305">
        <v>15.224966049271819</v>
      </c>
    </row>
    <row r="306" spans="2:18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8"/>
        <v>0.60400000000000043</v>
      </c>
      <c r="N306">
        <f t="shared" si="19"/>
        <v>0.6061349846742381</v>
      </c>
      <c r="O306">
        <f t="shared" si="17"/>
        <v>2.1349846742376721E-3</v>
      </c>
      <c r="R306">
        <v>30.684590773128157</v>
      </c>
    </row>
    <row r="307" spans="2:18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8"/>
        <v>0.60600000000000043</v>
      </c>
      <c r="N307">
        <f t="shared" si="19"/>
        <v>0.60739550051394653</v>
      </c>
      <c r="O307">
        <f t="shared" si="17"/>
        <v>1.3955005139461019E-3</v>
      </c>
      <c r="R307">
        <v>16.394584460512519</v>
      </c>
    </row>
    <row r="308" spans="2:18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8"/>
        <v>0.60800000000000043</v>
      </c>
      <c r="N308">
        <f t="shared" si="19"/>
        <v>0.60991314311644873</v>
      </c>
      <c r="O308">
        <f t="shared" si="17"/>
        <v>1.9131431164483015E-3</v>
      </c>
      <c r="R308">
        <v>28.957442261475279</v>
      </c>
    </row>
    <row r="309" spans="2:18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8"/>
        <v>0.61000000000000043</v>
      </c>
      <c r="N309">
        <f t="shared" si="19"/>
        <v>0.6124261837076681</v>
      </c>
      <c r="O309">
        <f t="shared" si="17"/>
        <v>2.4261837076676729E-3</v>
      </c>
      <c r="R309">
        <v>25.056189728608132</v>
      </c>
    </row>
    <row r="310" spans="2:18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8"/>
        <v>0.61200000000000043</v>
      </c>
      <c r="N310">
        <f t="shared" si="19"/>
        <v>0.61618689858220033</v>
      </c>
      <c r="O310">
        <f t="shared" si="17"/>
        <v>4.1868985821998939E-3</v>
      </c>
      <c r="R310">
        <v>31.392509854328154</v>
      </c>
    </row>
    <row r="311" spans="2:18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8"/>
        <v>0.61400000000000043</v>
      </c>
      <c r="N311">
        <f t="shared" si="19"/>
        <v>0.61618689858220033</v>
      </c>
      <c r="O311">
        <f t="shared" si="17"/>
        <v>2.1868985821998921E-3</v>
      </c>
      <c r="R311">
        <v>27.572810669218725</v>
      </c>
    </row>
    <row r="312" spans="2:18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8"/>
        <v>0.61600000000000044</v>
      </c>
      <c r="N312">
        <f t="shared" si="19"/>
        <v>0.61743806191070438</v>
      </c>
      <c r="O312">
        <f t="shared" si="17"/>
        <v>1.4380619107039472E-3</v>
      </c>
      <c r="R312">
        <v>23.737341133725195</v>
      </c>
    </row>
    <row r="313" spans="2:18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8"/>
        <v>0.61800000000000044</v>
      </c>
      <c r="N313">
        <f t="shared" si="19"/>
        <v>0.62243034719763901</v>
      </c>
      <c r="O313">
        <f t="shared" si="17"/>
        <v>4.4303471976385733E-3</v>
      </c>
      <c r="R313">
        <v>23.331098759962416</v>
      </c>
    </row>
    <row r="314" spans="2:18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8"/>
        <v>0.62000000000000044</v>
      </c>
      <c r="N314">
        <f t="shared" si="19"/>
        <v>0.62367526571935372</v>
      </c>
      <c r="O314">
        <f t="shared" si="17"/>
        <v>3.6752657193532823E-3</v>
      </c>
      <c r="R314">
        <v>16.672598870737424</v>
      </c>
    </row>
    <row r="315" spans="2:18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8"/>
        <v>0.62200000000000044</v>
      </c>
      <c r="N315">
        <f t="shared" si="19"/>
        <v>0.62491889894126051</v>
      </c>
      <c r="O315">
        <f t="shared" si="17"/>
        <v>2.918898941260073E-3</v>
      </c>
      <c r="R315">
        <v>25.802644061908211</v>
      </c>
    </row>
    <row r="316" spans="2:18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8"/>
        <v>0.62400000000000044</v>
      </c>
      <c r="N316">
        <f t="shared" si="19"/>
        <v>0.62616123484318975</v>
      </c>
      <c r="O316">
        <f t="shared" si="17"/>
        <v>2.161234843189308E-3</v>
      </c>
      <c r="R316">
        <v>21.114327637420836</v>
      </c>
    </row>
    <row r="317" spans="2:18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8"/>
        <v>0.62600000000000044</v>
      </c>
      <c r="N317">
        <f t="shared" si="19"/>
        <v>0.62740226144537059</v>
      </c>
      <c r="O317">
        <f t="shared" si="17"/>
        <v>1.4022614453701454E-3</v>
      </c>
      <c r="R317">
        <v>31.174310399419035</v>
      </c>
    </row>
    <row r="318" spans="2:18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8"/>
        <v>0.62800000000000045</v>
      </c>
      <c r="N318">
        <f t="shared" si="19"/>
        <v>0.62864196680877527</v>
      </c>
      <c r="O318">
        <f t="shared" si="17"/>
        <v>6.4196680877481871E-4</v>
      </c>
      <c r="R318">
        <v>29.265356776771824</v>
      </c>
    </row>
    <row r="319" spans="2:18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8"/>
        <v>0.63000000000000045</v>
      </c>
      <c r="N319">
        <f t="shared" si="19"/>
        <v>0.62988033903546303</v>
      </c>
      <c r="O319">
        <f t="shared" si="17"/>
        <v>1.1966096453741581E-4</v>
      </c>
      <c r="R319">
        <v>17.200752671770939</v>
      </c>
    </row>
    <row r="320" spans="2:18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8"/>
        <v>0.63200000000000045</v>
      </c>
      <c r="N320">
        <f t="shared" si="19"/>
        <v>0.63111736626891513</v>
      </c>
      <c r="O320">
        <f t="shared" si="17"/>
        <v>8.8263373108532495E-4</v>
      </c>
      <c r="R320">
        <v>23.43570929938236</v>
      </c>
    </row>
    <row r="321" spans="2:18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8"/>
        <v>0.63400000000000045</v>
      </c>
      <c r="N321">
        <f t="shared" si="19"/>
        <v>0.63111736626891513</v>
      </c>
      <c r="O321">
        <f t="shared" si="17"/>
        <v>2.8826337310853267E-3</v>
      </c>
      <c r="R321">
        <v>18.044460803732928</v>
      </c>
    </row>
    <row r="322" spans="2:18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8"/>
        <v>0.63600000000000045</v>
      </c>
      <c r="N322">
        <f t="shared" si="19"/>
        <v>0.63235303669437615</v>
      </c>
      <c r="O322">
        <f t="shared" si="17"/>
        <v>3.6469633056243067E-3</v>
      </c>
      <c r="R322">
        <v>29.532745692069447</v>
      </c>
    </row>
    <row r="323" spans="2:18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8"/>
        <v>0.63800000000000046</v>
      </c>
      <c r="N323">
        <f t="shared" si="19"/>
        <v>0.63235303669437615</v>
      </c>
      <c r="O323">
        <f t="shared" si="17"/>
        <v>5.6469633056243085E-3</v>
      </c>
      <c r="R323">
        <v>31.703195918297887</v>
      </c>
    </row>
    <row r="324" spans="2:18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8"/>
        <v>0.64000000000000046</v>
      </c>
      <c r="N324">
        <f t="shared" si="19"/>
        <v>0.63851062615067211</v>
      </c>
      <c r="O324">
        <f t="shared" si="17"/>
        <v>1.4893738493283459E-3</v>
      </c>
      <c r="R324">
        <v>15.481224455878291</v>
      </c>
    </row>
    <row r="325" spans="2:18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8"/>
        <v>0.64200000000000046</v>
      </c>
      <c r="N325">
        <f t="shared" si="19"/>
        <v>0.64096375553299212</v>
      </c>
      <c r="O325">
        <f t="shared" si="17"/>
        <v>1.0362444670083404E-3</v>
      </c>
      <c r="R325">
        <v>21.737771361756987</v>
      </c>
    </row>
    <row r="326" spans="2:18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8"/>
        <v>0.64400000000000046</v>
      </c>
      <c r="N326">
        <f t="shared" si="19"/>
        <v>0.64218815128421425</v>
      </c>
      <c r="O326">
        <f t="shared" ref="O326:O389" si="21">ABS(M326-N326)</f>
        <v>1.8118487157862129E-3</v>
      </c>
      <c r="R326">
        <v>27.841459997778983</v>
      </c>
    </row>
    <row r="327" spans="2:18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2">M326+L327</f>
        <v>0.64600000000000046</v>
      </c>
      <c r="N327">
        <f t="shared" ref="N327:N390" si="23">NORMDIST(J327,$E$8,$E$12,1)</f>
        <v>0.64463254778663848</v>
      </c>
      <c r="O327">
        <f t="shared" si="21"/>
        <v>1.367452213361986E-3</v>
      </c>
      <c r="R327">
        <v>30.116617941530251</v>
      </c>
    </row>
    <row r="328" spans="2:18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2"/>
        <v>0.64800000000000046</v>
      </c>
      <c r="N328">
        <f t="shared" si="23"/>
        <v>0.64828798503574714</v>
      </c>
      <c r="O328">
        <f t="shared" si="21"/>
        <v>2.87985035746674E-4</v>
      </c>
      <c r="R328">
        <v>23.374297027862248</v>
      </c>
    </row>
    <row r="329" spans="2:18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2"/>
        <v>0.65000000000000047</v>
      </c>
      <c r="N329">
        <f t="shared" si="23"/>
        <v>0.64950344377001457</v>
      </c>
      <c r="O329">
        <f t="shared" si="21"/>
        <v>4.9655622998590054E-4</v>
      </c>
      <c r="R329">
        <v>19.361512527136266</v>
      </c>
    </row>
    <row r="330" spans="2:18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2"/>
        <v>0.65200000000000047</v>
      </c>
      <c r="N330">
        <f t="shared" si="23"/>
        <v>0.65434987996360983</v>
      </c>
      <c r="O330">
        <f t="shared" si="21"/>
        <v>2.3498799636093581E-3</v>
      </c>
      <c r="R330">
        <v>27.026348549486553</v>
      </c>
    </row>
    <row r="331" spans="2:18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2"/>
        <v>0.65400000000000047</v>
      </c>
      <c r="N331">
        <f t="shared" si="23"/>
        <v>0.65917115037464247</v>
      </c>
      <c r="O331">
        <f t="shared" si="21"/>
        <v>5.1711503746419973E-3</v>
      </c>
      <c r="R331">
        <v>18.909599541576299</v>
      </c>
    </row>
    <row r="332" spans="2:18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2"/>
        <v>0.65600000000000047</v>
      </c>
      <c r="N332">
        <f t="shared" si="23"/>
        <v>0.66157213114267366</v>
      </c>
      <c r="O332">
        <f t="shared" si="21"/>
        <v>5.5721311426731868E-3</v>
      </c>
      <c r="R332">
        <v>28.669873021790348</v>
      </c>
    </row>
    <row r="333" spans="2:18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2"/>
        <v>0.65800000000000047</v>
      </c>
      <c r="N333">
        <f t="shared" si="23"/>
        <v>0.66157213114267366</v>
      </c>
      <c r="O333">
        <f t="shared" si="21"/>
        <v>3.572131142673185E-3</v>
      </c>
      <c r="R333">
        <v>14.707689063346921</v>
      </c>
    </row>
    <row r="334" spans="2:18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2"/>
        <v>0.66000000000000048</v>
      </c>
      <c r="N334">
        <f t="shared" si="23"/>
        <v>0.66635435611763882</v>
      </c>
      <c r="O334">
        <f t="shared" si="21"/>
        <v>6.354356117638349E-3</v>
      </c>
      <c r="R334">
        <v>15.87616687641319</v>
      </c>
    </row>
    <row r="335" spans="2:18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2"/>
        <v>0.66200000000000048</v>
      </c>
      <c r="N335">
        <f t="shared" si="23"/>
        <v>0.66873543164211702</v>
      </c>
      <c r="O335">
        <f t="shared" si="21"/>
        <v>6.7354316421165406E-3</v>
      </c>
      <c r="R335">
        <v>22.510186363281626</v>
      </c>
    </row>
    <row r="336" spans="2:18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2"/>
        <v>0.66400000000000048</v>
      </c>
      <c r="N336">
        <f t="shared" si="23"/>
        <v>0.67110970475206566</v>
      </c>
      <c r="O336">
        <f t="shared" si="21"/>
        <v>7.1097047520651824E-3</v>
      </c>
      <c r="R336">
        <v>32.463758306869991</v>
      </c>
    </row>
    <row r="337" spans="2:18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2"/>
        <v>0.66600000000000048</v>
      </c>
      <c r="N337">
        <f t="shared" si="23"/>
        <v>0.67229426464900732</v>
      </c>
      <c r="O337">
        <f t="shared" si="21"/>
        <v>6.2942646490068421E-3</v>
      </c>
      <c r="R337">
        <v>18.575485226367302</v>
      </c>
    </row>
    <row r="338" spans="2:18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2"/>
        <v>0.66800000000000048</v>
      </c>
      <c r="N338">
        <f t="shared" si="23"/>
        <v>0.67583751533835756</v>
      </c>
      <c r="O338">
        <f t="shared" si="21"/>
        <v>7.8375153383570817E-3</v>
      </c>
      <c r="R338">
        <v>30.417531205946183</v>
      </c>
    </row>
    <row r="339" spans="2:18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2"/>
        <v>0.67000000000000048</v>
      </c>
      <c r="N339">
        <f t="shared" si="23"/>
        <v>0.68170756662273635</v>
      </c>
      <c r="O339">
        <f t="shared" si="21"/>
        <v>1.1707566622735865E-2</v>
      </c>
      <c r="R339">
        <v>23.040484448945158</v>
      </c>
    </row>
    <row r="340" spans="2:18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2"/>
        <v>0.67200000000000049</v>
      </c>
      <c r="N340">
        <f t="shared" si="23"/>
        <v>0.68753234082610348</v>
      </c>
      <c r="O340">
        <f t="shared" si="21"/>
        <v>1.5532340826102997E-2</v>
      </c>
      <c r="R340">
        <v>24.076619934813245</v>
      </c>
    </row>
    <row r="341" spans="2:18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2"/>
        <v>0.67400000000000049</v>
      </c>
      <c r="N341">
        <f t="shared" si="23"/>
        <v>0.68984930231859165</v>
      </c>
      <c r="O341">
        <f t="shared" si="21"/>
        <v>1.5849302318591163E-2</v>
      </c>
      <c r="R341">
        <v>20.828488425888246</v>
      </c>
    </row>
    <row r="342" spans="2:18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2"/>
        <v>0.67600000000000049</v>
      </c>
      <c r="N342">
        <f t="shared" si="23"/>
        <v>0.68984930231859165</v>
      </c>
      <c r="O342">
        <f t="shared" si="21"/>
        <v>1.3849302318591161E-2</v>
      </c>
      <c r="R342">
        <v>19.630541150655809</v>
      </c>
    </row>
    <row r="343" spans="2:18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2"/>
        <v>0.67800000000000049</v>
      </c>
      <c r="N343">
        <f t="shared" si="23"/>
        <v>0.68984930231859165</v>
      </c>
      <c r="O343">
        <f t="shared" si="21"/>
        <v>1.1849302318591159E-2</v>
      </c>
      <c r="R343">
        <v>28.806116964806403</v>
      </c>
    </row>
    <row r="344" spans="2:18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2"/>
        <v>0.68000000000000049</v>
      </c>
      <c r="N344">
        <f t="shared" si="23"/>
        <v>0.69100497050610843</v>
      </c>
      <c r="O344">
        <f t="shared" si="21"/>
        <v>1.1004970506107936E-2</v>
      </c>
      <c r="R344">
        <v>23.205230934624367</v>
      </c>
    </row>
    <row r="345" spans="2:18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2"/>
        <v>0.68200000000000049</v>
      </c>
      <c r="N345">
        <f t="shared" si="23"/>
        <v>0.69215875117150261</v>
      </c>
      <c r="O345">
        <f t="shared" si="21"/>
        <v>1.0158751171502112E-2</v>
      </c>
      <c r="R345">
        <v>22.687217532626573</v>
      </c>
    </row>
    <row r="346" spans="2:18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2"/>
        <v>0.6840000000000005</v>
      </c>
      <c r="N346">
        <f t="shared" si="23"/>
        <v>0.693310635022232</v>
      </c>
      <c r="O346">
        <f t="shared" si="21"/>
        <v>9.310635022231506E-3</v>
      </c>
      <c r="R346">
        <v>18.234104306724021</v>
      </c>
    </row>
    <row r="347" spans="2:18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2"/>
        <v>0.6860000000000005</v>
      </c>
      <c r="N347">
        <f t="shared" si="23"/>
        <v>0.70245632396878699</v>
      </c>
      <c r="O347">
        <f t="shared" si="21"/>
        <v>1.645632396878649E-2</v>
      </c>
      <c r="R347">
        <v>19.674368550041503</v>
      </c>
    </row>
    <row r="348" spans="2:18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2"/>
        <v>0.6880000000000005</v>
      </c>
      <c r="N348">
        <f t="shared" si="23"/>
        <v>0.70359072762963448</v>
      </c>
      <c r="O348">
        <f t="shared" si="21"/>
        <v>1.5590727629633983E-2</v>
      </c>
      <c r="R348">
        <v>32.588570694314797</v>
      </c>
    </row>
    <row r="349" spans="2:18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2"/>
        <v>0.6900000000000005</v>
      </c>
      <c r="N349">
        <f t="shared" si="23"/>
        <v>0.70698198424462055</v>
      </c>
      <c r="O349">
        <f t="shared" si="21"/>
        <v>1.6981984244620052E-2</v>
      </c>
      <c r="R349">
        <v>14.567495605819021</v>
      </c>
    </row>
    <row r="350" spans="2:18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2"/>
        <v>0.6920000000000005</v>
      </c>
      <c r="N350">
        <f t="shared" si="23"/>
        <v>0.71259371776239111</v>
      </c>
      <c r="O350">
        <f t="shared" si="21"/>
        <v>2.0593717762390606E-2</v>
      </c>
      <c r="R350">
        <v>25.014947673876005</v>
      </c>
    </row>
    <row r="351" spans="2:18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2"/>
        <v>0.69400000000000051</v>
      </c>
      <c r="N351">
        <f t="shared" si="23"/>
        <v>0.71370993471565425</v>
      </c>
      <c r="O351">
        <f t="shared" si="21"/>
        <v>1.9709934715653743E-2</v>
      </c>
      <c r="R351">
        <v>29.245040671820501</v>
      </c>
    </row>
    <row r="352" spans="2:18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2"/>
        <v>0.69600000000000051</v>
      </c>
      <c r="N352">
        <f t="shared" si="23"/>
        <v>0.71925991995383942</v>
      </c>
      <c r="O352">
        <f t="shared" si="21"/>
        <v>2.3259919953838915E-2</v>
      </c>
      <c r="R352">
        <v>31.867783764331641</v>
      </c>
    </row>
    <row r="353" spans="2:18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2"/>
        <v>0.69800000000000051</v>
      </c>
      <c r="N353">
        <f t="shared" si="23"/>
        <v>0.72256474392971759</v>
      </c>
      <c r="O353">
        <f t="shared" si="21"/>
        <v>2.4564743929717081E-2</v>
      </c>
      <c r="R353">
        <v>28.690250865409624</v>
      </c>
    </row>
    <row r="354" spans="2:18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2"/>
        <v>0.70000000000000051</v>
      </c>
      <c r="N354">
        <f t="shared" si="23"/>
        <v>0.72366211037029315</v>
      </c>
      <c r="O354">
        <f t="shared" si="21"/>
        <v>2.3662110370292644E-2</v>
      </c>
      <c r="R354">
        <v>30.457155255151633</v>
      </c>
    </row>
    <row r="355" spans="2:18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2"/>
        <v>0.70200000000000051</v>
      </c>
      <c r="N355">
        <f t="shared" si="23"/>
        <v>0.72694137785281954</v>
      </c>
      <c r="O355">
        <f t="shared" si="21"/>
        <v>2.4941377852819024E-2</v>
      </c>
      <c r="R355">
        <v>21.747056330685581</v>
      </c>
    </row>
    <row r="356" spans="2:18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2"/>
        <v>0.70400000000000051</v>
      </c>
      <c r="N356">
        <f t="shared" si="23"/>
        <v>0.7280301646185765</v>
      </c>
      <c r="O356">
        <f t="shared" si="21"/>
        <v>2.4030164618575989E-2</v>
      </c>
      <c r="R356">
        <v>19.998172709323256</v>
      </c>
    </row>
    <row r="357" spans="2:18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2"/>
        <v>0.70600000000000052</v>
      </c>
      <c r="N357">
        <f t="shared" si="23"/>
        <v>0.7345171943995199</v>
      </c>
      <c r="O357">
        <f t="shared" si="21"/>
        <v>2.8517194399519386E-2</v>
      </c>
      <c r="R357">
        <v>20.488207562530334</v>
      </c>
    </row>
    <row r="358" spans="2:18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2"/>
        <v>0.70800000000000052</v>
      </c>
      <c r="N358">
        <f t="shared" si="23"/>
        <v>0.7345171943995199</v>
      </c>
      <c r="O358">
        <f t="shared" si="21"/>
        <v>2.6517194399519384E-2</v>
      </c>
      <c r="R358">
        <v>16.911064990133035</v>
      </c>
    </row>
    <row r="359" spans="2:18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2"/>
        <v>0.71000000000000052</v>
      </c>
      <c r="N359">
        <f t="shared" si="23"/>
        <v>0.73559068371341452</v>
      </c>
      <c r="O359">
        <f t="shared" si="21"/>
        <v>2.5590683713413998E-2</v>
      </c>
      <c r="R359">
        <v>19.716433523508211</v>
      </c>
    </row>
    <row r="360" spans="2:18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2"/>
        <v>0.71200000000000052</v>
      </c>
      <c r="N360">
        <f t="shared" si="23"/>
        <v>0.73666195925500466</v>
      </c>
      <c r="O360">
        <f t="shared" si="21"/>
        <v>2.466195925500414E-2</v>
      </c>
      <c r="R360">
        <v>16.617914876878782</v>
      </c>
    </row>
    <row r="361" spans="2:18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2"/>
        <v>0.71400000000000052</v>
      </c>
      <c r="N361">
        <f t="shared" si="23"/>
        <v>0.73773101410408048</v>
      </c>
      <c r="O361">
        <f t="shared" si="21"/>
        <v>2.3731014104079962E-2</v>
      </c>
      <c r="R361">
        <v>23.31425667813896</v>
      </c>
    </row>
    <row r="362" spans="2:18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2"/>
        <v>0.71600000000000052</v>
      </c>
      <c r="N362">
        <f t="shared" si="23"/>
        <v>0.73773101410408048</v>
      </c>
      <c r="O362">
        <f t="shared" si="21"/>
        <v>2.173101410407996E-2</v>
      </c>
      <c r="R362">
        <v>18.480684842395647</v>
      </c>
    </row>
    <row r="363" spans="2:18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2"/>
        <v>0.71800000000000053</v>
      </c>
      <c r="N363">
        <f t="shared" si="23"/>
        <v>0.73879784140244176</v>
      </c>
      <c r="O363">
        <f t="shared" si="21"/>
        <v>2.0797841402441231E-2</v>
      </c>
      <c r="R363">
        <v>28.044596142873377</v>
      </c>
    </row>
    <row r="364" spans="2:18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2"/>
        <v>0.72000000000000053</v>
      </c>
      <c r="N364">
        <f t="shared" si="23"/>
        <v>0.74620269804583894</v>
      </c>
      <c r="O364">
        <f t="shared" si="21"/>
        <v>2.6202698045838413E-2</v>
      </c>
      <c r="R364">
        <v>27.699681627146234</v>
      </c>
    </row>
    <row r="365" spans="2:18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2"/>
        <v>0.72200000000000053</v>
      </c>
      <c r="N365">
        <f t="shared" si="23"/>
        <v>0.7503840242277624</v>
      </c>
      <c r="O365">
        <f t="shared" si="21"/>
        <v>2.8384024227761873E-2</v>
      </c>
      <c r="R365">
        <v>20.964027614431654</v>
      </c>
    </row>
    <row r="366" spans="2:18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2"/>
        <v>0.72400000000000053</v>
      </c>
      <c r="N366">
        <f t="shared" si="23"/>
        <v>0.75246088208028894</v>
      </c>
      <c r="O366">
        <f t="shared" si="21"/>
        <v>2.8460882080288408E-2</v>
      </c>
      <c r="R366">
        <v>21.925775251088247</v>
      </c>
    </row>
    <row r="367" spans="2:18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2"/>
        <v>0.72600000000000053</v>
      </c>
      <c r="N367">
        <f t="shared" si="23"/>
        <v>0.75246088208028894</v>
      </c>
      <c r="O367">
        <f t="shared" si="21"/>
        <v>2.6460882080288406E-2</v>
      </c>
      <c r="R367">
        <v>15.754885347599593</v>
      </c>
    </row>
    <row r="368" spans="2:18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2"/>
        <v>0.72800000000000054</v>
      </c>
      <c r="N368">
        <f t="shared" si="23"/>
        <v>0.75246088208028894</v>
      </c>
      <c r="O368">
        <f t="shared" si="21"/>
        <v>2.4460882080288404E-2</v>
      </c>
      <c r="R368">
        <v>27.615628144102509</v>
      </c>
    </row>
    <row r="369" spans="2:18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2"/>
        <v>0.73000000000000054</v>
      </c>
      <c r="N369">
        <f t="shared" si="23"/>
        <v>0.75555877666047644</v>
      </c>
      <c r="O369">
        <f t="shared" si="21"/>
        <v>2.5558776660475901E-2</v>
      </c>
      <c r="R369">
        <v>14.475130470149168</v>
      </c>
    </row>
    <row r="370" spans="2:18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2"/>
        <v>0.73200000000000054</v>
      </c>
      <c r="N370">
        <f t="shared" si="23"/>
        <v>0.75658674678271098</v>
      </c>
      <c r="O370">
        <f t="shared" si="21"/>
        <v>2.4586746782710445E-2</v>
      </c>
      <c r="R370">
        <v>15.245226093376798</v>
      </c>
    </row>
    <row r="371" spans="2:18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2"/>
        <v>0.73400000000000054</v>
      </c>
      <c r="N371">
        <f t="shared" si="23"/>
        <v>0.75761237660162872</v>
      </c>
      <c r="O371">
        <f t="shared" si="21"/>
        <v>2.3612376601628182E-2</v>
      </c>
      <c r="R371">
        <v>21.943956254781423</v>
      </c>
    </row>
    <row r="372" spans="2:18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2"/>
        <v>0.73600000000000054</v>
      </c>
      <c r="N372">
        <f t="shared" si="23"/>
        <v>0.75965659272979047</v>
      </c>
      <c r="O372">
        <f t="shared" si="21"/>
        <v>2.3656592729789927E-2</v>
      </c>
      <c r="R372">
        <v>25.047642867626195</v>
      </c>
    </row>
    <row r="373" spans="2:18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2"/>
        <v>0.73800000000000054</v>
      </c>
      <c r="N373">
        <f t="shared" si="23"/>
        <v>0.76067516789748124</v>
      </c>
      <c r="O373">
        <f t="shared" si="21"/>
        <v>2.2675167897480697E-2</v>
      </c>
      <c r="R373">
        <v>27.581675868307432</v>
      </c>
    </row>
    <row r="374" spans="2:18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2"/>
        <v>0.74000000000000055</v>
      </c>
      <c r="N374">
        <f t="shared" si="23"/>
        <v>0.76067516789748124</v>
      </c>
      <c r="O374">
        <f t="shared" si="21"/>
        <v>2.0675167897480695E-2</v>
      </c>
      <c r="R374">
        <v>27.069791154395823</v>
      </c>
    </row>
    <row r="375" spans="2:18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2"/>
        <v>0.74200000000000055</v>
      </c>
      <c r="N375">
        <f t="shared" si="23"/>
        <v>0.76067516789748124</v>
      </c>
      <c r="O375">
        <f t="shared" si="21"/>
        <v>1.8675167897480693E-2</v>
      </c>
      <c r="R375">
        <v>18.264323474235535</v>
      </c>
    </row>
    <row r="376" spans="2:18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2"/>
        <v>0.74400000000000055</v>
      </c>
      <c r="N376">
        <f t="shared" si="23"/>
        <v>0.76371669629657701</v>
      </c>
      <c r="O376">
        <f t="shared" si="21"/>
        <v>1.9716696296576464E-2</v>
      </c>
      <c r="R376">
        <v>21.1111782399528</v>
      </c>
    </row>
    <row r="377" spans="2:18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2"/>
        <v>0.74600000000000055</v>
      </c>
      <c r="N377">
        <f t="shared" si="23"/>
        <v>0.76371669629657701</v>
      </c>
      <c r="O377">
        <f t="shared" si="21"/>
        <v>1.7716696296576462E-2</v>
      </c>
      <c r="R377">
        <v>20.35274862980787</v>
      </c>
    </row>
    <row r="378" spans="2:18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2"/>
        <v>0.74800000000000055</v>
      </c>
      <c r="N378">
        <f t="shared" si="23"/>
        <v>0.7677387430050886</v>
      </c>
      <c r="O378">
        <f t="shared" si="21"/>
        <v>1.9738743005088044E-2</v>
      </c>
      <c r="R378">
        <v>14.822379578617912</v>
      </c>
    </row>
    <row r="379" spans="2:18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2"/>
        <v>0.75000000000000056</v>
      </c>
      <c r="N379">
        <f t="shared" si="23"/>
        <v>0.7687382694907976</v>
      </c>
      <c r="O379">
        <f t="shared" si="21"/>
        <v>1.8738269490797044E-2</v>
      </c>
      <c r="R379">
        <v>27.55050014658535</v>
      </c>
    </row>
    <row r="380" spans="2:18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2"/>
        <v>0.75200000000000056</v>
      </c>
      <c r="N380">
        <f t="shared" si="23"/>
        <v>0.7687382694907976</v>
      </c>
      <c r="O380">
        <f t="shared" si="21"/>
        <v>1.6738269490797042E-2</v>
      </c>
      <c r="R380">
        <v>18.015173098766226</v>
      </c>
    </row>
    <row r="381" spans="2:18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2"/>
        <v>0.75400000000000056</v>
      </c>
      <c r="N381">
        <f t="shared" si="23"/>
        <v>0.76973539186888829</v>
      </c>
      <c r="O381">
        <f t="shared" si="21"/>
        <v>1.5735391868887727E-2</v>
      </c>
      <c r="R381">
        <v>16.735760733730476</v>
      </c>
    </row>
    <row r="382" spans="2:18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2"/>
        <v>0.75600000000000056</v>
      </c>
      <c r="N382">
        <f t="shared" si="23"/>
        <v>0.77271228563187599</v>
      </c>
      <c r="O382">
        <f t="shared" si="21"/>
        <v>1.6712285631875434E-2</v>
      </c>
      <c r="R382">
        <v>15.73438452454819</v>
      </c>
    </row>
    <row r="383" spans="2:18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2"/>
        <v>0.75800000000000056</v>
      </c>
      <c r="N383">
        <f t="shared" si="23"/>
        <v>0.77369974317166545</v>
      </c>
      <c r="O383">
        <f t="shared" si="21"/>
        <v>1.5699743171664893E-2</v>
      </c>
      <c r="R383">
        <v>29.9883312221578</v>
      </c>
    </row>
    <row r="384" spans="2:18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2"/>
        <v>0.76000000000000056</v>
      </c>
      <c r="N384">
        <f t="shared" si="23"/>
        <v>0.77369974317166545</v>
      </c>
      <c r="O384">
        <f t="shared" si="21"/>
        <v>1.3699743171664891E-2</v>
      </c>
      <c r="R384">
        <v>28.415668234878787</v>
      </c>
    </row>
    <row r="385" spans="2:18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2"/>
        <v>0.76200000000000057</v>
      </c>
      <c r="N385">
        <f t="shared" si="23"/>
        <v>0.77468477271766745</v>
      </c>
      <c r="O385">
        <f t="shared" si="21"/>
        <v>1.2684772717666881E-2</v>
      </c>
      <c r="R385">
        <v>20.063847220885219</v>
      </c>
    </row>
    <row r="386" spans="2:18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2"/>
        <v>0.76400000000000057</v>
      </c>
      <c r="N386">
        <f t="shared" si="23"/>
        <v>0.77468477271766745</v>
      </c>
      <c r="O386">
        <f t="shared" si="21"/>
        <v>1.0684772717666879E-2</v>
      </c>
      <c r="R386">
        <v>27.828835804147367</v>
      </c>
    </row>
    <row r="387" spans="2:18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2"/>
        <v>0.76600000000000057</v>
      </c>
      <c r="N387">
        <f t="shared" si="23"/>
        <v>0.77468477271766745</v>
      </c>
      <c r="O387">
        <f t="shared" si="21"/>
        <v>8.6847727176668776E-3</v>
      </c>
      <c r="R387">
        <v>25.570904176488888</v>
      </c>
    </row>
    <row r="388" spans="2:18" s="20" customFormat="1" x14ac:dyDescent="0.25">
      <c r="B388" s="19">
        <v>21.56</v>
      </c>
      <c r="J388" s="19">
        <v>27.23</v>
      </c>
      <c r="K388" s="20">
        <v>1</v>
      </c>
      <c r="L388" s="20">
        <f t="shared" si="20"/>
        <v>2E-3</v>
      </c>
      <c r="M388" s="20">
        <f t="shared" si="22"/>
        <v>0.76800000000000057</v>
      </c>
      <c r="N388">
        <f t="shared" si="23"/>
        <v>0.77468477271766745</v>
      </c>
      <c r="O388" s="20">
        <f t="shared" si="21"/>
        <v>6.6847727176668759E-3</v>
      </c>
      <c r="R388" s="20">
        <v>29.176029491684851</v>
      </c>
    </row>
    <row r="389" spans="2:18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2"/>
        <v>0.77000000000000057</v>
      </c>
      <c r="N389">
        <f t="shared" si="23"/>
        <v>0.7756673696832842</v>
      </c>
      <c r="O389">
        <f t="shared" si="21"/>
        <v>5.6673696832836296E-3</v>
      </c>
      <c r="R389">
        <v>27.377866574017325</v>
      </c>
    </row>
    <row r="390" spans="2:18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2"/>
        <v>0.77200000000000057</v>
      </c>
      <c r="N390">
        <f t="shared" si="23"/>
        <v>0.77664752954545035</v>
      </c>
      <c r="O390">
        <f t="shared" ref="O390:O453" si="25">ABS(M390-N390)</f>
        <v>4.64752954544978E-3</v>
      </c>
      <c r="R390">
        <v>25.817472143357623</v>
      </c>
    </row>
    <row r="391" spans="2:18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6">M390+L391</f>
        <v>0.77400000000000058</v>
      </c>
      <c r="N391">
        <f t="shared" ref="N391:N454" si="27">NORMDIST(J391,$E$8,$E$12,1)</f>
        <v>0.77762524784461873</v>
      </c>
      <c r="O391">
        <f t="shared" si="25"/>
        <v>3.6252478446181513E-3</v>
      </c>
      <c r="R391">
        <v>20.676946456954862</v>
      </c>
    </row>
    <row r="392" spans="2:18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6"/>
        <v>0.77600000000000058</v>
      </c>
      <c r="N392">
        <f t="shared" si="27"/>
        <v>0.77762524784461873</v>
      </c>
      <c r="O392">
        <f t="shared" si="25"/>
        <v>1.6252478446181495E-3</v>
      </c>
      <c r="R392">
        <v>32.39800667587825</v>
      </c>
    </row>
    <row r="393" spans="2:18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6"/>
        <v>0.77800000000000058</v>
      </c>
      <c r="N393">
        <f t="shared" si="27"/>
        <v>0.77957334223328378</v>
      </c>
      <c r="O393">
        <f t="shared" si="25"/>
        <v>1.5733422332832037E-3</v>
      </c>
      <c r="R393">
        <v>31.775383726857406</v>
      </c>
    </row>
    <row r="394" spans="2:18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6"/>
        <v>0.78000000000000058</v>
      </c>
      <c r="N394">
        <f t="shared" si="27"/>
        <v>0.78726720915081649</v>
      </c>
      <c r="O394">
        <f t="shared" si="25"/>
        <v>7.267209150815912E-3</v>
      </c>
      <c r="R394">
        <v>16.153474977393017</v>
      </c>
    </row>
    <row r="395" spans="2:18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6"/>
        <v>0.78200000000000058</v>
      </c>
      <c r="N395">
        <f t="shared" si="27"/>
        <v>0.79105459357587393</v>
      </c>
      <c r="O395">
        <f t="shared" si="25"/>
        <v>9.0545935758733487E-3</v>
      </c>
      <c r="R395">
        <v>23.770736582219563</v>
      </c>
    </row>
    <row r="396" spans="2:18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6"/>
        <v>0.78400000000000059</v>
      </c>
      <c r="N396">
        <f t="shared" si="27"/>
        <v>0.79386888580613157</v>
      </c>
      <c r="O396">
        <f t="shared" si="25"/>
        <v>9.8688858061309892E-3</v>
      </c>
      <c r="R396">
        <v>25.798505858079171</v>
      </c>
    </row>
    <row r="397" spans="2:18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6"/>
        <v>0.78600000000000059</v>
      </c>
      <c r="N397">
        <f t="shared" si="27"/>
        <v>0.80034753565787708</v>
      </c>
      <c r="O397">
        <f t="shared" si="25"/>
        <v>1.4347535657876498E-2</v>
      </c>
      <c r="R397">
        <v>29.985122231322549</v>
      </c>
    </row>
    <row r="398" spans="2:18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6"/>
        <v>0.78800000000000059</v>
      </c>
      <c r="N398">
        <f t="shared" si="27"/>
        <v>0.80308617228155676</v>
      </c>
      <c r="O398">
        <f t="shared" si="25"/>
        <v>1.5086172281556176E-2</v>
      </c>
      <c r="R398">
        <v>20.061243305393333</v>
      </c>
    </row>
    <row r="399" spans="2:18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6"/>
        <v>0.79000000000000059</v>
      </c>
      <c r="N399">
        <f t="shared" si="27"/>
        <v>0.80938727949541001</v>
      </c>
      <c r="O399">
        <f t="shared" si="25"/>
        <v>1.9387279495409415E-2</v>
      </c>
      <c r="R399">
        <v>26.430839642620558</v>
      </c>
    </row>
    <row r="400" spans="2:18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6"/>
        <v>0.79200000000000059</v>
      </c>
      <c r="N400">
        <f t="shared" si="27"/>
        <v>0.80938727949541001</v>
      </c>
      <c r="O400">
        <f t="shared" si="25"/>
        <v>1.7387279495409413E-2</v>
      </c>
      <c r="R400">
        <v>31.610851726335873</v>
      </c>
    </row>
    <row r="401" spans="2:18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6"/>
        <v>0.79400000000000059</v>
      </c>
      <c r="N401">
        <f t="shared" si="27"/>
        <v>0.81116460985916283</v>
      </c>
      <c r="O401">
        <f t="shared" si="25"/>
        <v>1.7164609859162239E-2</v>
      </c>
      <c r="R401">
        <v>23.680736561620535</v>
      </c>
    </row>
    <row r="402" spans="2:18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6"/>
        <v>0.7960000000000006</v>
      </c>
      <c r="N402">
        <f t="shared" si="27"/>
        <v>0.81116460985916283</v>
      </c>
      <c r="O402">
        <f t="shared" si="25"/>
        <v>1.5164609859162237E-2</v>
      </c>
      <c r="R402">
        <v>25.317243454361325</v>
      </c>
    </row>
    <row r="403" spans="2:18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6"/>
        <v>0.7980000000000006</v>
      </c>
      <c r="N403">
        <f t="shared" si="27"/>
        <v>0.81556306089182706</v>
      </c>
      <c r="O403">
        <f t="shared" si="25"/>
        <v>1.7563060891826465E-2</v>
      </c>
      <c r="R403">
        <v>29.66722294366782</v>
      </c>
    </row>
    <row r="404" spans="2:18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6"/>
        <v>0.8000000000000006</v>
      </c>
      <c r="N404">
        <f t="shared" si="27"/>
        <v>0.81643504247316101</v>
      </c>
      <c r="O404">
        <f t="shared" si="25"/>
        <v>1.6435042473160411E-2</v>
      </c>
      <c r="R404">
        <v>25.701776169145518</v>
      </c>
    </row>
    <row r="405" spans="2:18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6"/>
        <v>0.8020000000000006</v>
      </c>
      <c r="N405">
        <f t="shared" si="27"/>
        <v>0.81730445022676634</v>
      </c>
      <c r="O405">
        <f t="shared" si="25"/>
        <v>1.5304450226765742E-2</v>
      </c>
      <c r="R405">
        <v>25.347458419594467</v>
      </c>
    </row>
    <row r="406" spans="2:18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6"/>
        <v>0.8040000000000006</v>
      </c>
      <c r="N406">
        <f t="shared" si="27"/>
        <v>0.82246675450182249</v>
      </c>
      <c r="O406">
        <f t="shared" si="25"/>
        <v>1.8466754501821891E-2</v>
      </c>
      <c r="R406">
        <v>28.925266611175871</v>
      </c>
    </row>
    <row r="407" spans="2:18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6"/>
        <v>0.8060000000000006</v>
      </c>
      <c r="N407">
        <f t="shared" si="27"/>
        <v>0.82416686120890958</v>
      </c>
      <c r="O407">
        <f t="shared" si="25"/>
        <v>1.816686120890898E-2</v>
      </c>
      <c r="R407">
        <v>23.738978252654778</v>
      </c>
    </row>
    <row r="408" spans="2:18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6"/>
        <v>0.80800000000000061</v>
      </c>
      <c r="N408">
        <f t="shared" si="27"/>
        <v>0.82585661954374034</v>
      </c>
      <c r="O408">
        <f t="shared" si="25"/>
        <v>1.7856619543739738E-2</v>
      </c>
      <c r="R408">
        <v>29.855214653906728</v>
      </c>
    </row>
    <row r="409" spans="2:18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6"/>
        <v>0.81000000000000061</v>
      </c>
      <c r="N409">
        <f t="shared" si="27"/>
        <v>0.82753602032355933</v>
      </c>
      <c r="O409">
        <f t="shared" si="25"/>
        <v>1.7536020323558721E-2</v>
      </c>
      <c r="R409">
        <v>20.77395089845685</v>
      </c>
    </row>
    <row r="410" spans="2:18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6"/>
        <v>0.81200000000000061</v>
      </c>
      <c r="N410">
        <f t="shared" si="27"/>
        <v>0.82837183401891445</v>
      </c>
      <c r="O410">
        <f t="shared" si="25"/>
        <v>1.6371834018913844E-2</v>
      </c>
      <c r="R410">
        <v>18.555783149212377</v>
      </c>
    </row>
    <row r="411" spans="2:18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6"/>
        <v>0.81400000000000061</v>
      </c>
      <c r="N411">
        <f t="shared" si="27"/>
        <v>0.82920505530936284</v>
      </c>
      <c r="O411">
        <f t="shared" si="25"/>
        <v>1.5205055309362225E-2</v>
      </c>
      <c r="R411">
        <v>21.168664515326064</v>
      </c>
    </row>
    <row r="412" spans="2:18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6"/>
        <v>0.81600000000000061</v>
      </c>
      <c r="N412">
        <f t="shared" si="27"/>
        <v>0.83086371720115315</v>
      </c>
      <c r="O412">
        <f t="shared" si="25"/>
        <v>1.4863717201152538E-2</v>
      </c>
      <c r="R412">
        <v>31.106957043195308</v>
      </c>
    </row>
    <row r="413" spans="2:18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6"/>
        <v>0.81800000000000062</v>
      </c>
      <c r="N413">
        <f t="shared" si="27"/>
        <v>0.83658726216974399</v>
      </c>
      <c r="O413">
        <f t="shared" si="25"/>
        <v>1.8587262169743379E-2</v>
      </c>
      <c r="R413">
        <v>17.561021348725497</v>
      </c>
    </row>
    <row r="414" spans="2:18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6"/>
        <v>0.82000000000000062</v>
      </c>
      <c r="N414">
        <f t="shared" si="27"/>
        <v>0.83819917972833069</v>
      </c>
      <c r="O414">
        <f t="shared" si="25"/>
        <v>1.8199179728330073E-2</v>
      </c>
      <c r="R414">
        <v>14.323492848925987</v>
      </c>
    </row>
    <row r="415" spans="2:18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6"/>
        <v>0.82200000000000062</v>
      </c>
      <c r="N415">
        <f t="shared" si="27"/>
        <v>0.83900123985494668</v>
      </c>
      <c r="O415">
        <f t="shared" si="25"/>
        <v>1.700123985494606E-2</v>
      </c>
      <c r="R415">
        <v>20.551088673670165</v>
      </c>
    </row>
    <row r="416" spans="2:18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6"/>
        <v>0.82400000000000062</v>
      </c>
      <c r="N416">
        <f t="shared" si="27"/>
        <v>0.84297254791698528</v>
      </c>
      <c r="O416">
        <f t="shared" si="25"/>
        <v>1.8972547916984661E-2</v>
      </c>
      <c r="R416">
        <v>32.568816434027525</v>
      </c>
    </row>
    <row r="417" spans="2:18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6"/>
        <v>0.82600000000000062</v>
      </c>
      <c r="N417">
        <f t="shared" si="27"/>
        <v>0.84375901084158722</v>
      </c>
      <c r="O417">
        <f t="shared" si="25"/>
        <v>1.7759010841586598E-2</v>
      </c>
      <c r="R417">
        <v>27.417093284180751</v>
      </c>
    </row>
    <row r="418" spans="2:18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6"/>
        <v>0.82800000000000062</v>
      </c>
      <c r="N418">
        <f t="shared" si="27"/>
        <v>0.84532413880782653</v>
      </c>
      <c r="O418">
        <f t="shared" si="25"/>
        <v>1.7324138807825906E-2</v>
      </c>
      <c r="R418">
        <v>24.479164668403659</v>
      </c>
    </row>
    <row r="419" spans="2:18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6"/>
        <v>0.83000000000000063</v>
      </c>
      <c r="N419">
        <f t="shared" si="27"/>
        <v>0.84919148414149848</v>
      </c>
      <c r="O419">
        <f t="shared" si="25"/>
        <v>1.919148414149785E-2</v>
      </c>
      <c r="R419">
        <v>28.070767827997862</v>
      </c>
    </row>
    <row r="420" spans="2:18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6"/>
        <v>0.83200000000000063</v>
      </c>
      <c r="N420">
        <f t="shared" si="27"/>
        <v>0.84919148414149848</v>
      </c>
      <c r="O420">
        <f t="shared" si="25"/>
        <v>1.7191484141497848E-2</v>
      </c>
      <c r="R420">
        <v>16.947744696430313</v>
      </c>
    </row>
    <row r="421" spans="2:18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6"/>
        <v>0.83400000000000063</v>
      </c>
      <c r="N421">
        <f t="shared" si="27"/>
        <v>0.84995716079013151</v>
      </c>
      <c r="O421">
        <f t="shared" si="25"/>
        <v>1.5957160790130875E-2</v>
      </c>
      <c r="R421">
        <v>25.501531188010159</v>
      </c>
    </row>
    <row r="422" spans="2:18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6"/>
        <v>0.83600000000000063</v>
      </c>
      <c r="N422">
        <f t="shared" si="27"/>
        <v>0.85223861583812976</v>
      </c>
      <c r="O422">
        <f t="shared" si="25"/>
        <v>1.6238615838129133E-2</v>
      </c>
      <c r="R422">
        <v>29.488074893451316</v>
      </c>
    </row>
    <row r="423" spans="2:18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6"/>
        <v>0.83800000000000063</v>
      </c>
      <c r="N423">
        <f t="shared" si="27"/>
        <v>0.85374661378615369</v>
      </c>
      <c r="O423">
        <f t="shared" si="25"/>
        <v>1.5746613786153052E-2</v>
      </c>
      <c r="R423">
        <v>24.104558217306327</v>
      </c>
    </row>
    <row r="424" spans="2:18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6"/>
        <v>0.84000000000000064</v>
      </c>
      <c r="N424">
        <f t="shared" si="27"/>
        <v>0.85524424159030576</v>
      </c>
      <c r="O424">
        <f t="shared" si="25"/>
        <v>1.524424159030513E-2</v>
      </c>
      <c r="R424">
        <v>28.918398860138399</v>
      </c>
    </row>
    <row r="425" spans="2:18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6"/>
        <v>0.84200000000000064</v>
      </c>
      <c r="N425">
        <f t="shared" si="27"/>
        <v>0.85673150664841446</v>
      </c>
      <c r="O425">
        <f t="shared" si="25"/>
        <v>1.4731506648413828E-2</v>
      </c>
      <c r="R425">
        <v>18.136702768013546</v>
      </c>
    </row>
    <row r="426" spans="2:18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6"/>
        <v>0.84400000000000064</v>
      </c>
      <c r="N426">
        <f t="shared" si="27"/>
        <v>0.86113121182902908</v>
      </c>
      <c r="O426">
        <f t="shared" si="25"/>
        <v>1.7131211829028437E-2</v>
      </c>
      <c r="R426">
        <v>22.91386743186256</v>
      </c>
    </row>
    <row r="427" spans="2:18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6"/>
        <v>0.84600000000000064</v>
      </c>
      <c r="N427">
        <f t="shared" si="27"/>
        <v>0.86185545407407349</v>
      </c>
      <c r="O427">
        <f t="shared" si="25"/>
        <v>1.585545407407285E-2</v>
      </c>
      <c r="R427">
        <v>22.113816804047179</v>
      </c>
    </row>
    <row r="428" spans="2:18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6"/>
        <v>0.84800000000000064</v>
      </c>
      <c r="N428">
        <f t="shared" si="27"/>
        <v>0.86543799811849387</v>
      </c>
      <c r="O428">
        <f t="shared" si="25"/>
        <v>1.7437998118493225E-2</v>
      </c>
      <c r="R428">
        <v>22.921400116437162</v>
      </c>
    </row>
    <row r="429" spans="2:18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6"/>
        <v>0.85000000000000064</v>
      </c>
      <c r="N429">
        <f t="shared" si="27"/>
        <v>0.86614678443712767</v>
      </c>
      <c r="O429">
        <f t="shared" si="25"/>
        <v>1.6146784437127026E-2</v>
      </c>
      <c r="R429">
        <v>29.721578430499243</v>
      </c>
    </row>
    <row r="430" spans="2:18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6"/>
        <v>0.85200000000000065</v>
      </c>
      <c r="N430">
        <f t="shared" si="27"/>
        <v>0.86755664798431054</v>
      </c>
      <c r="O430">
        <f t="shared" si="25"/>
        <v>1.555664798430989E-2</v>
      </c>
      <c r="R430">
        <v>29.406926640379872</v>
      </c>
    </row>
    <row r="431" spans="2:18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6"/>
        <v>0.85400000000000065</v>
      </c>
      <c r="N431">
        <f t="shared" si="27"/>
        <v>0.86755664798431054</v>
      </c>
      <c r="O431">
        <f t="shared" si="25"/>
        <v>1.3556647984309889E-2</v>
      </c>
      <c r="R431">
        <v>28.379901303586507</v>
      </c>
    </row>
    <row r="432" spans="2:18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6"/>
        <v>0.85600000000000065</v>
      </c>
      <c r="N432">
        <f t="shared" si="27"/>
        <v>0.8682577287834532</v>
      </c>
      <c r="O432">
        <f t="shared" si="25"/>
        <v>1.2257728783452548E-2</v>
      </c>
      <c r="R432">
        <v>29.918725234425366</v>
      </c>
    </row>
    <row r="433" spans="2:18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6"/>
        <v>0.85800000000000065</v>
      </c>
      <c r="N433">
        <f t="shared" si="27"/>
        <v>0.8682577287834532</v>
      </c>
      <c r="O433">
        <f t="shared" si="25"/>
        <v>1.0257728783452547E-2</v>
      </c>
      <c r="R433">
        <v>23.559240645504801</v>
      </c>
    </row>
    <row r="434" spans="2:18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6"/>
        <v>0.86000000000000065</v>
      </c>
      <c r="N434">
        <f t="shared" si="27"/>
        <v>0.86895624472759803</v>
      </c>
      <c r="O434">
        <f t="shared" si="25"/>
        <v>8.9562447275973733E-3</v>
      </c>
      <c r="R434">
        <v>14.557180206699176</v>
      </c>
    </row>
    <row r="435" spans="2:18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6"/>
        <v>0.86200000000000065</v>
      </c>
      <c r="N435">
        <f t="shared" si="27"/>
        <v>0.86895624472759803</v>
      </c>
      <c r="O435">
        <f t="shared" si="25"/>
        <v>6.9562447275973716E-3</v>
      </c>
      <c r="R435">
        <v>25.066726289697321</v>
      </c>
    </row>
    <row r="436" spans="2:18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6"/>
        <v>0.86400000000000066</v>
      </c>
      <c r="N436">
        <f t="shared" si="27"/>
        <v>0.87241042001796432</v>
      </c>
      <c r="O436">
        <f t="shared" si="25"/>
        <v>8.4104200179636601E-3</v>
      </c>
      <c r="R436">
        <v>23.314878267731039</v>
      </c>
    </row>
    <row r="437" spans="2:18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6"/>
        <v>0.86600000000000066</v>
      </c>
      <c r="N437">
        <f t="shared" si="27"/>
        <v>0.87309358853515473</v>
      </c>
      <c r="O437">
        <f t="shared" si="25"/>
        <v>7.0935885351540717E-3</v>
      </c>
      <c r="R437">
        <v>25.633023152399907</v>
      </c>
    </row>
    <row r="438" spans="2:18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6"/>
        <v>0.86800000000000066</v>
      </c>
      <c r="N438">
        <f t="shared" si="27"/>
        <v>0.87445227627108202</v>
      </c>
      <c r="O438">
        <f t="shared" si="25"/>
        <v>6.4522762710813586E-3</v>
      </c>
      <c r="R438">
        <v>16.987230462701188</v>
      </c>
    </row>
    <row r="439" spans="2:18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6"/>
        <v>0.87000000000000066</v>
      </c>
      <c r="N439">
        <f t="shared" si="27"/>
        <v>0.87512780001021573</v>
      </c>
      <c r="O439">
        <f t="shared" si="25"/>
        <v>5.1278000102150667E-3</v>
      </c>
      <c r="R439">
        <v>25.114429856369412</v>
      </c>
    </row>
    <row r="440" spans="2:18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6"/>
        <v>0.87200000000000066</v>
      </c>
      <c r="N440">
        <f t="shared" si="27"/>
        <v>0.87713911880128803</v>
      </c>
      <c r="O440">
        <f t="shared" si="25"/>
        <v>5.1391188012873679E-3</v>
      </c>
      <c r="R440">
        <v>15.264717894395362</v>
      </c>
    </row>
    <row r="441" spans="2:18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6"/>
        <v>0.87400000000000067</v>
      </c>
      <c r="N441">
        <f t="shared" si="27"/>
        <v>0.87978537982755467</v>
      </c>
      <c r="O441">
        <f t="shared" si="25"/>
        <v>5.7853798275540047E-3</v>
      </c>
      <c r="R441">
        <v>24.771545917019424</v>
      </c>
    </row>
    <row r="442" spans="2:18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6"/>
        <v>0.87600000000000067</v>
      </c>
      <c r="N442">
        <f t="shared" si="27"/>
        <v>0.87978537982755467</v>
      </c>
      <c r="O442">
        <f t="shared" si="25"/>
        <v>3.7853798275540029E-3</v>
      </c>
      <c r="R442">
        <v>25.401362120537883</v>
      </c>
    </row>
    <row r="443" spans="2:18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6"/>
        <v>0.87800000000000067</v>
      </c>
      <c r="N443">
        <f t="shared" si="27"/>
        <v>0.88174354279651368</v>
      </c>
      <c r="O443">
        <f t="shared" si="25"/>
        <v>3.7435427965130108E-3</v>
      </c>
      <c r="R443">
        <v>20.936541579956295</v>
      </c>
    </row>
    <row r="444" spans="2:18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6"/>
        <v>0.88000000000000067</v>
      </c>
      <c r="N444">
        <f t="shared" si="27"/>
        <v>0.88495682849998736</v>
      </c>
      <c r="O444">
        <f t="shared" si="25"/>
        <v>4.9568284999866874E-3</v>
      </c>
      <c r="R444">
        <v>29.050459701887853</v>
      </c>
    </row>
    <row r="445" spans="2:18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6"/>
        <v>0.88200000000000067</v>
      </c>
      <c r="N445">
        <f t="shared" si="27"/>
        <v>0.88559196370252125</v>
      </c>
      <c r="O445">
        <f t="shared" si="25"/>
        <v>3.5919637025205731E-3</v>
      </c>
      <c r="R445">
        <v>26.726559698328092</v>
      </c>
    </row>
    <row r="446" spans="2:18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6"/>
        <v>0.88400000000000067</v>
      </c>
      <c r="N446">
        <f t="shared" si="27"/>
        <v>0.89058329649910073</v>
      </c>
      <c r="O446">
        <f t="shared" si="25"/>
        <v>6.5832964991000553E-3</v>
      </c>
      <c r="R446">
        <v>32.448567423133255</v>
      </c>
    </row>
    <row r="447" spans="2:18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6"/>
        <v>0.88600000000000068</v>
      </c>
      <c r="N447">
        <f t="shared" si="27"/>
        <v>0.89119604274237108</v>
      </c>
      <c r="O447">
        <f t="shared" si="25"/>
        <v>5.1960427423703992E-3</v>
      </c>
      <c r="R447">
        <v>27.415292158822524</v>
      </c>
    </row>
    <row r="448" spans="2:18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6"/>
        <v>0.88800000000000068</v>
      </c>
      <c r="N448">
        <f t="shared" si="27"/>
        <v>0.89482074641599318</v>
      </c>
      <c r="O448">
        <f t="shared" si="25"/>
        <v>6.8207464159925069E-3</v>
      </c>
      <c r="R448">
        <v>22.443160824190258</v>
      </c>
    </row>
    <row r="449" spans="2:18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6"/>
        <v>0.89000000000000068</v>
      </c>
      <c r="N449">
        <f t="shared" si="27"/>
        <v>0.89600934265089416</v>
      </c>
      <c r="O449">
        <f t="shared" si="25"/>
        <v>6.0093426508934789E-3</v>
      </c>
      <c r="R449">
        <v>31.864192446935583</v>
      </c>
    </row>
    <row r="450" spans="2:18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6"/>
        <v>0.89200000000000068</v>
      </c>
      <c r="N450">
        <f t="shared" si="27"/>
        <v>0.89600934265089416</v>
      </c>
      <c r="O450">
        <f t="shared" si="25"/>
        <v>4.0093426508934771E-3</v>
      </c>
      <c r="R450">
        <v>29.595414735765981</v>
      </c>
    </row>
    <row r="451" spans="2:18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6"/>
        <v>0.89400000000000068</v>
      </c>
      <c r="N451">
        <f t="shared" si="27"/>
        <v>0.89835725360281427</v>
      </c>
      <c r="O451">
        <f t="shared" si="25"/>
        <v>4.3572536028135822E-3</v>
      </c>
      <c r="R451">
        <v>16.765616383416258</v>
      </c>
    </row>
    <row r="452" spans="2:18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6"/>
        <v>0.89600000000000068</v>
      </c>
      <c r="N452">
        <f t="shared" si="27"/>
        <v>0.89893815311419267</v>
      </c>
      <c r="O452">
        <f t="shared" si="25"/>
        <v>2.9381531141919881E-3</v>
      </c>
      <c r="R452">
        <v>29.79435295098493</v>
      </c>
    </row>
    <row r="453" spans="2:18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6"/>
        <v>0.89800000000000069</v>
      </c>
      <c r="N453">
        <f t="shared" si="27"/>
        <v>0.89951662905415597</v>
      </c>
      <c r="O453">
        <f t="shared" si="25"/>
        <v>1.5166290541552829E-3</v>
      </c>
      <c r="R453">
        <v>28.409760376976951</v>
      </c>
    </row>
    <row r="454" spans="2:18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6"/>
        <v>0.90000000000000069</v>
      </c>
      <c r="N454">
        <f t="shared" si="27"/>
        <v>0.90405766607902049</v>
      </c>
      <c r="O454">
        <f t="shared" ref="O454:O504" si="29">ABS(M454-N454)</f>
        <v>4.057666079019806E-3</v>
      </c>
      <c r="R454">
        <v>30.322954426105511</v>
      </c>
    </row>
    <row r="455" spans="2:18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0">M454+L455</f>
        <v>0.90200000000000069</v>
      </c>
      <c r="N455">
        <f t="shared" ref="N455:N504" si="31">NORMDIST(J455,$E$8,$E$12,1)</f>
        <v>0.90461451058621933</v>
      </c>
      <c r="O455">
        <f t="shared" si="29"/>
        <v>2.6145105862186435E-3</v>
      </c>
      <c r="R455">
        <v>15.914601906769105</v>
      </c>
    </row>
    <row r="456" spans="2:18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0"/>
        <v>0.90400000000000069</v>
      </c>
      <c r="N456">
        <f t="shared" si="31"/>
        <v>0.90627076449830923</v>
      </c>
      <c r="O456">
        <f t="shared" si="29"/>
        <v>2.2707644983085418E-3</v>
      </c>
      <c r="R456">
        <v>15.843996872098405</v>
      </c>
    </row>
    <row r="457" spans="2:18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0"/>
        <v>0.90600000000000069</v>
      </c>
      <c r="N457">
        <f t="shared" si="31"/>
        <v>0.90844594529778466</v>
      </c>
      <c r="O457">
        <f t="shared" si="29"/>
        <v>2.4459452977839691E-3</v>
      </c>
      <c r="R457">
        <v>17.683965333621028</v>
      </c>
    </row>
    <row r="458" spans="2:18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0"/>
        <v>0.9080000000000007</v>
      </c>
      <c r="N458">
        <f t="shared" si="31"/>
        <v>0.9100526169125599</v>
      </c>
      <c r="O458">
        <f t="shared" si="29"/>
        <v>2.052616912559202E-3</v>
      </c>
      <c r="R458">
        <v>27.137042187628186</v>
      </c>
    </row>
    <row r="459" spans="2:18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0"/>
        <v>0.9100000000000007</v>
      </c>
      <c r="N459">
        <f t="shared" si="31"/>
        <v>0.91058349066675226</v>
      </c>
      <c r="O459">
        <f t="shared" si="29"/>
        <v>5.8349066675156269E-4</v>
      </c>
      <c r="R459">
        <v>26.719049151565081</v>
      </c>
    </row>
    <row r="460" spans="2:18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0"/>
        <v>0.9120000000000007</v>
      </c>
      <c r="N460">
        <f t="shared" si="31"/>
        <v>0.91111203030242693</v>
      </c>
      <c r="O460">
        <f t="shared" si="29"/>
        <v>8.8796969757376498E-4</v>
      </c>
      <c r="R460">
        <v>23.567316908507465</v>
      </c>
    </row>
    <row r="461" spans="2:18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0"/>
        <v>0.9140000000000007</v>
      </c>
      <c r="N461">
        <f t="shared" si="31"/>
        <v>0.91320294028552851</v>
      </c>
      <c r="O461">
        <f t="shared" si="29"/>
        <v>7.9705971447219248E-4</v>
      </c>
      <c r="R461">
        <v>28.504208851703638</v>
      </c>
    </row>
    <row r="462" spans="2:18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0"/>
        <v>0.9160000000000007</v>
      </c>
      <c r="N462">
        <f t="shared" si="31"/>
        <v>0.91371987905411578</v>
      </c>
      <c r="O462">
        <f t="shared" si="29"/>
        <v>2.2801209458849225E-3</v>
      </c>
      <c r="R462">
        <v>29.691820313718164</v>
      </c>
    </row>
    <row r="463" spans="2:18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0"/>
        <v>0.9180000000000007</v>
      </c>
      <c r="N463">
        <f t="shared" si="31"/>
        <v>0.9142345117978713</v>
      </c>
      <c r="O463">
        <f t="shared" si="29"/>
        <v>3.7654882021294078E-3</v>
      </c>
      <c r="R463">
        <v>20.689755355262591</v>
      </c>
    </row>
    <row r="464" spans="2:18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0"/>
        <v>0.92000000000000071</v>
      </c>
      <c r="N464">
        <f t="shared" si="31"/>
        <v>0.91677325351164285</v>
      </c>
      <c r="O464">
        <f t="shared" si="29"/>
        <v>3.2267464883578567E-3</v>
      </c>
      <c r="R464">
        <v>30.01507864273669</v>
      </c>
    </row>
    <row r="465" spans="2:18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0"/>
        <v>0.92200000000000071</v>
      </c>
      <c r="N465">
        <f t="shared" si="31"/>
        <v>0.91677325351164285</v>
      </c>
      <c r="O465">
        <f t="shared" si="29"/>
        <v>5.2267464883578585E-3</v>
      </c>
      <c r="R465">
        <v>23.638176152583007</v>
      </c>
    </row>
    <row r="466" spans="2:18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0"/>
        <v>0.92400000000000071</v>
      </c>
      <c r="N466">
        <f t="shared" si="31"/>
        <v>0.91727415151191882</v>
      </c>
      <c r="O466">
        <f t="shared" si="29"/>
        <v>6.725848488081887E-3</v>
      </c>
      <c r="R466">
        <v>22.924298322439242</v>
      </c>
    </row>
    <row r="467" spans="2:18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0"/>
        <v>0.92600000000000071</v>
      </c>
      <c r="N467">
        <f t="shared" si="31"/>
        <v>0.91974466182147196</v>
      </c>
      <c r="O467">
        <f t="shared" si="29"/>
        <v>6.2553381785287465E-3</v>
      </c>
      <c r="R467">
        <v>18.96828499060971</v>
      </c>
    </row>
    <row r="468" spans="2:18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0"/>
        <v>0.92800000000000071</v>
      </c>
      <c r="N468">
        <f t="shared" si="31"/>
        <v>0.92119996557166095</v>
      </c>
      <c r="O468">
        <f t="shared" si="29"/>
        <v>6.8000344283397629E-3</v>
      </c>
      <c r="R468">
        <v>18.653610433461367</v>
      </c>
    </row>
    <row r="469" spans="2:18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0"/>
        <v>0.93000000000000071</v>
      </c>
      <c r="N469">
        <f t="shared" si="31"/>
        <v>0.92168059701196359</v>
      </c>
      <c r="O469">
        <f t="shared" si="29"/>
        <v>8.3194029880371279E-3</v>
      </c>
      <c r="R469">
        <v>29.563707145369698</v>
      </c>
    </row>
    <row r="470" spans="2:18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0"/>
        <v>0.93200000000000072</v>
      </c>
      <c r="N470">
        <f t="shared" si="31"/>
        <v>0.9240504639334095</v>
      </c>
      <c r="O470">
        <f t="shared" si="29"/>
        <v>7.9495360665912118E-3</v>
      </c>
      <c r="R470">
        <v>29.241509548073743</v>
      </c>
    </row>
    <row r="471" spans="2:18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0"/>
        <v>0.93400000000000072</v>
      </c>
      <c r="N471">
        <f t="shared" si="31"/>
        <v>0.92451781596181426</v>
      </c>
      <c r="O471">
        <f t="shared" si="29"/>
        <v>9.4821840381864586E-3</v>
      </c>
      <c r="R471">
        <v>20.63489745329446</v>
      </c>
    </row>
    <row r="472" spans="2:18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0"/>
        <v>0.93600000000000072</v>
      </c>
      <c r="N472">
        <f t="shared" si="31"/>
        <v>0.92544594101559041</v>
      </c>
      <c r="O472">
        <f t="shared" si="29"/>
        <v>1.0554058984410308E-2</v>
      </c>
      <c r="R472">
        <v>22.369031010267062</v>
      </c>
    </row>
    <row r="473" spans="2:18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0"/>
        <v>0.93800000000000072</v>
      </c>
      <c r="N473">
        <f t="shared" si="31"/>
        <v>0.92636532972872998</v>
      </c>
      <c r="O473">
        <f t="shared" si="29"/>
        <v>1.1634670271270742E-2</v>
      </c>
      <c r="R473">
        <v>29.049418423605772</v>
      </c>
    </row>
    <row r="474" spans="2:18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0"/>
        <v>0.94000000000000072</v>
      </c>
      <c r="N474">
        <f t="shared" si="31"/>
        <v>0.92817807085764326</v>
      </c>
      <c r="O474">
        <f t="shared" si="29"/>
        <v>1.1821929142357468E-2</v>
      </c>
      <c r="R474">
        <v>29.248578474658231</v>
      </c>
    </row>
    <row r="475" spans="2:18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0"/>
        <v>0.94200000000000073</v>
      </c>
      <c r="N475">
        <f t="shared" si="31"/>
        <v>0.92951501676591097</v>
      </c>
      <c r="O475">
        <f t="shared" si="29"/>
        <v>1.2484983234089753E-2</v>
      </c>
      <c r="R475">
        <v>24.349485198727514</v>
      </c>
    </row>
    <row r="476" spans="2:18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0"/>
        <v>0.94400000000000073</v>
      </c>
      <c r="N476">
        <f t="shared" si="31"/>
        <v>0.93508835895634801</v>
      </c>
      <c r="O476">
        <f t="shared" si="29"/>
        <v>8.9116410436527183E-3</v>
      </c>
      <c r="R476">
        <v>30.639755723108884</v>
      </c>
    </row>
    <row r="477" spans="2:18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0"/>
        <v>0.94600000000000073</v>
      </c>
      <c r="N477">
        <f t="shared" si="31"/>
        <v>0.93673256606982769</v>
      </c>
      <c r="O477">
        <f t="shared" si="29"/>
        <v>9.2674339301730413E-3</v>
      </c>
      <c r="R477">
        <v>29.360854918816884</v>
      </c>
    </row>
    <row r="478" spans="2:18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0"/>
        <v>0.94800000000000073</v>
      </c>
      <c r="N478">
        <f t="shared" si="31"/>
        <v>0.94070124059731741</v>
      </c>
      <c r="O478">
        <f t="shared" si="29"/>
        <v>7.2987594026833191E-3</v>
      </c>
      <c r="R478">
        <v>22.728187465832747</v>
      </c>
    </row>
    <row r="479" spans="2:18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0"/>
        <v>0.95000000000000073</v>
      </c>
      <c r="N479">
        <f t="shared" si="31"/>
        <v>0.94223296480701757</v>
      </c>
      <c r="O479">
        <f t="shared" si="29"/>
        <v>7.7670351929831627E-3</v>
      </c>
      <c r="R479">
        <v>25.197752087145684</v>
      </c>
    </row>
    <row r="480" spans="2:18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0"/>
        <v>0.95200000000000073</v>
      </c>
      <c r="N480">
        <f t="shared" si="31"/>
        <v>0.94298707235566648</v>
      </c>
      <c r="O480">
        <f t="shared" si="29"/>
        <v>9.0129276443342565E-3</v>
      </c>
      <c r="R480">
        <v>24.848819761854934</v>
      </c>
    </row>
    <row r="481" spans="2:18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0"/>
        <v>0.95400000000000074</v>
      </c>
      <c r="N481">
        <f t="shared" si="31"/>
        <v>0.94483844381434656</v>
      </c>
      <c r="O481">
        <f t="shared" si="29"/>
        <v>9.1615561856541738E-3</v>
      </c>
      <c r="R481">
        <v>23.816343538784892</v>
      </c>
    </row>
    <row r="482" spans="2:18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0"/>
        <v>0.95600000000000074</v>
      </c>
      <c r="N482">
        <f t="shared" si="31"/>
        <v>0.94908809143518336</v>
      </c>
      <c r="O482">
        <f t="shared" si="29"/>
        <v>6.9119085648173817E-3</v>
      </c>
      <c r="R482">
        <v>26.557665998517976</v>
      </c>
    </row>
    <row r="483" spans="2:18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0"/>
        <v>0.95800000000000074</v>
      </c>
      <c r="N483">
        <f t="shared" si="31"/>
        <v>0.95210095103245551</v>
      </c>
      <c r="O483">
        <f t="shared" si="29"/>
        <v>5.8990489675452285E-3</v>
      </c>
      <c r="R483">
        <v>17.500324150238395</v>
      </c>
    </row>
    <row r="484" spans="2:18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0"/>
        <v>0.96000000000000074</v>
      </c>
      <c r="N484">
        <f t="shared" si="31"/>
        <v>0.95339336466051017</v>
      </c>
      <c r="O484">
        <f t="shared" si="29"/>
        <v>6.6066353394905741E-3</v>
      </c>
      <c r="R484">
        <v>18.834102841009617</v>
      </c>
    </row>
    <row r="485" spans="2:18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0"/>
        <v>0.96200000000000074</v>
      </c>
      <c r="N485">
        <f t="shared" si="31"/>
        <v>0.95371205655602997</v>
      </c>
      <c r="O485">
        <f t="shared" si="29"/>
        <v>8.2879434439707689E-3</v>
      </c>
      <c r="R485">
        <v>16.045478607650995</v>
      </c>
    </row>
    <row r="486" spans="2:18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0"/>
        <v>0.96400000000000075</v>
      </c>
      <c r="N486">
        <f t="shared" si="31"/>
        <v>0.95434419022435013</v>
      </c>
      <c r="O486">
        <f t="shared" si="29"/>
        <v>9.6558097756506145E-3</v>
      </c>
      <c r="R486">
        <v>14.809967646113593</v>
      </c>
    </row>
    <row r="487" spans="2:18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0"/>
        <v>0.96600000000000075</v>
      </c>
      <c r="N487">
        <f t="shared" si="31"/>
        <v>0.95589419038556656</v>
      </c>
      <c r="O487">
        <f t="shared" si="29"/>
        <v>1.0105809614434191E-2</v>
      </c>
      <c r="R487">
        <v>25.644270324262131</v>
      </c>
    </row>
    <row r="488" spans="2:18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0"/>
        <v>0.96800000000000075</v>
      </c>
      <c r="N488">
        <f t="shared" si="31"/>
        <v>0.95740148209716414</v>
      </c>
      <c r="O488">
        <f t="shared" si="29"/>
        <v>1.0598517902836613E-2</v>
      </c>
      <c r="R488">
        <v>27.823674305279482</v>
      </c>
    </row>
    <row r="489" spans="2:18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0"/>
        <v>0.97000000000000075</v>
      </c>
      <c r="N489">
        <f t="shared" si="31"/>
        <v>0.96248621296102943</v>
      </c>
      <c r="O489">
        <f t="shared" si="29"/>
        <v>7.5137870389713202E-3</v>
      </c>
      <c r="R489">
        <v>27.735505831024724</v>
      </c>
    </row>
    <row r="490" spans="2:18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0"/>
        <v>0.97200000000000075</v>
      </c>
      <c r="N490">
        <f t="shared" si="31"/>
        <v>0.96406669291776381</v>
      </c>
      <c r="O490">
        <f t="shared" si="29"/>
        <v>7.93330708223694E-3</v>
      </c>
      <c r="R490">
        <v>19.679152270033647</v>
      </c>
    </row>
    <row r="491" spans="2:18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0"/>
        <v>0.97400000000000075</v>
      </c>
      <c r="N491">
        <f t="shared" si="31"/>
        <v>0.96483623635085447</v>
      </c>
      <c r="O491">
        <f t="shared" si="29"/>
        <v>9.1637636491462837E-3</v>
      </c>
      <c r="R491">
        <v>23.292095237910523</v>
      </c>
    </row>
    <row r="492" spans="2:18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0"/>
        <v>0.97600000000000076</v>
      </c>
      <c r="N492">
        <f t="shared" si="31"/>
        <v>0.96657934104006671</v>
      </c>
      <c r="O492">
        <f t="shared" si="29"/>
        <v>9.4206589599340473E-3</v>
      </c>
      <c r="R492">
        <v>23.669263629430901</v>
      </c>
    </row>
    <row r="493" spans="2:18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0"/>
        <v>0.97800000000000076</v>
      </c>
      <c r="N493">
        <f t="shared" si="31"/>
        <v>0.96754303915134965</v>
      </c>
      <c r="O493">
        <f t="shared" si="29"/>
        <v>1.0456960848651109E-2</v>
      </c>
      <c r="R493">
        <v>24.393576390773831</v>
      </c>
    </row>
    <row r="494" spans="2:18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0"/>
        <v>0.98000000000000076</v>
      </c>
      <c r="N494">
        <f t="shared" si="31"/>
        <v>0.97484351329120644</v>
      </c>
      <c r="O494">
        <f t="shared" si="29"/>
        <v>5.1564867087943167E-3</v>
      </c>
      <c r="R494">
        <v>20.927199710949289</v>
      </c>
    </row>
    <row r="495" spans="2:18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0"/>
        <v>0.98200000000000076</v>
      </c>
      <c r="N495">
        <f t="shared" si="31"/>
        <v>0.97977236909600374</v>
      </c>
      <c r="O495">
        <f t="shared" si="29"/>
        <v>2.2276309039970243E-3</v>
      </c>
      <c r="R495">
        <v>23.90849005975393</v>
      </c>
    </row>
    <row r="496" spans="2:18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0"/>
        <v>0.98400000000000076</v>
      </c>
      <c r="N496">
        <f t="shared" si="31"/>
        <v>0.98372412839454482</v>
      </c>
      <c r="O496">
        <f t="shared" si="29"/>
        <v>2.7587160545594624E-4</v>
      </c>
      <c r="R496">
        <v>26.247266108199277</v>
      </c>
    </row>
    <row r="497" spans="2:18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0"/>
        <v>0.98600000000000076</v>
      </c>
      <c r="N497">
        <f t="shared" si="31"/>
        <v>0.98372412839454482</v>
      </c>
      <c r="O497">
        <f t="shared" si="29"/>
        <v>2.275871605455948E-3</v>
      </c>
      <c r="R497">
        <v>22.683611473769524</v>
      </c>
    </row>
    <row r="498" spans="2:18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0"/>
        <v>0.98800000000000077</v>
      </c>
      <c r="N498">
        <f t="shared" si="31"/>
        <v>0.98488518752208964</v>
      </c>
      <c r="O498">
        <f t="shared" si="29"/>
        <v>3.1148124779111219E-3</v>
      </c>
      <c r="R498">
        <v>17.292347555513043</v>
      </c>
    </row>
    <row r="499" spans="2:18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0"/>
        <v>0.99000000000000077</v>
      </c>
      <c r="N499">
        <f t="shared" si="31"/>
        <v>0.98654969096429368</v>
      </c>
      <c r="O499">
        <f t="shared" si="29"/>
        <v>3.4503090357070887E-3</v>
      </c>
      <c r="R499">
        <v>24.831786774739165</v>
      </c>
    </row>
    <row r="500" spans="2:18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0"/>
        <v>0.99200000000000077</v>
      </c>
      <c r="N500">
        <f t="shared" si="31"/>
        <v>0.98666228111554533</v>
      </c>
      <c r="O500">
        <f t="shared" si="29"/>
        <v>5.3377188844554446E-3</v>
      </c>
      <c r="R500">
        <v>22.086504821797522</v>
      </c>
    </row>
    <row r="501" spans="2:18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0"/>
        <v>0.99400000000000077</v>
      </c>
      <c r="N501">
        <f t="shared" si="31"/>
        <v>0.98940924811886088</v>
      </c>
      <c r="O501">
        <f t="shared" si="29"/>
        <v>4.5907518811398873E-3</v>
      </c>
      <c r="R501">
        <v>21.009986540499867</v>
      </c>
    </row>
    <row r="502" spans="2:18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0"/>
        <v>0.99600000000000077</v>
      </c>
      <c r="N502">
        <f t="shared" si="31"/>
        <v>0.99054610707991519</v>
      </c>
      <c r="O502">
        <f t="shared" si="29"/>
        <v>5.453892920085579E-3</v>
      </c>
      <c r="R502">
        <v>25.667959444696159</v>
      </c>
    </row>
    <row r="503" spans="2:18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0"/>
        <v>0.99800000000000078</v>
      </c>
      <c r="N503">
        <f t="shared" si="31"/>
        <v>0.9910337874578613</v>
      </c>
      <c r="O503">
        <f t="shared" si="29"/>
        <v>6.9662125421394716E-3</v>
      </c>
      <c r="R503">
        <v>28.917429223995438</v>
      </c>
    </row>
    <row r="504" spans="2:18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0"/>
        <v>1.0000000000000007</v>
      </c>
      <c r="N504">
        <f t="shared" si="31"/>
        <v>0.99409525315102998</v>
      </c>
      <c r="O504">
        <f t="shared" si="29"/>
        <v>5.9047468489706878E-3</v>
      </c>
      <c r="R504">
        <v>30.893407298892512</v>
      </c>
    </row>
    <row r="505" spans="2:18" x14ac:dyDescent="0.25">
      <c r="N505" s="14" t="s">
        <v>52</v>
      </c>
      <c r="O505" s="14">
        <f>MAX(O5:O504)</f>
        <v>2.8517194399519386E-2</v>
      </c>
      <c r="R505">
        <v>30.975894883658931</v>
      </c>
    </row>
    <row r="506" spans="2:18" x14ac:dyDescent="0.25">
      <c r="M506" s="16" t="s">
        <v>51</v>
      </c>
      <c r="N506" s="16">
        <f>1.358/SQRT($E$20)</f>
        <v>6.0731606268894289E-2</v>
      </c>
      <c r="R506">
        <v>25.0653437225617</v>
      </c>
    </row>
    <row r="507" spans="2:18" x14ac:dyDescent="0.25">
      <c r="R507">
        <v>31.730993580266983</v>
      </c>
    </row>
    <row r="508" spans="2:18" x14ac:dyDescent="0.25">
      <c r="M508" t="s">
        <v>56</v>
      </c>
      <c r="R508">
        <v>23.135170806722211</v>
      </c>
    </row>
    <row r="509" spans="2:18" x14ac:dyDescent="0.25">
      <c r="R509">
        <v>26.937512340495605</v>
      </c>
    </row>
    <row r="510" spans="2:18" x14ac:dyDescent="0.25">
      <c r="R510">
        <v>30.461408389172767</v>
      </c>
    </row>
    <row r="511" spans="2:18" x14ac:dyDescent="0.25">
      <c r="R511">
        <v>32.179410542863231</v>
      </c>
    </row>
    <row r="512" spans="2:18" x14ac:dyDescent="0.25">
      <c r="R512">
        <v>30.506610909613386</v>
      </c>
    </row>
    <row r="513" spans="18:18" x14ac:dyDescent="0.25">
      <c r="R513">
        <v>28.85337566758966</v>
      </c>
    </row>
    <row r="514" spans="18:18" x14ac:dyDescent="0.25">
      <c r="R514">
        <v>31.353954686001401</v>
      </c>
    </row>
    <row r="515" spans="18:18" x14ac:dyDescent="0.25">
      <c r="R515">
        <v>16.69548824482311</v>
      </c>
    </row>
    <row r="516" spans="18:18" x14ac:dyDescent="0.25">
      <c r="R516">
        <v>22.229038555608589</v>
      </c>
    </row>
    <row r="517" spans="18:18" x14ac:dyDescent="0.25">
      <c r="R517">
        <v>21.160062397608076</v>
      </c>
    </row>
    <row r="518" spans="18:18" x14ac:dyDescent="0.25">
      <c r="R518">
        <v>15.726265580081058</v>
      </c>
    </row>
    <row r="519" spans="18:18" x14ac:dyDescent="0.25">
      <c r="R519">
        <v>17.286508247296549</v>
      </c>
    </row>
    <row r="520" spans="18:18" x14ac:dyDescent="0.25">
      <c r="R520">
        <v>21.995983649865195</v>
      </c>
    </row>
    <row r="521" spans="18:18" x14ac:dyDescent="0.25">
      <c r="R521">
        <v>22.950677034312456</v>
      </c>
    </row>
    <row r="522" spans="18:18" x14ac:dyDescent="0.25">
      <c r="R522">
        <v>25.263292496284834</v>
      </c>
    </row>
    <row r="523" spans="18:18" x14ac:dyDescent="0.25">
      <c r="R523">
        <v>25.33777574132889</v>
      </c>
    </row>
    <row r="524" spans="18:18" x14ac:dyDescent="0.25">
      <c r="R524">
        <v>21.18880951289232</v>
      </c>
    </row>
    <row r="525" spans="18:18" x14ac:dyDescent="0.25">
      <c r="R525">
        <v>25.503572698576249</v>
      </c>
    </row>
    <row r="526" spans="18:18" x14ac:dyDescent="0.25">
      <c r="R526">
        <v>19.332871534303507</v>
      </c>
    </row>
    <row r="527" spans="18:18" x14ac:dyDescent="0.25">
      <c r="R527">
        <v>15.31591303115894</v>
      </c>
    </row>
    <row r="528" spans="18:18" x14ac:dyDescent="0.25">
      <c r="R528">
        <v>16.688315031388807</v>
      </c>
    </row>
    <row r="529" spans="18:18" x14ac:dyDescent="0.25">
      <c r="R529">
        <v>31.905507286486454</v>
      </c>
    </row>
    <row r="530" spans="18:18" x14ac:dyDescent="0.25">
      <c r="R530">
        <v>14.939985087853987</v>
      </c>
    </row>
    <row r="531" spans="18:18" x14ac:dyDescent="0.25">
      <c r="R531">
        <v>30.678577439026384</v>
      </c>
    </row>
    <row r="532" spans="18:18" x14ac:dyDescent="0.25">
      <c r="R532">
        <v>29.042336211417485</v>
      </c>
    </row>
    <row r="533" spans="18:18" x14ac:dyDescent="0.25">
      <c r="R533">
        <v>18.489402804513475</v>
      </c>
    </row>
    <row r="534" spans="18:18" x14ac:dyDescent="0.25">
      <c r="R534">
        <v>27.104340439591041</v>
      </c>
    </row>
    <row r="535" spans="18:18" x14ac:dyDescent="0.25">
      <c r="R535">
        <v>27.242157822289442</v>
      </c>
    </row>
    <row r="536" spans="18:18" x14ac:dyDescent="0.25">
      <c r="R536">
        <v>30.237213612086869</v>
      </c>
    </row>
    <row r="537" spans="18:18" x14ac:dyDescent="0.25">
      <c r="R537">
        <v>15.589111163371509</v>
      </c>
    </row>
    <row r="538" spans="18:18" x14ac:dyDescent="0.25">
      <c r="R538">
        <v>27.446263943709035</v>
      </c>
    </row>
    <row r="539" spans="18:18" x14ac:dyDescent="0.25">
      <c r="R539">
        <v>17.56900848481887</v>
      </c>
    </row>
    <row r="540" spans="18:18" x14ac:dyDescent="0.25">
      <c r="R540">
        <v>26.820898743693736</v>
      </c>
    </row>
    <row r="541" spans="18:18" x14ac:dyDescent="0.25">
      <c r="R541">
        <v>26.536078911341178</v>
      </c>
    </row>
    <row r="542" spans="18:18" x14ac:dyDescent="0.25">
      <c r="R542">
        <v>29.202287319572797</v>
      </c>
    </row>
    <row r="543" spans="18:18" x14ac:dyDescent="0.25">
      <c r="R543">
        <v>15.738237114684322</v>
      </c>
    </row>
    <row r="544" spans="18:18" x14ac:dyDescent="0.25">
      <c r="R544">
        <v>24.682972633361398</v>
      </c>
    </row>
    <row r="545" spans="18:18" x14ac:dyDescent="0.25">
      <c r="R545">
        <v>26.186087161723975</v>
      </c>
    </row>
    <row r="546" spans="18:18" x14ac:dyDescent="0.25">
      <c r="R546">
        <v>22.102859443903892</v>
      </c>
    </row>
    <row r="547" spans="18:18" x14ac:dyDescent="0.25">
      <c r="R547">
        <v>16.896304005368986</v>
      </c>
    </row>
    <row r="548" spans="18:18" x14ac:dyDescent="0.25">
      <c r="R548">
        <v>21.934878085337733</v>
      </c>
    </row>
    <row r="549" spans="18:18" x14ac:dyDescent="0.25">
      <c r="R549">
        <v>19.988721510844464</v>
      </c>
    </row>
    <row r="550" spans="18:18" x14ac:dyDescent="0.25">
      <c r="R550">
        <v>32.579484947671247</v>
      </c>
    </row>
    <row r="551" spans="18:18" x14ac:dyDescent="0.25">
      <c r="R551">
        <v>29.936778252830585</v>
      </c>
    </row>
    <row r="552" spans="18:18" x14ac:dyDescent="0.25">
      <c r="R552">
        <v>21.455636375950469</v>
      </c>
    </row>
    <row r="553" spans="18:18" x14ac:dyDescent="0.25">
      <c r="R553">
        <v>25.713908670571797</v>
      </c>
    </row>
    <row r="554" spans="18:18" x14ac:dyDescent="0.25">
      <c r="R554">
        <v>31.842462625878355</v>
      </c>
    </row>
    <row r="555" spans="18:18" x14ac:dyDescent="0.25">
      <c r="R555">
        <v>26.746175825608795</v>
      </c>
    </row>
    <row r="556" spans="18:18" x14ac:dyDescent="0.25">
      <c r="R556">
        <v>15.1683304208401</v>
      </c>
    </row>
    <row r="557" spans="18:18" x14ac:dyDescent="0.25">
      <c r="R557">
        <v>18.959246667945603</v>
      </c>
    </row>
    <row r="558" spans="18:18" x14ac:dyDescent="0.25">
      <c r="R558">
        <v>14.671400349489886</v>
      </c>
    </row>
    <row r="559" spans="18:18" x14ac:dyDescent="0.25">
      <c r="R559">
        <v>18.515103550885406</v>
      </c>
    </row>
    <row r="560" spans="18:18" x14ac:dyDescent="0.25">
      <c r="R560">
        <v>20.604507972297323</v>
      </c>
    </row>
    <row r="561" spans="18:18" x14ac:dyDescent="0.25">
      <c r="R561">
        <v>19.553457152388383</v>
      </c>
    </row>
    <row r="562" spans="18:18" x14ac:dyDescent="0.25">
      <c r="R562">
        <v>21.788652530186141</v>
      </c>
    </row>
    <row r="563" spans="18:18" x14ac:dyDescent="0.25">
      <c r="R563">
        <v>17.496643309675076</v>
      </c>
    </row>
    <row r="564" spans="18:18" x14ac:dyDescent="0.25">
      <c r="R564">
        <v>31.914502756360058</v>
      </c>
    </row>
    <row r="565" spans="18:18" x14ac:dyDescent="0.25">
      <c r="R565">
        <v>18.646243095500079</v>
      </c>
    </row>
    <row r="566" spans="18:18" x14ac:dyDescent="0.25">
      <c r="R566">
        <v>17.973754762440159</v>
      </c>
    </row>
    <row r="567" spans="18:18" x14ac:dyDescent="0.25">
      <c r="R567">
        <v>27.245943715715718</v>
      </c>
    </row>
    <row r="568" spans="18:18" x14ac:dyDescent="0.25">
      <c r="R568">
        <v>25.626853668570536</v>
      </c>
    </row>
    <row r="569" spans="18:18" x14ac:dyDescent="0.25">
      <c r="R569">
        <v>31.433992482669986</v>
      </c>
    </row>
    <row r="570" spans="18:18" x14ac:dyDescent="0.25">
      <c r="R570">
        <v>16.732504719236367</v>
      </c>
    </row>
    <row r="571" spans="18:18" x14ac:dyDescent="0.25">
      <c r="R571">
        <v>19.619362806471468</v>
      </c>
    </row>
    <row r="572" spans="18:18" x14ac:dyDescent="0.25">
      <c r="R572">
        <v>28.058153403886486</v>
      </c>
    </row>
    <row r="573" spans="18:18" x14ac:dyDescent="0.25">
      <c r="R573">
        <v>29.554688526146872</v>
      </c>
    </row>
    <row r="574" spans="18:18" x14ac:dyDescent="0.25">
      <c r="R574">
        <v>18.918064656413929</v>
      </c>
    </row>
    <row r="575" spans="18:18" x14ac:dyDescent="0.25">
      <c r="R575">
        <v>25.476908004307035</v>
      </c>
    </row>
    <row r="576" spans="18:18" x14ac:dyDescent="0.25">
      <c r="R576">
        <v>29.564465424806521</v>
      </c>
    </row>
    <row r="577" spans="18:18" x14ac:dyDescent="0.25">
      <c r="R577">
        <v>26.470847468552932</v>
      </c>
    </row>
    <row r="578" spans="18:18" x14ac:dyDescent="0.25">
      <c r="R578">
        <v>17.195065016716359</v>
      </c>
    </row>
    <row r="579" spans="18:18" x14ac:dyDescent="0.25">
      <c r="R579">
        <v>22.47498468342458</v>
      </c>
    </row>
    <row r="580" spans="18:18" x14ac:dyDescent="0.25">
      <c r="R580">
        <v>31.586503303034199</v>
      </c>
    </row>
    <row r="581" spans="18:18" x14ac:dyDescent="0.25">
      <c r="R581">
        <v>15.689537046022632</v>
      </c>
    </row>
    <row r="582" spans="18:18" x14ac:dyDescent="0.25">
      <c r="R582">
        <v>31.878767147713127</v>
      </c>
    </row>
    <row r="583" spans="18:18" x14ac:dyDescent="0.25">
      <c r="R583">
        <v>23.372461898201998</v>
      </c>
    </row>
    <row r="584" spans="18:18" x14ac:dyDescent="0.25">
      <c r="R584">
        <v>18.360876739847853</v>
      </c>
    </row>
    <row r="585" spans="18:18" x14ac:dyDescent="0.25">
      <c r="R585">
        <v>18.1878814618522</v>
      </c>
    </row>
    <row r="586" spans="18:18" x14ac:dyDescent="0.25">
      <c r="R586">
        <v>27.844745076900118</v>
      </c>
    </row>
    <row r="587" spans="18:18" x14ac:dyDescent="0.25">
      <c r="R587">
        <v>19.797175323213594</v>
      </c>
    </row>
    <row r="588" spans="18:18" x14ac:dyDescent="0.25">
      <c r="R588">
        <v>31.15965034881026</v>
      </c>
    </row>
    <row r="589" spans="18:18" x14ac:dyDescent="0.25">
      <c r="R589">
        <v>31.064400997902524</v>
      </c>
    </row>
    <row r="590" spans="18:18" x14ac:dyDescent="0.25">
      <c r="R590">
        <v>22.625732131705377</v>
      </c>
    </row>
    <row r="591" spans="18:18" x14ac:dyDescent="0.25">
      <c r="R591">
        <v>31.930389148758884</v>
      </c>
    </row>
    <row r="592" spans="18:18" x14ac:dyDescent="0.25">
      <c r="R592">
        <v>14.561005252420474</v>
      </c>
    </row>
    <row r="593" spans="18:18" x14ac:dyDescent="0.25">
      <c r="R593">
        <v>22.553941761636921</v>
      </c>
    </row>
    <row r="594" spans="18:18" x14ac:dyDescent="0.25">
      <c r="R594">
        <v>19.256081578008292</v>
      </c>
    </row>
    <row r="595" spans="18:18" x14ac:dyDescent="0.25">
      <c r="R595">
        <v>15.629634157306278</v>
      </c>
    </row>
    <row r="596" spans="18:18" x14ac:dyDescent="0.25">
      <c r="R596">
        <v>27.007613969417555</v>
      </c>
    </row>
    <row r="597" spans="18:18" x14ac:dyDescent="0.25">
      <c r="R597">
        <v>16.992297038806484</v>
      </c>
    </row>
    <row r="598" spans="18:18" x14ac:dyDescent="0.25">
      <c r="R598">
        <v>27.110281796315739</v>
      </c>
    </row>
    <row r="599" spans="18:18" x14ac:dyDescent="0.25">
      <c r="R599">
        <v>15.815309446131561</v>
      </c>
    </row>
    <row r="600" spans="18:18" x14ac:dyDescent="0.25">
      <c r="R600">
        <v>27.681481333713315</v>
      </c>
    </row>
    <row r="601" spans="18:18" x14ac:dyDescent="0.25">
      <c r="R601">
        <v>29.871203174009384</v>
      </c>
    </row>
    <row r="602" spans="18:18" x14ac:dyDescent="0.25">
      <c r="R602">
        <v>28.162747530912078</v>
      </c>
    </row>
    <row r="603" spans="18:18" x14ac:dyDescent="0.25">
      <c r="R603">
        <v>21.50824487972713</v>
      </c>
    </row>
    <row r="604" spans="18:18" x14ac:dyDescent="0.25">
      <c r="R604">
        <v>29.250790435942605</v>
      </c>
    </row>
    <row r="605" spans="18:18" x14ac:dyDescent="0.25">
      <c r="R605">
        <v>22.357408931360606</v>
      </c>
    </row>
    <row r="606" spans="18:18" x14ac:dyDescent="0.25">
      <c r="R606">
        <v>20.106224866160151</v>
      </c>
    </row>
    <row r="607" spans="18:18" x14ac:dyDescent="0.25">
      <c r="R607">
        <v>24.327829195709555</v>
      </c>
    </row>
    <row r="608" spans="18:18" x14ac:dyDescent="0.25">
      <c r="R608">
        <v>16.542586482918967</v>
      </c>
    </row>
    <row r="609" spans="18:18" x14ac:dyDescent="0.25">
      <c r="R609">
        <v>16.492856585243906</v>
      </c>
    </row>
    <row r="610" spans="18:18" x14ac:dyDescent="0.25">
      <c r="R610">
        <v>19.776601124547796</v>
      </c>
    </row>
    <row r="611" spans="18:18" x14ac:dyDescent="0.25">
      <c r="R611">
        <v>31.182286741520819</v>
      </c>
    </row>
    <row r="612" spans="18:18" x14ac:dyDescent="0.25">
      <c r="R612">
        <v>19.096899230110424</v>
      </c>
    </row>
    <row r="613" spans="18:18" x14ac:dyDescent="0.25">
      <c r="R613">
        <v>30.626436802395652</v>
      </c>
    </row>
    <row r="614" spans="18:18" x14ac:dyDescent="0.25">
      <c r="R614">
        <v>23.514406615314464</v>
      </c>
    </row>
    <row r="615" spans="18:18" x14ac:dyDescent="0.25">
      <c r="R615">
        <v>17.437821674341738</v>
      </c>
    </row>
    <row r="616" spans="18:18" x14ac:dyDescent="0.25">
      <c r="R616">
        <v>23.994564304241731</v>
      </c>
    </row>
    <row r="617" spans="18:18" x14ac:dyDescent="0.25">
      <c r="R617">
        <v>32.609831744651842</v>
      </c>
    </row>
    <row r="618" spans="18:18" x14ac:dyDescent="0.25">
      <c r="R618">
        <v>16.888569081507551</v>
      </c>
    </row>
    <row r="619" spans="18:18" x14ac:dyDescent="0.25">
      <c r="R619">
        <v>16.43421539326609</v>
      </c>
    </row>
    <row r="620" spans="18:18" x14ac:dyDescent="0.25">
      <c r="R620">
        <v>32.082297424685891</v>
      </c>
    </row>
    <row r="621" spans="18:18" x14ac:dyDescent="0.25">
      <c r="R621">
        <v>19.573761468817004</v>
      </c>
    </row>
    <row r="622" spans="18:18" x14ac:dyDescent="0.25">
      <c r="R622">
        <v>15.905107484320361</v>
      </c>
    </row>
    <row r="623" spans="18:18" x14ac:dyDescent="0.25">
      <c r="R623">
        <v>32.110273054848953</v>
      </c>
    </row>
    <row r="624" spans="18:18" x14ac:dyDescent="0.25">
      <c r="R624">
        <v>29.752632749064901</v>
      </c>
    </row>
    <row r="625" spans="18:18" x14ac:dyDescent="0.25">
      <c r="R625">
        <v>19.267576338025165</v>
      </c>
    </row>
    <row r="626" spans="18:18" x14ac:dyDescent="0.25">
      <c r="R626">
        <v>18.472126668104252</v>
      </c>
    </row>
    <row r="627" spans="18:18" x14ac:dyDescent="0.25">
      <c r="R627">
        <v>19.38882919147466</v>
      </c>
    </row>
    <row r="628" spans="18:18" x14ac:dyDescent="0.25">
      <c r="R628">
        <v>28.319954881183531</v>
      </c>
    </row>
    <row r="629" spans="18:18" x14ac:dyDescent="0.25">
      <c r="R629">
        <v>28.80255902433645</v>
      </c>
    </row>
    <row r="630" spans="18:18" x14ac:dyDescent="0.25">
      <c r="R630">
        <v>24.964579215680448</v>
      </c>
    </row>
    <row r="631" spans="18:18" x14ac:dyDescent="0.25">
      <c r="R631">
        <v>15.535311064004885</v>
      </c>
    </row>
    <row r="632" spans="18:18" x14ac:dyDescent="0.25">
      <c r="R632">
        <v>23.907592106607275</v>
      </c>
    </row>
    <row r="633" spans="18:18" x14ac:dyDescent="0.25">
      <c r="R633">
        <v>18.98738435064443</v>
      </c>
    </row>
    <row r="634" spans="18:18" x14ac:dyDescent="0.25">
      <c r="R634">
        <v>27.362996211605257</v>
      </c>
    </row>
    <row r="635" spans="18:18" x14ac:dyDescent="0.25">
      <c r="R635">
        <v>25.685591126612159</v>
      </c>
    </row>
    <row r="636" spans="18:18" x14ac:dyDescent="0.25">
      <c r="R636">
        <v>30.473789092380763</v>
      </c>
    </row>
    <row r="637" spans="18:18" x14ac:dyDescent="0.25">
      <c r="R637">
        <v>20.472739058537556</v>
      </c>
    </row>
    <row r="638" spans="18:18" x14ac:dyDescent="0.25">
      <c r="R638">
        <v>19.383829399645748</v>
      </c>
    </row>
    <row r="639" spans="18:18" x14ac:dyDescent="0.25">
      <c r="R639">
        <v>28.4284172297928</v>
      </c>
    </row>
    <row r="640" spans="18:18" x14ac:dyDescent="0.25">
      <c r="R640">
        <v>27.235589132439312</v>
      </c>
    </row>
    <row r="641" spans="18:18" x14ac:dyDescent="0.25">
      <c r="R641">
        <v>21.738001738635113</v>
      </c>
    </row>
    <row r="642" spans="18:18" x14ac:dyDescent="0.25">
      <c r="R642">
        <v>16.440516038923011</v>
      </c>
    </row>
    <row r="643" spans="18:18" x14ac:dyDescent="0.25">
      <c r="R643">
        <v>32.40205393815264</v>
      </c>
    </row>
    <row r="644" spans="18:18" x14ac:dyDescent="0.25">
      <c r="R644">
        <v>16.908560125015718</v>
      </c>
    </row>
    <row r="645" spans="18:18" x14ac:dyDescent="0.25">
      <c r="R645">
        <v>28.036031056393025</v>
      </c>
    </row>
    <row r="646" spans="18:18" x14ac:dyDescent="0.25">
      <c r="R646">
        <v>28.819838490385351</v>
      </c>
    </row>
    <row r="647" spans="18:18" x14ac:dyDescent="0.25">
      <c r="R647">
        <v>21.647361969790364</v>
      </c>
    </row>
    <row r="648" spans="18:18" x14ac:dyDescent="0.25">
      <c r="R648">
        <v>29.035125498921502</v>
      </c>
    </row>
    <row r="649" spans="18:18" x14ac:dyDescent="0.25">
      <c r="R649">
        <v>17.950972755511774</v>
      </c>
    </row>
    <row r="650" spans="18:18" x14ac:dyDescent="0.25">
      <c r="R650">
        <v>26.563378599108724</v>
      </c>
    </row>
    <row r="651" spans="18:18" x14ac:dyDescent="0.25">
      <c r="R651">
        <v>22.83921651375065</v>
      </c>
    </row>
    <row r="652" spans="18:18" x14ac:dyDescent="0.25">
      <c r="R652">
        <v>28.359415452401159</v>
      </c>
    </row>
    <row r="653" spans="18:18" x14ac:dyDescent="0.25">
      <c r="R653">
        <v>16.881524527358543</v>
      </c>
    </row>
    <row r="654" spans="18:18" x14ac:dyDescent="0.25">
      <c r="R654">
        <v>31.85178117796795</v>
      </c>
    </row>
    <row r="655" spans="18:18" x14ac:dyDescent="0.25">
      <c r="R655">
        <v>28.578693138775897</v>
      </c>
    </row>
    <row r="656" spans="18:18" x14ac:dyDescent="0.25">
      <c r="R656">
        <v>24.41880362957048</v>
      </c>
    </row>
    <row r="657" spans="18:18" x14ac:dyDescent="0.25">
      <c r="R657">
        <v>14.704011743342097</v>
      </c>
    </row>
    <row r="658" spans="18:18" x14ac:dyDescent="0.25">
      <c r="R658">
        <v>24.23806775465146</v>
      </c>
    </row>
    <row r="659" spans="18:18" x14ac:dyDescent="0.25">
      <c r="R659">
        <v>30.935083523672205</v>
      </c>
    </row>
    <row r="660" spans="18:18" x14ac:dyDescent="0.25">
      <c r="R660">
        <v>20.065995027119463</v>
      </c>
    </row>
    <row r="661" spans="18:18" x14ac:dyDescent="0.25">
      <c r="R661">
        <v>30.516531583926806</v>
      </c>
    </row>
    <row r="662" spans="18:18" x14ac:dyDescent="0.25">
      <c r="R662">
        <v>23.694958182328332</v>
      </c>
    </row>
    <row r="663" spans="18:18" x14ac:dyDescent="0.25">
      <c r="R663">
        <v>30.725706946536192</v>
      </c>
    </row>
    <row r="664" spans="18:18" x14ac:dyDescent="0.25">
      <c r="R664">
        <v>26.782072017106625</v>
      </c>
    </row>
    <row r="665" spans="18:18" x14ac:dyDescent="0.25">
      <c r="R665">
        <v>20.564609576027078</v>
      </c>
    </row>
    <row r="666" spans="18:18" x14ac:dyDescent="0.25">
      <c r="R666">
        <v>30.677994632677809</v>
      </c>
    </row>
    <row r="667" spans="18:18" x14ac:dyDescent="0.25">
      <c r="R667">
        <v>30.167492762658156</v>
      </c>
    </row>
    <row r="668" spans="18:18" x14ac:dyDescent="0.25">
      <c r="R668">
        <v>17.202613930588758</v>
      </c>
    </row>
    <row r="669" spans="18:18" x14ac:dyDescent="0.25">
      <c r="R669">
        <v>21.373782896147492</v>
      </c>
    </row>
    <row r="670" spans="18:18" x14ac:dyDescent="0.25">
      <c r="R670">
        <v>30.458993471180939</v>
      </c>
    </row>
    <row r="671" spans="18:18" x14ac:dyDescent="0.25">
      <c r="R671">
        <v>19.927150108329421</v>
      </c>
    </row>
    <row r="672" spans="18:18" x14ac:dyDescent="0.25">
      <c r="R672">
        <v>29.896391486597487</v>
      </c>
    </row>
    <row r="673" spans="18:18" x14ac:dyDescent="0.25">
      <c r="R673">
        <v>14.403237519053835</v>
      </c>
    </row>
    <row r="674" spans="18:18" x14ac:dyDescent="0.25">
      <c r="R674">
        <v>19.455590948209213</v>
      </c>
    </row>
    <row r="675" spans="18:18" x14ac:dyDescent="0.25">
      <c r="R675">
        <v>15.814424712150821</v>
      </c>
    </row>
    <row r="676" spans="18:18" x14ac:dyDescent="0.25">
      <c r="R676">
        <v>27.813269786028656</v>
      </c>
    </row>
    <row r="677" spans="18:18" x14ac:dyDescent="0.25">
      <c r="R677">
        <v>16.91775188120053</v>
      </c>
    </row>
    <row r="678" spans="18:18" x14ac:dyDescent="0.25">
      <c r="R678">
        <v>28.660552652538136</v>
      </c>
    </row>
    <row r="679" spans="18:18" x14ac:dyDescent="0.25">
      <c r="R679">
        <v>31.644548926225156</v>
      </c>
    </row>
    <row r="680" spans="18:18" x14ac:dyDescent="0.25">
      <c r="R680">
        <v>21.758603512087035</v>
      </c>
    </row>
    <row r="681" spans="18:18" x14ac:dyDescent="0.25">
      <c r="R681">
        <v>23.136425677415005</v>
      </c>
    </row>
    <row r="682" spans="18:18" x14ac:dyDescent="0.25">
      <c r="R682">
        <v>27.992914606232347</v>
      </c>
    </row>
    <row r="683" spans="18:18" x14ac:dyDescent="0.25">
      <c r="R683">
        <v>28.446271639765001</v>
      </c>
    </row>
    <row r="684" spans="18:18" x14ac:dyDescent="0.25">
      <c r="R684">
        <v>25.466466444513397</v>
      </c>
    </row>
    <row r="685" spans="18:18" x14ac:dyDescent="0.25">
      <c r="R685">
        <v>27.72506589650067</v>
      </c>
    </row>
    <row r="686" spans="18:18" x14ac:dyDescent="0.25">
      <c r="R686">
        <v>30.177404687420854</v>
      </c>
    </row>
    <row r="687" spans="18:18" x14ac:dyDescent="0.25">
      <c r="R687">
        <v>15.663969515862876</v>
      </c>
    </row>
    <row r="688" spans="18:18" x14ac:dyDescent="0.25">
      <c r="R688">
        <v>14.910476961314991</v>
      </c>
    </row>
    <row r="689" spans="18:18" x14ac:dyDescent="0.25">
      <c r="R689">
        <v>26.707358794753894</v>
      </c>
    </row>
    <row r="690" spans="18:18" x14ac:dyDescent="0.25">
      <c r="R690">
        <v>17.708170857728405</v>
      </c>
    </row>
    <row r="691" spans="18:18" x14ac:dyDescent="0.25">
      <c r="R691">
        <v>32.41406965911483</v>
      </c>
    </row>
    <row r="692" spans="18:18" x14ac:dyDescent="0.25">
      <c r="R692">
        <v>26.379400455289275</v>
      </c>
    </row>
    <row r="693" spans="18:18" x14ac:dyDescent="0.25">
      <c r="R693">
        <v>30.226982353275552</v>
      </c>
    </row>
    <row r="694" spans="18:18" x14ac:dyDescent="0.25">
      <c r="R694">
        <v>23.519336025369636</v>
      </c>
    </row>
    <row r="695" spans="18:18" x14ac:dyDescent="0.25">
      <c r="R695">
        <v>14.642328034126953</v>
      </c>
    </row>
    <row r="696" spans="18:18" x14ac:dyDescent="0.25">
      <c r="R696">
        <v>28.672081266828592</v>
      </c>
    </row>
    <row r="697" spans="18:18" x14ac:dyDescent="0.25">
      <c r="R697">
        <v>29.717080204769378</v>
      </c>
    </row>
    <row r="698" spans="18:18" x14ac:dyDescent="0.25">
      <c r="R698">
        <v>32.498585302355053</v>
      </c>
    </row>
    <row r="699" spans="18:18" x14ac:dyDescent="0.25">
      <c r="R699">
        <v>31.291570279298575</v>
      </c>
    </row>
    <row r="700" spans="18:18" x14ac:dyDescent="0.25">
      <c r="R700">
        <v>16.022598424971029</v>
      </c>
    </row>
    <row r="701" spans="18:18" x14ac:dyDescent="0.25">
      <c r="R701">
        <v>15.523784482231074</v>
      </c>
    </row>
    <row r="702" spans="18:18" x14ac:dyDescent="0.25">
      <c r="R702">
        <v>17.306253165378859</v>
      </c>
    </row>
    <row r="703" spans="18:18" x14ac:dyDescent="0.25">
      <c r="R703">
        <v>18.129441139473396</v>
      </c>
    </row>
    <row r="704" spans="18:18" x14ac:dyDescent="0.25">
      <c r="R704">
        <v>30.118230896340101</v>
      </c>
    </row>
    <row r="705" spans="18:18" x14ac:dyDescent="0.25">
      <c r="R705">
        <v>27.024234491437088</v>
      </c>
    </row>
    <row r="706" spans="18:18" x14ac:dyDescent="0.25">
      <c r="R706">
        <v>25.401273545969389</v>
      </c>
    </row>
    <row r="707" spans="18:18" x14ac:dyDescent="0.25">
      <c r="R707">
        <v>24.618169329447337</v>
      </c>
    </row>
    <row r="708" spans="18:18" x14ac:dyDescent="0.25">
      <c r="R708">
        <v>22.175312570621887</v>
      </c>
    </row>
    <row r="709" spans="18:18" x14ac:dyDescent="0.25">
      <c r="R709">
        <v>26.889148158398939</v>
      </c>
    </row>
    <row r="710" spans="18:18" x14ac:dyDescent="0.25">
      <c r="R710">
        <v>21.692319537343259</v>
      </c>
    </row>
    <row r="711" spans="18:18" x14ac:dyDescent="0.25">
      <c r="R711">
        <v>26.668796619277401</v>
      </c>
    </row>
    <row r="712" spans="18:18" x14ac:dyDescent="0.25">
      <c r="R712">
        <v>31.00255110142713</v>
      </c>
    </row>
    <row r="713" spans="18:18" x14ac:dyDescent="0.25">
      <c r="R713">
        <v>29.505661255164579</v>
      </c>
    </row>
    <row r="714" spans="18:18" x14ac:dyDescent="0.25">
      <c r="R714">
        <v>32.171859027049322</v>
      </c>
    </row>
    <row r="715" spans="18:18" x14ac:dyDescent="0.25">
      <c r="R715">
        <v>20.439894653992571</v>
      </c>
    </row>
    <row r="716" spans="18:18" x14ac:dyDescent="0.25">
      <c r="R716">
        <v>17.019131533118131</v>
      </c>
    </row>
    <row r="717" spans="18:18" x14ac:dyDescent="0.25">
      <c r="R717">
        <v>28.287992149999457</v>
      </c>
    </row>
    <row r="718" spans="18:18" x14ac:dyDescent="0.25">
      <c r="R718">
        <v>22.443457562916542</v>
      </c>
    </row>
    <row r="719" spans="18:18" x14ac:dyDescent="0.25">
      <c r="R719">
        <v>31.235786044737104</v>
      </c>
    </row>
    <row r="720" spans="18:18" x14ac:dyDescent="0.25">
      <c r="R720">
        <v>28.311320870745476</v>
      </c>
    </row>
    <row r="721" spans="18:18" x14ac:dyDescent="0.25">
      <c r="R721">
        <v>16.191105780579004</v>
      </c>
    </row>
    <row r="722" spans="18:18" x14ac:dyDescent="0.25">
      <c r="R722">
        <v>29.469220425661881</v>
      </c>
    </row>
    <row r="723" spans="18:18" x14ac:dyDescent="0.25">
      <c r="R723">
        <v>31.692432344863263</v>
      </c>
    </row>
    <row r="724" spans="18:18" x14ac:dyDescent="0.25">
      <c r="R724">
        <v>18.51526945382582</v>
      </c>
    </row>
    <row r="725" spans="18:18" x14ac:dyDescent="0.25">
      <c r="R725">
        <v>27.312439344094809</v>
      </c>
    </row>
    <row r="726" spans="18:18" x14ac:dyDescent="0.25">
      <c r="R726">
        <v>15.548118160979353</v>
      </c>
    </row>
    <row r="727" spans="18:18" x14ac:dyDescent="0.25">
      <c r="R727">
        <v>18.293474259931916</v>
      </c>
    </row>
    <row r="728" spans="18:18" x14ac:dyDescent="0.25">
      <c r="R728">
        <v>14.614774975603096</v>
      </c>
    </row>
    <row r="729" spans="18:18" x14ac:dyDescent="0.25">
      <c r="R729">
        <v>21.598045665748892</v>
      </c>
    </row>
    <row r="730" spans="18:18" x14ac:dyDescent="0.25">
      <c r="R730">
        <v>27.249187577298606</v>
      </c>
    </row>
    <row r="731" spans="18:18" x14ac:dyDescent="0.25">
      <c r="R731">
        <v>29.012482954514699</v>
      </c>
    </row>
    <row r="732" spans="18:18" x14ac:dyDescent="0.25">
      <c r="R732">
        <v>17.96924388084398</v>
      </c>
    </row>
    <row r="733" spans="18:18" x14ac:dyDescent="0.25">
      <c r="R733">
        <v>18.566418495106937</v>
      </c>
    </row>
    <row r="734" spans="18:18" x14ac:dyDescent="0.25">
      <c r="R734">
        <v>28.490111003212071</v>
      </c>
    </row>
    <row r="735" spans="18:18" x14ac:dyDescent="0.25">
      <c r="R735">
        <v>22.700764524644754</v>
      </c>
    </row>
    <row r="736" spans="18:18" x14ac:dyDescent="0.25">
      <c r="R736">
        <v>14.424253512236282</v>
      </c>
    </row>
    <row r="737" spans="18:18" x14ac:dyDescent="0.25">
      <c r="R737">
        <v>24.095360881277358</v>
      </c>
    </row>
    <row r="738" spans="18:18" x14ac:dyDescent="0.25">
      <c r="R738">
        <v>23.431619816190743</v>
      </c>
    </row>
    <row r="739" spans="18:18" x14ac:dyDescent="0.25">
      <c r="R739">
        <v>30.824163435347472</v>
      </c>
    </row>
    <row r="740" spans="18:18" x14ac:dyDescent="0.25">
      <c r="R740">
        <v>20.614987361755261</v>
      </c>
    </row>
    <row r="741" spans="18:18" x14ac:dyDescent="0.25">
      <c r="R741">
        <v>26.975475470363833</v>
      </c>
    </row>
    <row r="742" spans="18:18" x14ac:dyDescent="0.25">
      <c r="R742">
        <v>21.221400872515176</v>
      </c>
    </row>
    <row r="743" spans="18:18" x14ac:dyDescent="0.25">
      <c r="R743">
        <v>19.182989589674438</v>
      </c>
    </row>
    <row r="744" spans="18:18" x14ac:dyDescent="0.25">
      <c r="R744">
        <v>19.550388506451707</v>
      </c>
    </row>
    <row r="745" spans="18:18" x14ac:dyDescent="0.25">
      <c r="R745">
        <v>30.018660616404546</v>
      </c>
    </row>
    <row r="746" spans="18:18" x14ac:dyDescent="0.25">
      <c r="R746">
        <v>22.235670434024691</v>
      </c>
    </row>
    <row r="747" spans="18:18" x14ac:dyDescent="0.25">
      <c r="R747">
        <v>15.692030079699776</v>
      </c>
    </row>
    <row r="748" spans="18:18" x14ac:dyDescent="0.25">
      <c r="R748">
        <v>23.870076001370673</v>
      </c>
    </row>
    <row r="749" spans="18:18" x14ac:dyDescent="0.25">
      <c r="R749">
        <v>30.723874778901035</v>
      </c>
    </row>
    <row r="750" spans="18:18" x14ac:dyDescent="0.25">
      <c r="R750">
        <v>19.854553839877958</v>
      </c>
    </row>
    <row r="751" spans="18:18" x14ac:dyDescent="0.25">
      <c r="R751">
        <v>29.972153482979252</v>
      </c>
    </row>
    <row r="752" spans="18:18" x14ac:dyDescent="0.25">
      <c r="R752">
        <v>23.158683553191572</v>
      </c>
    </row>
    <row r="753" spans="18:18" x14ac:dyDescent="0.25">
      <c r="R753">
        <v>31.087397845009825</v>
      </c>
    </row>
    <row r="754" spans="18:18" x14ac:dyDescent="0.25">
      <c r="R754">
        <v>19.822422226839748</v>
      </c>
    </row>
    <row r="755" spans="18:18" x14ac:dyDescent="0.25">
      <c r="R755">
        <v>26.595562311885349</v>
      </c>
    </row>
    <row r="756" spans="18:18" x14ac:dyDescent="0.25">
      <c r="R756">
        <v>18.579321923656956</v>
      </c>
    </row>
    <row r="757" spans="18:18" x14ac:dyDescent="0.25">
      <c r="R757">
        <v>23.786002526586937</v>
      </c>
    </row>
    <row r="758" spans="18:18" x14ac:dyDescent="0.25">
      <c r="R758">
        <v>18.328448555130699</v>
      </c>
    </row>
    <row r="759" spans="18:18" x14ac:dyDescent="0.25">
      <c r="R759">
        <v>14.97904721573677</v>
      </c>
    </row>
    <row r="760" spans="18:18" x14ac:dyDescent="0.25">
      <c r="R760">
        <v>21.655029365682317</v>
      </c>
    </row>
    <row r="761" spans="18:18" x14ac:dyDescent="0.25">
      <c r="R761">
        <v>17.586510563603589</v>
      </c>
    </row>
    <row r="762" spans="18:18" x14ac:dyDescent="0.25">
      <c r="R762">
        <v>17.482000888690887</v>
      </c>
    </row>
    <row r="763" spans="18:18" x14ac:dyDescent="0.25">
      <c r="R763">
        <v>16.967443887178039</v>
      </c>
    </row>
    <row r="764" spans="18:18" x14ac:dyDescent="0.25">
      <c r="R764">
        <v>19.734808418554987</v>
      </c>
    </row>
    <row r="765" spans="18:18" x14ac:dyDescent="0.25">
      <c r="R765">
        <v>17.065134012827013</v>
      </c>
    </row>
    <row r="766" spans="18:18" x14ac:dyDescent="0.25">
      <c r="R766">
        <v>24.451760041414765</v>
      </c>
    </row>
    <row r="767" spans="18:18" x14ac:dyDescent="0.25">
      <c r="R767">
        <v>32.43451878875257</v>
      </c>
    </row>
    <row r="768" spans="18:18" x14ac:dyDescent="0.25">
      <c r="R768">
        <v>32.59215119320789</v>
      </c>
    </row>
    <row r="769" spans="18:18" x14ac:dyDescent="0.25">
      <c r="R769">
        <v>19.061083281760133</v>
      </c>
    </row>
    <row r="770" spans="18:18" x14ac:dyDescent="0.25">
      <c r="R770">
        <v>14.836362630902931</v>
      </c>
    </row>
    <row r="771" spans="18:18" x14ac:dyDescent="0.25">
      <c r="R771">
        <v>21.638672466494175</v>
      </c>
    </row>
    <row r="772" spans="18:18" x14ac:dyDescent="0.25">
      <c r="R772">
        <v>21.329258058294844</v>
      </c>
    </row>
    <row r="773" spans="18:18" x14ac:dyDescent="0.25">
      <c r="R773">
        <v>24.062476575190026</v>
      </c>
    </row>
    <row r="774" spans="18:18" x14ac:dyDescent="0.25">
      <c r="R774">
        <v>23.305671097282612</v>
      </c>
    </row>
    <row r="775" spans="18:18" x14ac:dyDescent="0.25">
      <c r="R775">
        <v>30.912997334906208</v>
      </c>
    </row>
    <row r="776" spans="18:18" x14ac:dyDescent="0.25">
      <c r="R776">
        <v>22.870381324961173</v>
      </c>
    </row>
    <row r="777" spans="18:18" x14ac:dyDescent="0.25">
      <c r="R777">
        <v>27.314874134594312</v>
      </c>
    </row>
    <row r="778" spans="18:18" x14ac:dyDescent="0.25">
      <c r="R778">
        <v>17.206129372495521</v>
      </c>
    </row>
    <row r="779" spans="18:18" x14ac:dyDescent="0.25">
      <c r="R779">
        <v>26.881883775794599</v>
      </c>
    </row>
    <row r="780" spans="18:18" x14ac:dyDescent="0.25">
      <c r="R780">
        <v>20.555011689592625</v>
      </c>
    </row>
    <row r="781" spans="18:18" x14ac:dyDescent="0.25">
      <c r="R781">
        <v>23.257727117907855</v>
      </c>
    </row>
    <row r="782" spans="18:18" x14ac:dyDescent="0.25">
      <c r="R782">
        <v>15.453224014729841</v>
      </c>
    </row>
    <row r="783" spans="18:18" x14ac:dyDescent="0.25">
      <c r="R783">
        <v>25.4233098068459</v>
      </c>
    </row>
    <row r="784" spans="18:18" x14ac:dyDescent="0.25">
      <c r="R784">
        <v>28.388530625523281</v>
      </c>
    </row>
    <row r="785" spans="18:18" x14ac:dyDescent="0.25">
      <c r="R785">
        <v>17.938940821185682</v>
      </c>
    </row>
    <row r="786" spans="18:18" x14ac:dyDescent="0.25">
      <c r="R786">
        <v>15.345773784015424</v>
      </c>
    </row>
    <row r="787" spans="18:18" x14ac:dyDescent="0.25">
      <c r="R787">
        <v>22.868331921303231</v>
      </c>
    </row>
    <row r="788" spans="18:18" x14ac:dyDescent="0.25">
      <c r="R788">
        <v>25.880726602626186</v>
      </c>
    </row>
    <row r="789" spans="18:18" x14ac:dyDescent="0.25">
      <c r="R789">
        <v>17.462389384804588</v>
      </c>
    </row>
    <row r="790" spans="18:18" x14ac:dyDescent="0.25">
      <c r="R790">
        <v>18.160420787788546</v>
      </c>
    </row>
    <row r="791" spans="18:18" x14ac:dyDescent="0.25">
      <c r="R791">
        <v>16.853997989163531</v>
      </c>
    </row>
    <row r="792" spans="18:18" x14ac:dyDescent="0.25">
      <c r="R792">
        <v>29.888834107754064</v>
      </c>
    </row>
    <row r="793" spans="18:18" x14ac:dyDescent="0.25">
      <c r="R793">
        <v>17.672341274912398</v>
      </c>
    </row>
    <row r="794" spans="18:18" x14ac:dyDescent="0.25">
      <c r="R794">
        <v>20.176346014752699</v>
      </c>
    </row>
    <row r="795" spans="18:18" x14ac:dyDescent="0.25">
      <c r="R795">
        <v>30.75237819943451</v>
      </c>
    </row>
    <row r="796" spans="18:18" x14ac:dyDescent="0.25">
      <c r="R796">
        <v>14.456618387150902</v>
      </c>
    </row>
    <row r="797" spans="18:18" x14ac:dyDescent="0.25">
      <c r="R797">
        <v>15.46619946598188</v>
      </c>
    </row>
    <row r="798" spans="18:18" x14ac:dyDescent="0.25">
      <c r="R798">
        <v>24.082842206515927</v>
      </c>
    </row>
    <row r="799" spans="18:18" x14ac:dyDescent="0.25">
      <c r="R799">
        <v>29.717206313260448</v>
      </c>
    </row>
    <row r="800" spans="18:18" x14ac:dyDescent="0.25">
      <c r="R800">
        <v>27.802973855445799</v>
      </c>
    </row>
    <row r="801" spans="18:18" x14ac:dyDescent="0.25">
      <c r="R801">
        <v>25.325706343232689</v>
      </c>
    </row>
    <row r="802" spans="18:18" x14ac:dyDescent="0.25">
      <c r="R802">
        <v>14.939158217571606</v>
      </c>
    </row>
    <row r="803" spans="18:18" x14ac:dyDescent="0.25">
      <c r="R803">
        <v>24.916714027180941</v>
      </c>
    </row>
    <row r="804" spans="18:18" x14ac:dyDescent="0.25">
      <c r="R804">
        <v>29.745401092996381</v>
      </c>
    </row>
    <row r="805" spans="18:18" x14ac:dyDescent="0.25">
      <c r="R805">
        <v>15.017792354464996</v>
      </c>
    </row>
    <row r="806" spans="18:18" x14ac:dyDescent="0.25">
      <c r="R806">
        <v>30.451127558549686</v>
      </c>
    </row>
    <row r="807" spans="18:18" x14ac:dyDescent="0.25">
      <c r="R807">
        <v>29.102467675554408</v>
      </c>
    </row>
    <row r="808" spans="18:18" x14ac:dyDescent="0.25">
      <c r="R808">
        <v>26.959986866600985</v>
      </c>
    </row>
    <row r="809" spans="18:18" x14ac:dyDescent="0.25">
      <c r="R809">
        <v>17.554830789755275</v>
      </c>
    </row>
    <row r="810" spans="18:18" x14ac:dyDescent="0.25">
      <c r="R810">
        <v>26.5653631503748</v>
      </c>
    </row>
    <row r="811" spans="18:18" x14ac:dyDescent="0.25">
      <c r="R811">
        <v>15.014341724882541</v>
      </c>
    </row>
    <row r="812" spans="18:18" x14ac:dyDescent="0.25">
      <c r="R812">
        <v>19.781198347614676</v>
      </c>
    </row>
    <row r="813" spans="18:18" x14ac:dyDescent="0.25">
      <c r="R813">
        <v>29.294695030038667</v>
      </c>
    </row>
    <row r="814" spans="18:18" x14ac:dyDescent="0.25">
      <c r="R814">
        <v>26.538479311021923</v>
      </c>
    </row>
    <row r="815" spans="18:18" x14ac:dyDescent="0.25">
      <c r="R815">
        <v>28.463388412320427</v>
      </c>
    </row>
    <row r="816" spans="18:18" x14ac:dyDescent="0.25">
      <c r="R816">
        <v>22.942386088225987</v>
      </c>
    </row>
    <row r="817" spans="18:18" x14ac:dyDescent="0.25">
      <c r="R817">
        <v>26.303364667190245</v>
      </c>
    </row>
    <row r="818" spans="18:18" x14ac:dyDescent="0.25">
      <c r="R818">
        <v>24.418971316247237</v>
      </c>
    </row>
    <row r="819" spans="18:18" x14ac:dyDescent="0.25">
      <c r="R819">
        <v>25.53954359218594</v>
      </c>
    </row>
    <row r="820" spans="18:18" x14ac:dyDescent="0.25">
      <c r="R820">
        <v>31.582436303808791</v>
      </c>
    </row>
    <row r="821" spans="18:18" x14ac:dyDescent="0.25">
      <c r="R821">
        <v>29.781686149879214</v>
      </c>
    </row>
    <row r="822" spans="18:18" x14ac:dyDescent="0.25">
      <c r="R822">
        <v>31.906799305976506</v>
      </c>
    </row>
    <row r="823" spans="18:18" x14ac:dyDescent="0.25">
      <c r="R823">
        <v>14.860383872174939</v>
      </c>
    </row>
    <row r="824" spans="18:18" x14ac:dyDescent="0.25">
      <c r="R824">
        <v>20.230934228457158</v>
      </c>
    </row>
    <row r="825" spans="18:18" x14ac:dyDescent="0.25">
      <c r="R825">
        <v>24.239785603489317</v>
      </c>
    </row>
    <row r="826" spans="18:18" x14ac:dyDescent="0.25">
      <c r="R826">
        <v>15.826347968644196</v>
      </c>
    </row>
    <row r="827" spans="18:18" x14ac:dyDescent="0.25">
      <c r="R827">
        <v>28.30906610147369</v>
      </c>
    </row>
    <row r="828" spans="18:18" x14ac:dyDescent="0.25">
      <c r="R828">
        <v>22.653932185566944</v>
      </c>
    </row>
    <row r="829" spans="18:18" x14ac:dyDescent="0.25">
      <c r="R829">
        <v>20.710408709187281</v>
      </c>
    </row>
    <row r="830" spans="18:18" x14ac:dyDescent="0.25">
      <c r="R830">
        <v>28.361092615703292</v>
      </c>
    </row>
    <row r="831" spans="18:18" x14ac:dyDescent="0.25">
      <c r="R831">
        <v>31.254325873813478</v>
      </c>
    </row>
    <row r="832" spans="18:18" x14ac:dyDescent="0.25">
      <c r="R832">
        <v>28.86687886686995</v>
      </c>
    </row>
    <row r="833" spans="18:18" x14ac:dyDescent="0.25">
      <c r="R833">
        <v>20.257642115199964</v>
      </c>
    </row>
    <row r="834" spans="18:18" x14ac:dyDescent="0.25">
      <c r="R834">
        <v>29.704909171966406</v>
      </c>
    </row>
    <row r="835" spans="18:18" x14ac:dyDescent="0.25">
      <c r="R835">
        <v>24.280305640197415</v>
      </c>
    </row>
    <row r="836" spans="18:18" x14ac:dyDescent="0.25">
      <c r="R836">
        <v>26.672615605332176</v>
      </c>
    </row>
    <row r="837" spans="18:18" x14ac:dyDescent="0.25">
      <c r="R837">
        <v>21.595170244697666</v>
      </c>
    </row>
    <row r="838" spans="18:18" x14ac:dyDescent="0.25">
      <c r="R838">
        <v>19.9346685880727</v>
      </c>
    </row>
    <row r="839" spans="18:18" x14ac:dyDescent="0.25">
      <c r="R839">
        <v>16.980537380822753</v>
      </c>
    </row>
    <row r="840" spans="18:18" x14ac:dyDescent="0.25">
      <c r="R840">
        <v>31.497021883108758</v>
      </c>
    </row>
    <row r="841" spans="18:18" x14ac:dyDescent="0.25">
      <c r="R841">
        <v>15.200594061590945</v>
      </c>
    </row>
    <row r="842" spans="18:18" x14ac:dyDescent="0.25">
      <c r="R842">
        <v>16.879687674175969</v>
      </c>
    </row>
    <row r="843" spans="18:18" x14ac:dyDescent="0.25">
      <c r="R843">
        <v>14.973851531225462</v>
      </c>
    </row>
    <row r="844" spans="18:18" x14ac:dyDescent="0.25">
      <c r="R844">
        <v>26.138018855491023</v>
      </c>
    </row>
    <row r="845" spans="18:18" x14ac:dyDescent="0.25">
      <c r="R845">
        <v>15.279511793241678</v>
      </c>
    </row>
    <row r="846" spans="18:18" x14ac:dyDescent="0.25">
      <c r="R846">
        <v>18.614044616475965</v>
      </c>
    </row>
    <row r="847" spans="18:18" x14ac:dyDescent="0.25">
      <c r="R847">
        <v>16.348628576179504</v>
      </c>
    </row>
    <row r="848" spans="18:18" x14ac:dyDescent="0.25">
      <c r="R848">
        <v>30.476835661781685</v>
      </c>
    </row>
    <row r="849" spans="18:18" x14ac:dyDescent="0.25">
      <c r="R849">
        <v>22.357219346061491</v>
      </c>
    </row>
    <row r="850" spans="18:18" x14ac:dyDescent="0.25">
      <c r="R850">
        <v>15.081433631414418</v>
      </c>
    </row>
    <row r="851" spans="18:18" x14ac:dyDescent="0.25">
      <c r="R851">
        <v>20.197507251690432</v>
      </c>
    </row>
    <row r="852" spans="18:18" x14ac:dyDescent="0.25">
      <c r="R852">
        <v>27.184271750752789</v>
      </c>
    </row>
    <row r="853" spans="18:18" x14ac:dyDescent="0.25">
      <c r="R853">
        <v>24.075726149529306</v>
      </c>
    </row>
    <row r="854" spans="18:18" x14ac:dyDescent="0.25">
      <c r="R854">
        <v>17.682261972644124</v>
      </c>
    </row>
    <row r="855" spans="18:18" x14ac:dyDescent="0.25">
      <c r="R855">
        <v>29.521965357426659</v>
      </c>
    </row>
    <row r="856" spans="18:18" x14ac:dyDescent="0.25">
      <c r="R856">
        <v>32.144718647728872</v>
      </c>
    </row>
    <row r="857" spans="18:18" x14ac:dyDescent="0.25">
      <c r="R857">
        <v>19.910446381995065</v>
      </c>
    </row>
    <row r="858" spans="18:18" x14ac:dyDescent="0.25">
      <c r="R858">
        <v>20.768824153202065</v>
      </c>
    </row>
    <row r="859" spans="18:18" x14ac:dyDescent="0.25">
      <c r="R859">
        <v>24.065967648699445</v>
      </c>
    </row>
    <row r="860" spans="18:18" x14ac:dyDescent="0.25">
      <c r="R860">
        <v>15.674253541528286</v>
      </c>
    </row>
    <row r="861" spans="18:18" x14ac:dyDescent="0.25">
      <c r="R861">
        <v>28.45452704517578</v>
      </c>
    </row>
    <row r="862" spans="18:18" x14ac:dyDescent="0.25">
      <c r="R862">
        <v>22.28417619773963</v>
      </c>
    </row>
    <row r="863" spans="18:18" x14ac:dyDescent="0.25">
      <c r="R863">
        <v>21.825424321420364</v>
      </c>
    </row>
    <row r="864" spans="18:18" x14ac:dyDescent="0.25">
      <c r="R864">
        <v>28.544500200649544</v>
      </c>
    </row>
    <row r="865" spans="18:18" x14ac:dyDescent="0.25">
      <c r="R865">
        <v>32.203707399450849</v>
      </c>
    </row>
    <row r="866" spans="18:18" x14ac:dyDescent="0.25">
      <c r="R866">
        <v>17.838053862588787</v>
      </c>
    </row>
    <row r="867" spans="18:18" x14ac:dyDescent="0.25">
      <c r="R867">
        <v>19.504660333579331</v>
      </c>
    </row>
    <row r="868" spans="18:18" x14ac:dyDescent="0.25">
      <c r="R868">
        <v>16.348099824656899</v>
      </c>
    </row>
    <row r="869" spans="18:18" x14ac:dyDescent="0.25">
      <c r="R869">
        <v>14.354772628058736</v>
      </c>
    </row>
    <row r="870" spans="18:18" x14ac:dyDescent="0.25">
      <c r="R870">
        <v>25.921315337696239</v>
      </c>
    </row>
    <row r="871" spans="18:18" x14ac:dyDescent="0.25">
      <c r="R871">
        <v>23.200938420472323</v>
      </c>
    </row>
    <row r="872" spans="18:18" x14ac:dyDescent="0.25">
      <c r="R872">
        <v>16.085255773259817</v>
      </c>
    </row>
    <row r="873" spans="18:18" x14ac:dyDescent="0.25">
      <c r="R873">
        <v>25.877934955414162</v>
      </c>
    </row>
    <row r="874" spans="18:18" x14ac:dyDescent="0.25">
      <c r="R874">
        <v>32.366091957139311</v>
      </c>
    </row>
    <row r="875" spans="18:18" x14ac:dyDescent="0.25">
      <c r="R875">
        <v>29.391118517307763</v>
      </c>
    </row>
    <row r="876" spans="18:18" x14ac:dyDescent="0.25">
      <c r="R876">
        <v>30.053087767901985</v>
      </c>
    </row>
    <row r="877" spans="18:18" x14ac:dyDescent="0.25">
      <c r="R877">
        <v>14.469037222623536</v>
      </c>
    </row>
    <row r="878" spans="18:18" x14ac:dyDescent="0.25">
      <c r="R878">
        <v>16.869446368476993</v>
      </c>
    </row>
    <row r="879" spans="18:18" x14ac:dyDescent="0.25">
      <c r="R879">
        <v>18.734690074164106</v>
      </c>
    </row>
    <row r="880" spans="18:18" x14ac:dyDescent="0.25">
      <c r="R880">
        <v>29.098285256652382</v>
      </c>
    </row>
    <row r="881" spans="18:18" x14ac:dyDescent="0.25">
      <c r="R881">
        <v>15.74971775121954</v>
      </c>
    </row>
    <row r="882" spans="18:18" x14ac:dyDescent="0.25">
      <c r="R882">
        <v>26.969409514445545</v>
      </c>
    </row>
    <row r="883" spans="18:18" x14ac:dyDescent="0.25">
      <c r="R883">
        <v>32.28056988979391</v>
      </c>
    </row>
    <row r="884" spans="18:18" x14ac:dyDescent="0.25">
      <c r="R884">
        <v>20.859395617622681</v>
      </c>
    </row>
    <row r="885" spans="18:18" x14ac:dyDescent="0.25">
      <c r="R885">
        <v>24.28553842298107</v>
      </c>
    </row>
    <row r="886" spans="18:18" x14ac:dyDescent="0.25">
      <c r="R886">
        <v>20.002628059364628</v>
      </c>
    </row>
    <row r="887" spans="18:18" x14ac:dyDescent="0.25">
      <c r="R887">
        <v>21.651143559031603</v>
      </c>
    </row>
    <row r="888" spans="18:18" x14ac:dyDescent="0.25">
      <c r="R888">
        <v>26.348146268343164</v>
      </c>
    </row>
    <row r="889" spans="18:18" x14ac:dyDescent="0.25">
      <c r="R889">
        <v>27.494780533529347</v>
      </c>
    </row>
    <row r="890" spans="18:18" x14ac:dyDescent="0.25">
      <c r="R890">
        <v>24.308754638806683</v>
      </c>
    </row>
    <row r="891" spans="18:18" x14ac:dyDescent="0.25">
      <c r="R891">
        <v>16.533983118724446</v>
      </c>
    </row>
    <row r="892" spans="18:18" x14ac:dyDescent="0.25">
      <c r="R892">
        <v>20.16292761450196</v>
      </c>
    </row>
    <row r="893" spans="18:18" x14ac:dyDescent="0.25">
      <c r="R893">
        <v>28.574487944758083</v>
      </c>
    </row>
    <row r="894" spans="18:18" x14ac:dyDescent="0.25">
      <c r="R894">
        <v>32.455733047751032</v>
      </c>
    </row>
    <row r="895" spans="18:18" x14ac:dyDescent="0.25">
      <c r="R895">
        <v>17.765192498498223</v>
      </c>
    </row>
    <row r="896" spans="18:18" x14ac:dyDescent="0.25">
      <c r="R896">
        <v>24.287997634831967</v>
      </c>
    </row>
    <row r="897" spans="18:18" x14ac:dyDescent="0.25">
      <c r="R897">
        <v>28.549822811056799</v>
      </c>
    </row>
    <row r="898" spans="18:18" x14ac:dyDescent="0.25">
      <c r="R898">
        <v>30.310569796791782</v>
      </c>
    </row>
    <row r="899" spans="18:18" x14ac:dyDescent="0.25">
      <c r="R899">
        <v>14.898622062911855</v>
      </c>
    </row>
    <row r="900" spans="18:18" x14ac:dyDescent="0.25">
      <c r="R900">
        <v>26.666087862206616</v>
      </c>
    </row>
    <row r="901" spans="18:18" x14ac:dyDescent="0.25">
      <c r="R901">
        <v>25.723872445066409</v>
      </c>
    </row>
    <row r="902" spans="18:18" x14ac:dyDescent="0.25">
      <c r="R902">
        <v>27.631482459954423</v>
      </c>
    </row>
    <row r="903" spans="18:18" x14ac:dyDescent="0.25">
      <c r="R903">
        <v>29.014200487619743</v>
      </c>
    </row>
    <row r="904" spans="18:18" x14ac:dyDescent="0.25">
      <c r="R904">
        <v>14.666497391008905</v>
      </c>
    </row>
    <row r="905" spans="18:18" x14ac:dyDescent="0.25">
      <c r="R905">
        <v>15.483596421808638</v>
      </c>
    </row>
    <row r="906" spans="18:18" x14ac:dyDescent="0.25">
      <c r="R906">
        <v>22.042396480599042</v>
      </c>
    </row>
    <row r="907" spans="18:18" x14ac:dyDescent="0.25">
      <c r="R907">
        <v>20.002468224662426</v>
      </c>
    </row>
    <row r="908" spans="18:18" x14ac:dyDescent="0.25">
      <c r="R908">
        <v>18.076179444758655</v>
      </c>
    </row>
    <row r="909" spans="18:18" x14ac:dyDescent="0.25">
      <c r="R909">
        <v>31.523589477910676</v>
      </c>
    </row>
    <row r="910" spans="18:18" x14ac:dyDescent="0.25">
      <c r="R910">
        <v>31.224103781479663</v>
      </c>
    </row>
    <row r="911" spans="18:18" x14ac:dyDescent="0.25">
      <c r="R911">
        <v>24.958790808140332</v>
      </c>
    </row>
    <row r="912" spans="18:18" x14ac:dyDescent="0.25">
      <c r="R912">
        <v>32.551595766269166</v>
      </c>
    </row>
    <row r="913" spans="18:18" x14ac:dyDescent="0.25">
      <c r="R913">
        <v>26.862638203722106</v>
      </c>
    </row>
    <row r="914" spans="18:18" x14ac:dyDescent="0.25">
      <c r="R914">
        <v>17.076241154618945</v>
      </c>
    </row>
    <row r="915" spans="18:18" x14ac:dyDescent="0.25">
      <c r="R915">
        <v>30.881615460017734</v>
      </c>
    </row>
    <row r="916" spans="18:18" x14ac:dyDescent="0.25">
      <c r="R916">
        <v>27.762575651605914</v>
      </c>
    </row>
    <row r="917" spans="18:18" x14ac:dyDescent="0.25">
      <c r="R917">
        <v>14.362246288635243</v>
      </c>
    </row>
    <row r="918" spans="18:18" x14ac:dyDescent="0.25">
      <c r="R918">
        <v>23.23876293715589</v>
      </c>
    </row>
    <row r="919" spans="18:18" x14ac:dyDescent="0.25">
      <c r="R919">
        <v>29.543740828583001</v>
      </c>
    </row>
    <row r="920" spans="18:18" x14ac:dyDescent="0.25">
      <c r="R920">
        <v>19.909355785245843</v>
      </c>
    </row>
    <row r="921" spans="18:18" x14ac:dyDescent="0.25">
      <c r="R921">
        <v>27.493405346825959</v>
      </c>
    </row>
    <row r="922" spans="18:18" x14ac:dyDescent="0.25">
      <c r="R922">
        <v>19.818244036759118</v>
      </c>
    </row>
    <row r="923" spans="18:18" x14ac:dyDescent="0.25">
      <c r="R923">
        <v>25.047842752516672</v>
      </c>
    </row>
    <row r="924" spans="18:18" x14ac:dyDescent="0.25">
      <c r="R924">
        <v>27.17358585015473</v>
      </c>
    </row>
    <row r="925" spans="18:18" x14ac:dyDescent="0.25">
      <c r="R925">
        <v>22.17473949796479</v>
      </c>
    </row>
    <row r="926" spans="18:18" x14ac:dyDescent="0.25">
      <c r="R926">
        <v>31.172838653071651</v>
      </c>
    </row>
    <row r="927" spans="18:18" x14ac:dyDescent="0.25">
      <c r="R927">
        <v>18.879117811112053</v>
      </c>
    </row>
    <row r="928" spans="18:18" x14ac:dyDescent="0.25">
      <c r="R928">
        <v>28.976117063079339</v>
      </c>
    </row>
    <row r="929" spans="18:18" x14ac:dyDescent="0.25">
      <c r="R929">
        <v>25.33538201382477</v>
      </c>
    </row>
    <row r="930" spans="18:18" x14ac:dyDescent="0.25">
      <c r="R930">
        <v>32.501317571990946</v>
      </c>
    </row>
    <row r="931" spans="18:18" x14ac:dyDescent="0.25">
      <c r="R931">
        <v>14.576838873132145</v>
      </c>
    </row>
    <row r="932" spans="18:18" x14ac:dyDescent="0.25">
      <c r="R932">
        <v>30.216821537767856</v>
      </c>
    </row>
    <row r="933" spans="18:18" x14ac:dyDescent="0.25">
      <c r="R933">
        <v>29.96031849122636</v>
      </c>
    </row>
    <row r="934" spans="18:18" x14ac:dyDescent="0.25">
      <c r="R934">
        <v>16.010921866217576</v>
      </c>
    </row>
    <row r="935" spans="18:18" x14ac:dyDescent="0.25">
      <c r="R935">
        <v>19.239840745774536</v>
      </c>
    </row>
    <row r="936" spans="18:18" x14ac:dyDescent="0.25">
      <c r="R936">
        <v>27.32917386238033</v>
      </c>
    </row>
    <row r="937" spans="18:18" x14ac:dyDescent="0.25">
      <c r="R937">
        <v>31.302534272668233</v>
      </c>
    </row>
    <row r="938" spans="18:18" x14ac:dyDescent="0.25">
      <c r="R938">
        <v>26.113263332741887</v>
      </c>
    </row>
    <row r="939" spans="18:18" x14ac:dyDescent="0.25">
      <c r="R939">
        <v>24.813394755643259</v>
      </c>
    </row>
    <row r="940" spans="18:18" x14ac:dyDescent="0.25">
      <c r="R940">
        <v>30.891528796247172</v>
      </c>
    </row>
    <row r="941" spans="18:18" x14ac:dyDescent="0.25">
      <c r="R941">
        <v>21.485700063398706</v>
      </c>
    </row>
    <row r="942" spans="18:18" x14ac:dyDescent="0.25">
      <c r="R942">
        <v>23.466797932880411</v>
      </c>
    </row>
    <row r="943" spans="18:18" x14ac:dyDescent="0.25">
      <c r="R943">
        <v>19.245648632565764</v>
      </c>
    </row>
    <row r="944" spans="18:18" x14ac:dyDescent="0.25">
      <c r="R944">
        <v>21.448405350567661</v>
      </c>
    </row>
    <row r="945" spans="18:18" x14ac:dyDescent="0.25">
      <c r="R945">
        <v>18.255514148180058</v>
      </c>
    </row>
    <row r="946" spans="18:18" x14ac:dyDescent="0.25">
      <c r="R946">
        <v>19.201676029747361</v>
      </c>
    </row>
    <row r="947" spans="18:18" x14ac:dyDescent="0.25">
      <c r="R947">
        <v>29.423175399886702</v>
      </c>
    </row>
    <row r="948" spans="18:18" x14ac:dyDescent="0.25">
      <c r="R948">
        <v>26.890310176758934</v>
      </c>
    </row>
    <row r="949" spans="18:18" x14ac:dyDescent="0.25">
      <c r="R949">
        <v>20.354037395900118</v>
      </c>
    </row>
    <row r="950" spans="18:18" x14ac:dyDescent="0.25">
      <c r="R950">
        <v>18.150441181382114</v>
      </c>
    </row>
    <row r="951" spans="18:18" x14ac:dyDescent="0.25">
      <c r="R951">
        <v>28.744166417328707</v>
      </c>
    </row>
    <row r="952" spans="18:18" x14ac:dyDescent="0.25">
      <c r="R952">
        <v>16.798631723636404</v>
      </c>
    </row>
    <row r="953" spans="18:18" x14ac:dyDescent="0.25">
      <c r="R953">
        <v>31.965678212941782</v>
      </c>
    </row>
    <row r="954" spans="18:18" x14ac:dyDescent="0.25">
      <c r="R954">
        <v>14.51941813164764</v>
      </c>
    </row>
    <row r="955" spans="18:18" x14ac:dyDescent="0.25">
      <c r="R955">
        <v>16.672856531999287</v>
      </c>
    </row>
    <row r="956" spans="18:18" x14ac:dyDescent="0.25">
      <c r="R956">
        <v>23.878077124896365</v>
      </c>
    </row>
    <row r="957" spans="18:18" x14ac:dyDescent="0.25">
      <c r="R957">
        <v>20.307289000665236</v>
      </c>
    </row>
    <row r="958" spans="18:18" x14ac:dyDescent="0.25">
      <c r="R958">
        <v>26.608623936627325</v>
      </c>
    </row>
    <row r="959" spans="18:18" x14ac:dyDescent="0.25">
      <c r="R959">
        <v>22.992696697224986</v>
      </c>
    </row>
    <row r="960" spans="18:18" x14ac:dyDescent="0.25">
      <c r="R960">
        <v>25.744199349363701</v>
      </c>
    </row>
    <row r="961" spans="18:18" x14ac:dyDescent="0.25">
      <c r="R961">
        <v>24.250322812334637</v>
      </c>
    </row>
    <row r="962" spans="18:18" x14ac:dyDescent="0.25">
      <c r="R962">
        <v>18.605585574341216</v>
      </c>
    </row>
    <row r="963" spans="18:18" x14ac:dyDescent="0.25">
      <c r="R963">
        <v>24.545807472423981</v>
      </c>
    </row>
    <row r="964" spans="18:18" x14ac:dyDescent="0.25">
      <c r="R964">
        <v>24.252337501985004</v>
      </c>
    </row>
    <row r="965" spans="18:18" x14ac:dyDescent="0.25">
      <c r="R965">
        <v>30.565207364340331</v>
      </c>
    </row>
    <row r="966" spans="18:18" x14ac:dyDescent="0.25">
      <c r="R966">
        <v>14.551866116532244</v>
      </c>
    </row>
    <row r="967" spans="18:18" x14ac:dyDescent="0.25">
      <c r="R967">
        <v>19.137073205807798</v>
      </c>
    </row>
    <row r="968" spans="18:18" x14ac:dyDescent="0.25">
      <c r="R968">
        <v>25.126623501117109</v>
      </c>
    </row>
    <row r="969" spans="18:18" x14ac:dyDescent="0.25">
      <c r="R969">
        <v>27.622525574231922</v>
      </c>
    </row>
    <row r="970" spans="18:18" x14ac:dyDescent="0.25">
      <c r="R970">
        <v>18.834888932733509</v>
      </c>
    </row>
    <row r="971" spans="18:18" x14ac:dyDescent="0.25">
      <c r="R971">
        <v>28.175304490846599</v>
      </c>
    </row>
    <row r="972" spans="18:18" x14ac:dyDescent="0.25">
      <c r="R972">
        <v>23.92122558452737</v>
      </c>
    </row>
    <row r="973" spans="18:18" x14ac:dyDescent="0.25">
      <c r="R973">
        <v>18.802920759685371</v>
      </c>
    </row>
    <row r="974" spans="18:18" x14ac:dyDescent="0.25">
      <c r="R974">
        <v>28.991709666768411</v>
      </c>
    </row>
    <row r="975" spans="18:18" x14ac:dyDescent="0.25">
      <c r="R975">
        <v>31.641839747777034</v>
      </c>
    </row>
    <row r="976" spans="18:18" x14ac:dyDescent="0.25">
      <c r="R976">
        <v>21.639335106081834</v>
      </c>
    </row>
    <row r="977" spans="18:18" x14ac:dyDescent="0.25">
      <c r="R977">
        <v>26.404131782748991</v>
      </c>
    </row>
    <row r="978" spans="18:18" x14ac:dyDescent="0.25">
      <c r="R978">
        <v>27.354755312204162</v>
      </c>
    </row>
    <row r="979" spans="18:18" x14ac:dyDescent="0.25">
      <c r="R979">
        <v>18.979209443486617</v>
      </c>
    </row>
    <row r="980" spans="18:18" x14ac:dyDescent="0.25">
      <c r="R980">
        <v>22.864029959507459</v>
      </c>
    </row>
    <row r="981" spans="18:18" x14ac:dyDescent="0.25">
      <c r="R981">
        <v>24.035003443800726</v>
      </c>
    </row>
    <row r="982" spans="18:18" x14ac:dyDescent="0.25">
      <c r="R982">
        <v>14.457611468425981</v>
      </c>
    </row>
    <row r="983" spans="18:18" x14ac:dyDescent="0.25">
      <c r="R983">
        <v>32.40333019716288</v>
      </c>
    </row>
    <row r="984" spans="18:18" x14ac:dyDescent="0.25">
      <c r="R984">
        <v>20.417788688043981</v>
      </c>
    </row>
    <row r="985" spans="18:18" x14ac:dyDescent="0.25">
      <c r="R985">
        <v>14.963401072470175</v>
      </c>
    </row>
    <row r="986" spans="18:18" x14ac:dyDescent="0.25">
      <c r="R986">
        <v>29.949619964068578</v>
      </c>
    </row>
    <row r="987" spans="18:18" x14ac:dyDescent="0.25">
      <c r="R987">
        <v>32.399935729599008</v>
      </c>
    </row>
    <row r="988" spans="18:18" x14ac:dyDescent="0.25">
      <c r="R988">
        <v>18.404472714056013</v>
      </c>
    </row>
    <row r="989" spans="18:18" x14ac:dyDescent="0.25">
      <c r="R989">
        <v>19.838571997172046</v>
      </c>
    </row>
    <row r="990" spans="18:18" x14ac:dyDescent="0.25">
      <c r="R990">
        <v>19.464670297909294</v>
      </c>
    </row>
    <row r="991" spans="18:18" x14ac:dyDescent="0.25">
      <c r="R991">
        <v>23.166405996178263</v>
      </c>
    </row>
    <row r="992" spans="18:18" x14ac:dyDescent="0.25">
      <c r="R992">
        <v>19.771625083469679</v>
      </c>
    </row>
    <row r="993" spans="18:18" x14ac:dyDescent="0.25">
      <c r="R993">
        <v>24.667096443598851</v>
      </c>
    </row>
    <row r="994" spans="18:18" x14ac:dyDescent="0.25">
      <c r="R994">
        <v>28.640944702357668</v>
      </c>
    </row>
    <row r="995" spans="18:18" x14ac:dyDescent="0.25">
      <c r="R995">
        <v>19.78849914410095</v>
      </c>
    </row>
    <row r="996" spans="18:18" x14ac:dyDescent="0.25">
      <c r="R996">
        <v>23.980780079882958</v>
      </c>
    </row>
    <row r="997" spans="18:18" x14ac:dyDescent="0.25">
      <c r="R997">
        <v>15.511866908190132</v>
      </c>
    </row>
    <row r="998" spans="18:18" x14ac:dyDescent="0.25">
      <c r="R998">
        <v>26.898756533645901</v>
      </c>
    </row>
    <row r="999" spans="18:18" x14ac:dyDescent="0.25">
      <c r="R999">
        <v>24.748649266553393</v>
      </c>
    </row>
    <row r="1000" spans="18:18" x14ac:dyDescent="0.25">
      <c r="R1000">
        <v>24.285326132684624</v>
      </c>
    </row>
    <row r="1001" spans="18:18" x14ac:dyDescent="0.25">
      <c r="R1001">
        <v>21.41707198767639</v>
      </c>
    </row>
    <row r="1002" spans="18:18" x14ac:dyDescent="0.25">
      <c r="R1002">
        <v>18.16417183141121</v>
      </c>
    </row>
    <row r="1003" spans="18:18" x14ac:dyDescent="0.25">
      <c r="R1003">
        <v>30.461429057980965</v>
      </c>
    </row>
    <row r="1004" spans="18:18" x14ac:dyDescent="0.25">
      <c r="R1004">
        <v>24.788762207341513</v>
      </c>
    </row>
    <row r="1005" spans="18:18" x14ac:dyDescent="0.25">
      <c r="R1005">
        <v>24.368074237936863</v>
      </c>
    </row>
    <row r="1006" spans="18:18" x14ac:dyDescent="0.25">
      <c r="R1006">
        <v>24.875305711422534</v>
      </c>
    </row>
    <row r="1048576" spans="1:37" x14ac:dyDescent="0.25">
      <c r="A1048576">
        <v>1</v>
      </c>
      <c r="B1048576">
        <v>2</v>
      </c>
      <c r="C1048576">
        <v>3</v>
      </c>
      <c r="D1048576">
        <v>4</v>
      </c>
      <c r="E1048576">
        <v>5</v>
      </c>
      <c r="F1048576">
        <v>6</v>
      </c>
      <c r="G1048576">
        <v>7</v>
      </c>
      <c r="H1048576">
        <v>8</v>
      </c>
      <c r="I1048576">
        <v>9</v>
      </c>
      <c r="J1048576">
        <v>10</v>
      </c>
      <c r="K1048576">
        <v>11</v>
      </c>
      <c r="L1048576">
        <v>12</v>
      </c>
      <c r="M1048576">
        <v>13</v>
      </c>
      <c r="N1048576">
        <v>14</v>
      </c>
      <c r="O1048576">
        <v>15</v>
      </c>
      <c r="P1048576">
        <v>16</v>
      </c>
      <c r="Q1048576">
        <v>17</v>
      </c>
      <c r="R1048576">
        <v>18</v>
      </c>
      <c r="S1048576">
        <v>19</v>
      </c>
      <c r="T1048576">
        <v>20</v>
      </c>
      <c r="U1048576">
        <v>21</v>
      </c>
      <c r="V1048576">
        <v>22</v>
      </c>
      <c r="W1048576">
        <v>23</v>
      </c>
      <c r="X1048576">
        <v>24</v>
      </c>
      <c r="Y1048576">
        <v>25</v>
      </c>
      <c r="Z1048576">
        <v>26</v>
      </c>
      <c r="AA1048576">
        <v>27</v>
      </c>
      <c r="AB1048576">
        <v>28</v>
      </c>
      <c r="AC1048576">
        <v>29</v>
      </c>
      <c r="AD1048576">
        <v>30</v>
      </c>
      <c r="AE1048576">
        <v>31</v>
      </c>
      <c r="AF1048576">
        <v>32</v>
      </c>
      <c r="AG1048576">
        <v>33</v>
      </c>
      <c r="AH1048576">
        <v>34</v>
      </c>
      <c r="AI1048576">
        <v>35</v>
      </c>
      <c r="AJ1048576">
        <v>36</v>
      </c>
      <c r="AK1048576">
        <v>37</v>
      </c>
    </row>
  </sheetData>
  <mergeCells count="1">
    <mergeCell ref="J2:N2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uniforme</vt:lpstr>
      <vt:lpstr>triangular</vt:lpstr>
      <vt:lpstr>exponencial</vt:lpstr>
      <vt:lpstr>expo</vt:lpstr>
      <vt:lpstr>triang</vt:lpstr>
      <vt:lpstr>unif</vt:lpstr>
      <vt:lpstr>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USER-6</dc:creator>
  <cp:lastModifiedBy>USER-6</cp:lastModifiedBy>
  <dcterms:created xsi:type="dcterms:W3CDTF">2017-07-06T14:40:04Z</dcterms:created>
  <dcterms:modified xsi:type="dcterms:W3CDTF">2017-07-13T15:57:59Z</dcterms:modified>
</cp:coreProperties>
</file>